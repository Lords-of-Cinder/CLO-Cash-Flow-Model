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615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angjin/Downloads/"/>
    </mc:Choice>
  </mc:AlternateContent>
  <bookViews>
    <workbookView xWindow="0" yWindow="460" windowWidth="25600" windowHeight="14160"/>
  </bookViews>
  <sheets>
    <sheet name="Liability" sheetId="16" r:id="rId1"/>
    <sheet name="Graphs" sheetId="18" r:id="rId2"/>
    <sheet name="Asset" sheetId="9" r:id="rId3"/>
    <sheet name="Data" sheetId="8" r:id="rId4"/>
    <sheet name="LR0-8" sheetId="19" r:id="rId5"/>
    <sheet name="LR9-13" sheetId="20" r:id="rId6"/>
    <sheet name="LR14-19" sheetId="21" r:id="rId7"/>
    <sheet name="LR20+" sheetId="22" r:id="rId8"/>
  </sheets>
  <definedNames>
    <definedName name="_1700alpha">Data!#REF!</definedName>
    <definedName name="_1700beta">Data!#REF!</definedName>
    <definedName name="_1700L">Data!#REF!</definedName>
    <definedName name="_1700U">Data!#REF!</definedName>
    <definedName name="_2000alpha">Data!#REF!</definedName>
    <definedName name="_2000beta">Data!#REF!</definedName>
    <definedName name="_2000L">Data!#REF!</definedName>
    <definedName name="_2000U">Data!#REF!</definedName>
    <definedName name="_2500alpha">Data!#REF!</definedName>
    <definedName name="_2500beta">Data!#REF!</definedName>
    <definedName name="_2500L">Data!#REF!</definedName>
    <definedName name="_2500U">Data!#REF!</definedName>
    <definedName name="_2800alpha">Data!#REF!</definedName>
    <definedName name="_2800beta">Data!#REF!</definedName>
    <definedName name="_2800L">Data!#REF!</definedName>
    <definedName name="_2800U">Data!#REF!</definedName>
    <definedName name="_xlnm._FilterDatabase" localSheetId="4" hidden="1">'LR0-8'!$A$1:$J$688</definedName>
    <definedName name="_xlnm._FilterDatabase" localSheetId="6" hidden="1">'LR14-19'!$A$1:$J$931</definedName>
    <definedName name="_xlnm._FilterDatabase" localSheetId="7" hidden="1">'LR20+'!$A$1:$J$467</definedName>
    <definedName name="_xlnm._FilterDatabase" localSheetId="5" hidden="1">'LR9-13'!$A$1:$J$1933</definedName>
    <definedName name="_TEU1">Data!#REF!</definedName>
    <definedName name="_TEU2">Data!#REF!</definedName>
    <definedName name="_TEU3">Data!#REF!</definedName>
    <definedName name="_TEU4">Data!#REF!</definedName>
    <definedName name="Class_A_Average_Life">Liability!$B$55</definedName>
    <definedName name="Class_A_Bal">Liability!$B$18</definedName>
    <definedName name="Class_A_Bla">Liability!$B$18</definedName>
    <definedName name="Class_A_M">Liability!$B$21</definedName>
    <definedName name="Class_A_MP">Liability!$B$24</definedName>
    <definedName name="Class_A_Rate">Liability!$B$12</definedName>
    <definedName name="Class_A_Relaxation">Liability!$B$61</definedName>
    <definedName name="Class_A_Size">Liability!$B$15</definedName>
    <definedName name="Class_A_SP_Default_Rate">Liability!$B$39</definedName>
    <definedName name="Class_B_Average_Life">Liability!$B$56</definedName>
    <definedName name="Class_B_Bal">Liability!$B$19</definedName>
    <definedName name="Class_B_Bla">Liability!$B$19</definedName>
    <definedName name="Class_B_M">Liability!$B$22</definedName>
    <definedName name="Class_B_MP">Liability!$B$25</definedName>
    <definedName name="Class_B_Rate">Liability!$B$13</definedName>
    <definedName name="Class_B_Relaxation">Liability!$B$62</definedName>
    <definedName name="Class_B_Size">Liability!$B$16</definedName>
    <definedName name="Class_B_SP_Default_Rate">Liability!$B$40</definedName>
    <definedName name="Class_C_Bal">Liability!$B$20</definedName>
    <definedName name="Class_C_Bla">Liability!$B$20</definedName>
    <definedName name="Class_C_M">Liability!$B$23</definedName>
    <definedName name="Class_C_Rate">Liability!$B$14</definedName>
    <definedName name="Class_C_Size">Liability!$B$17</definedName>
    <definedName name="Convergence_Limit">Liability!$B$63</definedName>
    <definedName name="Convergence_Status">Liability!$B$69</definedName>
    <definedName name="D_Rate">Liability!$B$8</definedName>
    <definedName name="Delta_IRR_Class_A">Liability!$B$37</definedName>
    <definedName name="Delta_IRR_Class_B">Liability!$B$38</definedName>
    <definedName name="Epsilon">Liability!$B$68</definedName>
    <definedName name="Inf_alpha">Data!$V$12</definedName>
    <definedName name="Inf_beta">Data!$V$13</definedName>
    <definedName name="Inf_Lower">Data!$V$5</definedName>
    <definedName name="Inf_Upper">Data!$V$6</definedName>
    <definedName name="InitialCostofShips">Liability!$B$1</definedName>
    <definedName name="Investment_Rate">Liability!$B$7</definedName>
    <definedName name="IPB">Liability!$B$2</definedName>
    <definedName name="Maintenance_Reserve">Liability!$B$6</definedName>
    <definedName name="Monitor">Liability!$E$8</definedName>
    <definedName name="Monte_Carlo_Runs">Liability!$B$41</definedName>
    <definedName name="MRperShip">Liability!$B$6</definedName>
    <definedName name="n">Liability!$B$5</definedName>
    <definedName name="Opex_alpha">Data!$W$12</definedName>
    <definedName name="Opex_beta">Data!$W$13</definedName>
    <definedName name="Opex_L">Data!$W$5</definedName>
    <definedName name="Opex_U">Data!$W$6</definedName>
    <definedName name="Rating_Scale_Array_M">Graphs!$G$3</definedName>
    <definedName name="Rating_Scale_Array_S">Graphs!$E$3</definedName>
    <definedName name="Reserve_Account">Liability!$B$4</definedName>
    <definedName name="Sales">Data!$S$8</definedName>
    <definedName name="Sales1_alpha">Data!$Z$12</definedName>
    <definedName name="Sales1_beta">Data!$Z$13</definedName>
    <definedName name="Sales1_L">Data!$Z$5</definedName>
    <definedName name="Sales1_U">Data!$Z$6</definedName>
    <definedName name="Sales2_alpha">Data!$AA$12</definedName>
    <definedName name="Sales2_beta">Data!$AA$13</definedName>
    <definedName name="Sales2_L">Data!$AA$5</definedName>
    <definedName name="Sales2_U">Data!$AA$6</definedName>
    <definedName name="Sales3_alpha">Data!$AB$12</definedName>
    <definedName name="Sales3_beta">Data!$AB$13</definedName>
    <definedName name="Sales3_L">Data!$AB$5</definedName>
    <definedName name="Sales3_U">Data!$AB$6</definedName>
    <definedName name="Sales4_alpha">Data!$AC$12</definedName>
    <definedName name="Sales4_beta">Data!$AC$13</definedName>
    <definedName name="Sales4_L">Data!$AC$5</definedName>
    <definedName name="Sales4_U">Data!$AC$6</definedName>
    <definedName name="ScrapInf_alpha">Data!$Y$12</definedName>
    <definedName name="ScrapInf_beta">Data!$Y$13</definedName>
    <definedName name="ScrapInf_L">Data!$Y$5</definedName>
    <definedName name="ScrapInf_U">Data!$Y$6</definedName>
    <definedName name="Ships">Data!$S$5</definedName>
    <definedName name="SI_alpha">Data!#REF!</definedName>
    <definedName name="SI_beta">Data!#REF!</definedName>
    <definedName name="SI_L">Data!#REF!</definedName>
    <definedName name="SI_U">Data!#REF!</definedName>
    <definedName name="Term">Data!$S$6</definedName>
    <definedName name="TMV">Liability!$B$1</definedName>
    <definedName name="Uniform_a">Data!$X$5</definedName>
    <definedName name="Uniform_b">Data!$X$6</definedName>
    <definedName name="UsefulLife">Data!$S$4</definedName>
    <definedName name="V">Liability!$B$1</definedName>
    <definedName name="WAI">Liability!$B$9</definedName>
    <definedName name="Yield_Curve_alfa_parm">Liability!$B$65</definedName>
    <definedName name="Yield_Curve_beta_parm">Liability!$B$66</definedName>
    <definedName name="Yield_Curve_delta_parm">Liability!$B$67</definedName>
    <definedName name="Yield_Curve_r_infinity">Liability!$B$64</definedName>
  </definedNames>
  <calcPr calcId="150001" refMode="R1C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57" i="22" l="1"/>
  <c r="J443" i="22"/>
  <c r="J3" i="22"/>
  <c r="J145" i="22"/>
  <c r="J104" i="22"/>
  <c r="J431" i="22"/>
  <c r="J447" i="22"/>
  <c r="J213" i="22"/>
  <c r="J433" i="22"/>
  <c r="J351" i="22"/>
  <c r="J340" i="22"/>
  <c r="J355" i="22"/>
  <c r="J381" i="22"/>
  <c r="J335" i="22"/>
  <c r="J18" i="22"/>
  <c r="J380" i="22"/>
  <c r="J379" i="22"/>
  <c r="J366" i="22"/>
  <c r="J267" i="22"/>
  <c r="J266" i="22"/>
  <c r="J187" i="22"/>
  <c r="J43" i="22"/>
  <c r="J114" i="22"/>
  <c r="J279" i="22"/>
  <c r="J244" i="22"/>
  <c r="J310" i="22"/>
  <c r="J309" i="22"/>
  <c r="J356" i="22"/>
  <c r="J183" i="22"/>
  <c r="J62" i="22"/>
  <c r="J308" i="22"/>
  <c r="J243" i="22"/>
  <c r="J47" i="22"/>
  <c r="J79" i="22"/>
  <c r="J334" i="22"/>
  <c r="J201" i="22"/>
  <c r="J442" i="22"/>
  <c r="J446" i="22"/>
  <c r="J81" i="22"/>
  <c r="J242" i="22"/>
  <c r="J416" i="22"/>
  <c r="J415" i="22"/>
  <c r="J365" i="22"/>
  <c r="J166" i="22"/>
  <c r="J265" i="22"/>
  <c r="J85" i="22"/>
  <c r="J421" i="22"/>
  <c r="J445" i="22"/>
  <c r="J448" i="22"/>
  <c r="J307" i="22"/>
  <c r="J367" i="22"/>
  <c r="J150" i="22"/>
  <c r="J61" i="22"/>
  <c r="J69" i="22"/>
  <c r="J28" i="22"/>
  <c r="J68" i="22"/>
  <c r="J241" i="22"/>
  <c r="J240" i="22"/>
  <c r="J80" i="22"/>
  <c r="J467" i="22"/>
  <c r="J454" i="22"/>
  <c r="J430" i="22"/>
  <c r="J278" i="22"/>
  <c r="J38" i="22"/>
  <c r="J178" i="22"/>
  <c r="J277" i="22"/>
  <c r="J382" i="22"/>
  <c r="J144" i="22"/>
  <c r="J239" i="22"/>
  <c r="J78" i="22"/>
  <c r="J224" i="22"/>
  <c r="J238" i="22"/>
  <c r="J306" i="22"/>
  <c r="J165" i="22"/>
  <c r="J143" i="22"/>
  <c r="J333" i="22"/>
  <c r="J164" i="22"/>
  <c r="J378" i="22"/>
  <c r="J37" i="22"/>
  <c r="J364" i="22"/>
  <c r="J112" i="22"/>
  <c r="J214" i="22"/>
  <c r="J305" i="22"/>
  <c r="J353" i="22"/>
  <c r="J352" i="22"/>
  <c r="J354" i="22"/>
  <c r="J103" i="22"/>
  <c r="J350" i="22"/>
  <c r="J182" i="22"/>
  <c r="J466" i="22"/>
  <c r="J304" i="22"/>
  <c r="J303" i="22"/>
  <c r="J276" i="22"/>
  <c r="J264" i="22"/>
  <c r="J302" i="22"/>
  <c r="J344" i="22"/>
  <c r="J84" i="22"/>
  <c r="J142" i="22"/>
  <c r="J121" i="22"/>
  <c r="J332" i="22"/>
  <c r="J83" i="22"/>
  <c r="J46" i="22"/>
  <c r="J263" i="22"/>
  <c r="J167" i="22"/>
  <c r="J55" i="22"/>
  <c r="J200" i="22"/>
  <c r="J186" i="22"/>
  <c r="J464" i="22"/>
  <c r="J459" i="22"/>
  <c r="J262" i="22"/>
  <c r="J275" i="22"/>
  <c r="J414" i="22"/>
  <c r="J331" i="22"/>
  <c r="J141" i="22"/>
  <c r="J301" i="22"/>
  <c r="J82" i="22"/>
  <c r="J223" i="22"/>
  <c r="J300" i="22"/>
  <c r="J212" i="22"/>
  <c r="J208" i="22"/>
  <c r="J363" i="22"/>
  <c r="J17" i="22"/>
  <c r="J261" i="22"/>
  <c r="J413" i="22"/>
  <c r="J237" i="22"/>
  <c r="J330" i="22"/>
  <c r="J465" i="22"/>
  <c r="J102" i="22"/>
  <c r="J444" i="22"/>
  <c r="J236" i="22"/>
  <c r="J329" i="22"/>
  <c r="J235" i="22"/>
  <c r="J377" i="22"/>
  <c r="J260" i="22"/>
  <c r="J259" i="22"/>
  <c r="J63" i="22"/>
  <c r="J234" i="22"/>
  <c r="J328" i="22"/>
  <c r="J441" i="22"/>
  <c r="J36" i="22"/>
  <c r="J376" i="22"/>
  <c r="J140" i="22"/>
  <c r="J222" i="22"/>
  <c r="J177" i="22"/>
  <c r="J88" i="22"/>
  <c r="J299" i="22"/>
  <c r="J420" i="22"/>
  <c r="J7" i="22"/>
  <c r="J298" i="22"/>
  <c r="J297" i="22"/>
  <c r="J197" i="22"/>
  <c r="J362" i="22"/>
  <c r="J16" i="22"/>
  <c r="J248" i="22"/>
  <c r="J327" i="22"/>
  <c r="J296" i="22"/>
  <c r="J77" i="22"/>
  <c r="J233" i="22"/>
  <c r="J429" i="22"/>
  <c r="J15" i="22"/>
  <c r="J101" i="22"/>
  <c r="J14" i="22"/>
  <c r="J295" i="22"/>
  <c r="J199" i="22"/>
  <c r="J184" i="22"/>
  <c r="J258" i="22"/>
  <c r="J274" i="22"/>
  <c r="J60" i="22"/>
  <c r="J207" i="22"/>
  <c r="J206" i="22"/>
  <c r="J326" i="22"/>
  <c r="J211" i="22"/>
  <c r="J325" i="22"/>
  <c r="J257" i="22"/>
  <c r="J6" i="22"/>
  <c r="J8" i="22"/>
  <c r="J294" i="22"/>
  <c r="J163" i="22"/>
  <c r="J111" i="22"/>
  <c r="J110" i="22"/>
  <c r="J293" i="22"/>
  <c r="J100" i="22"/>
  <c r="J99" i="22"/>
  <c r="J349" i="22"/>
  <c r="J139" i="22"/>
  <c r="J5" i="22"/>
  <c r="J453" i="22"/>
  <c r="J54" i="22"/>
  <c r="J2" i="22"/>
  <c r="J440" i="22"/>
  <c r="J221" i="22"/>
  <c r="J375" i="22"/>
  <c r="J13" i="22"/>
  <c r="J50" i="22"/>
  <c r="J324" i="22"/>
  <c r="J323" i="22"/>
  <c r="J138" i="22"/>
  <c r="J322" i="22"/>
  <c r="J137" i="22"/>
  <c r="J194" i="22"/>
  <c r="J256" i="22"/>
  <c r="J452" i="22"/>
  <c r="J361" i="22"/>
  <c r="J118" i="22"/>
  <c r="J117" i="22"/>
  <c r="J22" i="22"/>
  <c r="J412" i="22"/>
  <c r="J273" i="22"/>
  <c r="J45" i="22"/>
  <c r="J374" i="22"/>
  <c r="J463" i="22"/>
  <c r="J27" i="22"/>
  <c r="J136" i="22"/>
  <c r="J458" i="22"/>
  <c r="J232" i="22"/>
  <c r="J231" i="22"/>
  <c r="J255" i="22"/>
  <c r="J12" i="22"/>
  <c r="J339" i="22"/>
  <c r="J411" i="22"/>
  <c r="J11" i="22"/>
  <c r="J292" i="22"/>
  <c r="J439" i="22"/>
  <c r="J428" i="22"/>
  <c r="J67" i="22"/>
  <c r="J53" i="22"/>
  <c r="J419" i="22"/>
  <c r="J247" i="22"/>
  <c r="J254" i="22"/>
  <c r="J181" i="22"/>
  <c r="J230" i="22"/>
  <c r="J98" i="22"/>
  <c r="J35" i="22"/>
  <c r="J120" i="22"/>
  <c r="J321" i="22"/>
  <c r="J205" i="22"/>
  <c r="J123" i="22"/>
  <c r="J176" i="22"/>
  <c r="J162" i="22"/>
  <c r="J76" i="22"/>
  <c r="J97" i="22"/>
  <c r="J135" i="22"/>
  <c r="J75" i="22"/>
  <c r="J59" i="22"/>
  <c r="J58" i="22"/>
  <c r="J210" i="22"/>
  <c r="J96" i="22"/>
  <c r="J427" i="22"/>
  <c r="J10" i="22"/>
  <c r="J109" i="22"/>
  <c r="J149" i="22"/>
  <c r="J291" i="22"/>
  <c r="J134" i="22"/>
  <c r="J161" i="22"/>
  <c r="J133" i="22"/>
  <c r="J320" i="22"/>
  <c r="J290" i="22"/>
  <c r="J4" i="22"/>
  <c r="J289" i="22"/>
  <c r="J26" i="22"/>
  <c r="J408" i="22"/>
  <c r="J348" i="22"/>
  <c r="J288" i="22"/>
  <c r="J319" i="22"/>
  <c r="J318" i="22"/>
  <c r="J373" i="22"/>
  <c r="J220" i="22"/>
  <c r="J272" i="22"/>
  <c r="J347" i="22"/>
  <c r="J185" i="22"/>
  <c r="J253" i="22"/>
  <c r="J229" i="22"/>
  <c r="J438" i="22"/>
  <c r="J52" i="22"/>
  <c r="J360" i="22"/>
  <c r="J252" i="22"/>
  <c r="J156" i="22"/>
  <c r="J132" i="22"/>
  <c r="J219" i="22"/>
  <c r="J407" i="22"/>
  <c r="J418" i="22"/>
  <c r="J338" i="22"/>
  <c r="J25" i="22"/>
  <c r="J148" i="22"/>
  <c r="J175" i="22"/>
  <c r="J406" i="22"/>
  <c r="J426" i="22"/>
  <c r="J131" i="22"/>
  <c r="J425" i="22"/>
  <c r="J405" i="22"/>
  <c r="J437" i="22"/>
  <c r="J218" i="22"/>
  <c r="J119" i="22"/>
  <c r="J209" i="22"/>
  <c r="J174" i="22"/>
  <c r="J173" i="22"/>
  <c r="J193" i="22"/>
  <c r="J160" i="22"/>
  <c r="J462" i="22"/>
  <c r="J317" i="22"/>
  <c r="J198" i="22"/>
  <c r="J457" i="22"/>
  <c r="J34" i="22"/>
  <c r="J155" i="22"/>
  <c r="J180" i="22"/>
  <c r="J228" i="22"/>
  <c r="J316" i="22"/>
  <c r="J95" i="22"/>
  <c r="J94" i="22"/>
  <c r="J87" i="22"/>
  <c r="J404" i="22"/>
  <c r="J108" i="22"/>
  <c r="J217" i="22"/>
  <c r="J287" i="22"/>
  <c r="J66" i="22"/>
  <c r="J86" i="22"/>
  <c r="J286" i="22"/>
  <c r="J93" i="22"/>
  <c r="J359" i="22"/>
  <c r="J204" i="22"/>
  <c r="J130" i="22"/>
  <c r="J51" i="22"/>
  <c r="J122" i="22"/>
  <c r="J71" i="22"/>
  <c r="J343" i="22"/>
  <c r="J44" i="22"/>
  <c r="J113" i="22"/>
  <c r="J147" i="22"/>
  <c r="J129" i="22"/>
  <c r="J403" i="22"/>
  <c r="J33" i="22"/>
  <c r="J285" i="22"/>
  <c r="J372" i="22"/>
  <c r="J70" i="22"/>
  <c r="J436" i="22"/>
  <c r="J172" i="22"/>
  <c r="J271" i="22"/>
  <c r="J371" i="22"/>
  <c r="J32" i="22"/>
  <c r="J284" i="22"/>
  <c r="J402" i="22"/>
  <c r="J451" i="22"/>
  <c r="J401" i="22"/>
  <c r="J151" i="22"/>
  <c r="J42" i="22"/>
  <c r="J400" i="22"/>
  <c r="J192" i="22"/>
  <c r="J65" i="22"/>
  <c r="J128" i="22"/>
  <c r="J24" i="22"/>
  <c r="J89" i="22"/>
  <c r="J203" i="22"/>
  <c r="J9" i="22"/>
  <c r="J399" i="22"/>
  <c r="J216" i="22"/>
  <c r="J21" i="22"/>
  <c r="J179" i="22"/>
  <c r="J146" i="22"/>
  <c r="J246" i="22"/>
  <c r="J358" i="22"/>
  <c r="J196" i="22"/>
  <c r="J398" i="22"/>
  <c r="J397" i="22"/>
  <c r="J424" i="22"/>
  <c r="J251" i="22"/>
  <c r="J450" i="22"/>
  <c r="J342" i="22"/>
  <c r="J171" i="22"/>
  <c r="J31" i="22"/>
  <c r="J49" i="22"/>
  <c r="J154" i="22"/>
  <c r="J315" i="22"/>
  <c r="J92" i="22"/>
  <c r="J314" i="22"/>
  <c r="J159" i="22"/>
  <c r="J20" i="22"/>
  <c r="J337" i="22"/>
  <c r="J456" i="22"/>
  <c r="J107" i="22"/>
  <c r="J202" i="22"/>
  <c r="J191" i="22"/>
  <c r="J461" i="22"/>
  <c r="J270" i="22"/>
  <c r="J74" i="22"/>
  <c r="J396" i="22"/>
  <c r="J64" i="22"/>
  <c r="J370" i="22"/>
  <c r="J423" i="22"/>
  <c r="J41" i="22"/>
  <c r="J170" i="22"/>
  <c r="J369" i="22"/>
  <c r="J341" i="22"/>
  <c r="J127" i="22"/>
  <c r="J91" i="22"/>
  <c r="J395" i="22"/>
  <c r="J195" i="22"/>
  <c r="J283" i="22"/>
  <c r="J345" i="22"/>
  <c r="J357" i="22"/>
  <c r="J417" i="22"/>
  <c r="J394" i="22"/>
  <c r="J30" i="22"/>
  <c r="J227" i="22"/>
  <c r="J126" i="22"/>
  <c r="J269" i="22"/>
  <c r="J190" i="22"/>
  <c r="J250" i="22"/>
  <c r="J215" i="22"/>
  <c r="J23" i="22"/>
  <c r="J245" i="22"/>
  <c r="J393" i="22"/>
  <c r="J392" i="22"/>
  <c r="J189" i="22"/>
  <c r="J29" i="22"/>
  <c r="J169" i="22"/>
  <c r="J57" i="22"/>
  <c r="J125" i="22"/>
  <c r="J282" i="22"/>
  <c r="J153" i="22"/>
  <c r="J106" i="22"/>
  <c r="J105" i="22"/>
  <c r="J391" i="22"/>
  <c r="J435" i="22"/>
  <c r="J460" i="22"/>
  <c r="J410" i="22"/>
  <c r="J40" i="22"/>
  <c r="J73" i="22"/>
  <c r="J390" i="22"/>
  <c r="J281" i="22"/>
  <c r="J313" i="22"/>
  <c r="J268" i="22"/>
  <c r="J389" i="22"/>
  <c r="J432" i="22"/>
  <c r="J124" i="22"/>
  <c r="J249" i="22"/>
  <c r="J56" i="22"/>
  <c r="J226" i="22"/>
  <c r="J225" i="22"/>
  <c r="J388" i="22"/>
  <c r="J387" i="22"/>
  <c r="J346" i="22"/>
  <c r="J158" i="22"/>
  <c r="J336" i="22"/>
  <c r="J280" i="22"/>
  <c r="J116" i="22"/>
  <c r="J386" i="22"/>
  <c r="J312" i="22"/>
  <c r="J385" i="22"/>
  <c r="J19" i="22"/>
  <c r="J449" i="22"/>
  <c r="J39" i="22"/>
  <c r="J455" i="22"/>
  <c r="J368" i="22"/>
  <c r="J434" i="22"/>
  <c r="J409" i="22"/>
  <c r="J188" i="22"/>
  <c r="J311" i="22"/>
  <c r="J384" i="22"/>
  <c r="J90" i="22"/>
  <c r="J48" i="22"/>
  <c r="J422" i="22"/>
  <c r="J152" i="22"/>
  <c r="J115" i="22"/>
  <c r="J168" i="22"/>
  <c r="J72" i="22"/>
  <c r="J383" i="22"/>
  <c r="J658" i="21"/>
  <c r="J726" i="21"/>
  <c r="J657" i="21"/>
  <c r="J408" i="21"/>
  <c r="J851" i="21"/>
  <c r="J544" i="21"/>
  <c r="J262" i="21"/>
  <c r="J354" i="21"/>
  <c r="J817" i="21"/>
  <c r="J639" i="21"/>
  <c r="J609" i="21"/>
  <c r="J41" i="21"/>
  <c r="J407" i="21"/>
  <c r="J315" i="21"/>
  <c r="J418" i="21"/>
  <c r="J736" i="21"/>
  <c r="J417" i="21"/>
  <c r="J656" i="21"/>
  <c r="J602" i="21"/>
  <c r="J601" i="21"/>
  <c r="J353" i="21"/>
  <c r="J776" i="21"/>
  <c r="J748" i="21"/>
  <c r="J920" i="21"/>
  <c r="J919" i="21"/>
  <c r="J543" i="21"/>
  <c r="J775" i="21"/>
  <c r="J219" i="21"/>
  <c r="J261" i="21"/>
  <c r="J112" i="21"/>
  <c r="J352" i="21"/>
  <c r="J686" i="21"/>
  <c r="J694" i="21"/>
  <c r="J465" i="21"/>
  <c r="J918" i="21"/>
  <c r="J46" i="21"/>
  <c r="J685" i="21"/>
  <c r="J684" i="21"/>
  <c r="J139" i="21"/>
  <c r="J838" i="21"/>
  <c r="J774" i="21"/>
  <c r="J157" i="21"/>
  <c r="J170" i="21"/>
  <c r="J288" i="21"/>
  <c r="J501" i="21"/>
  <c r="J111" i="21"/>
  <c r="J542" i="21"/>
  <c r="J541" i="21"/>
  <c r="J506" i="21"/>
  <c r="J156" i="21"/>
  <c r="J638" i="21"/>
  <c r="J40" i="21"/>
  <c r="J110" i="21"/>
  <c r="J917" i="21"/>
  <c r="J931" i="21"/>
  <c r="J683" i="21"/>
  <c r="J451" i="21"/>
  <c r="J277" i="21"/>
  <c r="J406" i="21"/>
  <c r="J351" i="21"/>
  <c r="J350" i="21"/>
  <c r="J405" i="21"/>
  <c r="J404" i="21"/>
  <c r="J600" i="21"/>
  <c r="J540" i="21"/>
  <c r="J539" i="21"/>
  <c r="J482" i="21"/>
  <c r="J209" i="21"/>
  <c r="J244" i="21"/>
  <c r="J241" i="21"/>
  <c r="J704" i="21"/>
  <c r="J481" i="21"/>
  <c r="J109" i="21"/>
  <c r="J276" i="21"/>
  <c r="J62" i="21"/>
  <c r="J773" i="21"/>
  <c r="J752" i="21"/>
  <c r="J930" i="21"/>
  <c r="J637" i="21"/>
  <c r="J682" i="21"/>
  <c r="J16" i="21"/>
  <c r="J783" i="21"/>
  <c r="J450" i="21"/>
  <c r="J608" i="21"/>
  <c r="J538" i="21"/>
  <c r="J599" i="21"/>
  <c r="J617" i="21"/>
  <c r="J598" i="21"/>
  <c r="J597" i="21"/>
  <c r="J916" i="21"/>
  <c r="J275" i="21"/>
  <c r="J208" i="21"/>
  <c r="J114" i="21"/>
  <c r="J141" i="21"/>
  <c r="J607" i="21"/>
  <c r="J596" i="21"/>
  <c r="J740" i="21"/>
  <c r="J125" i="21"/>
  <c r="J169" i="21"/>
  <c r="J138" i="21"/>
  <c r="J915" i="21"/>
  <c r="J837" i="21"/>
  <c r="J108" i="21"/>
  <c r="J914" i="21"/>
  <c r="J207" i="21"/>
  <c r="J433" i="21"/>
  <c r="J107" i="21"/>
  <c r="J913" i="21"/>
  <c r="J681" i="21"/>
  <c r="J9" i="21"/>
  <c r="J39" i="21"/>
  <c r="J124" i="21"/>
  <c r="J492" i="21"/>
  <c r="J829" i="21"/>
  <c r="J349" i="21"/>
  <c r="J449" i="21"/>
  <c r="J595" i="21"/>
  <c r="J680" i="21"/>
  <c r="J594" i="21"/>
  <c r="J593" i="21"/>
  <c r="J636" i="21"/>
  <c r="J243" i="21"/>
  <c r="J403" i="21"/>
  <c r="J642" i="21"/>
  <c r="J816" i="21"/>
  <c r="J757" i="21"/>
  <c r="J912" i="21"/>
  <c r="J106" i="21"/>
  <c r="J314" i="21"/>
  <c r="J183" i="21"/>
  <c r="J161" i="21"/>
  <c r="J45" i="21"/>
  <c r="J348" i="21"/>
  <c r="J911" i="21"/>
  <c r="J117" i="21"/>
  <c r="J313" i="21"/>
  <c r="J679" i="21"/>
  <c r="J910" i="21"/>
  <c r="J909" i="21"/>
  <c r="J756" i="21"/>
  <c r="J635" i="21"/>
  <c r="J592" i="21"/>
  <c r="J402" i="21"/>
  <c r="J401" i="21"/>
  <c r="J260" i="21"/>
  <c r="J655" i="21"/>
  <c r="J634" i="21"/>
  <c r="J38" i="21"/>
  <c r="J152" i="21"/>
  <c r="J61" i="21"/>
  <c r="J400" i="21"/>
  <c r="J772" i="21"/>
  <c r="J591" i="21"/>
  <c r="J590" i="21"/>
  <c r="J3" i="21"/>
  <c r="J697" i="21"/>
  <c r="J399" i="21"/>
  <c r="J251" i="21"/>
  <c r="J464" i="21"/>
  <c r="J229" i="21"/>
  <c r="J206" i="21"/>
  <c r="J274" i="21"/>
  <c r="J50" i="21"/>
  <c r="J678" i="21"/>
  <c r="J273" i="21"/>
  <c r="J250" i="21"/>
  <c r="J589" i="21"/>
  <c r="J105" i="21"/>
  <c r="J537" i="21"/>
  <c r="J677" i="21"/>
  <c r="J137" i="21"/>
  <c r="J426" i="21"/>
  <c r="J588" i="21"/>
  <c r="J435" i="21"/>
  <c r="J815" i="21"/>
  <c r="J480" i="21"/>
  <c r="J908" i="21"/>
  <c r="J676" i="21"/>
  <c r="J398" i="21"/>
  <c r="J616" i="21"/>
  <c r="J425" i="21"/>
  <c r="J782" i="21"/>
  <c r="J739" i="21"/>
  <c r="J587" i="21"/>
  <c r="J696" i="21"/>
  <c r="J205" i="21"/>
  <c r="J397" i="21"/>
  <c r="J586" i="21"/>
  <c r="J295" i="21"/>
  <c r="J182" i="21"/>
  <c r="J181" i="21"/>
  <c r="J500" i="21"/>
  <c r="J37" i="21"/>
  <c r="J850" i="21"/>
  <c r="J852" i="21"/>
  <c r="J814" i="21"/>
  <c r="J813" i="21"/>
  <c r="J218" i="21"/>
  <c r="J12" i="21"/>
  <c r="J104" i="21"/>
  <c r="J689" i="21"/>
  <c r="J432" i="21"/>
  <c r="J585" i="21"/>
  <c r="J347" i="21"/>
  <c r="J123" i="21"/>
  <c r="J812" i="21"/>
  <c r="J8" i="21"/>
  <c r="J907" i="21"/>
  <c r="J584" i="21"/>
  <c r="J240" i="21"/>
  <c r="J396" i="21"/>
  <c r="J771" i="21"/>
  <c r="J747" i="21"/>
  <c r="J239" i="21"/>
  <c r="J36" i="21"/>
  <c r="J395" i="21"/>
  <c r="J259" i="21"/>
  <c r="J394" i="21"/>
  <c r="J811" i="21"/>
  <c r="J751" i="21"/>
  <c r="J283" i="21"/>
  <c r="J393" i="21"/>
  <c r="J392" i="21"/>
  <c r="J738" i="21"/>
  <c r="J810" i="21"/>
  <c r="J536" i="21"/>
  <c r="J675" i="21"/>
  <c r="J491" i="21"/>
  <c r="J103" i="21"/>
  <c r="J770" i="21"/>
  <c r="J906" i="21"/>
  <c r="J905" i="21"/>
  <c r="J7" i="21"/>
  <c r="J725" i="21"/>
  <c r="J755" i="21"/>
  <c r="J272" i="21"/>
  <c r="J320" i="21"/>
  <c r="J60" i="21"/>
  <c r="J583" i="21"/>
  <c r="J346" i="21"/>
  <c r="J204" i="21"/>
  <c r="J312" i="21"/>
  <c r="J828" i="21"/>
  <c r="J463" i="21"/>
  <c r="J249" i="21"/>
  <c r="J391" i="21"/>
  <c r="J582" i="21"/>
  <c r="J116" i="21"/>
  <c r="J448" i="21"/>
  <c r="J581" i="21"/>
  <c r="J287" i="21"/>
  <c r="J122" i="21"/>
  <c r="J203" i="21"/>
  <c r="J217" i="21"/>
  <c r="J580" i="21"/>
  <c r="J345" i="21"/>
  <c r="J654" i="21"/>
  <c r="J758" i="21"/>
  <c r="J674" i="21"/>
  <c r="J579" i="21"/>
  <c r="J344" i="21"/>
  <c r="J390" i="21"/>
  <c r="J809" i="21"/>
  <c r="J160" i="21"/>
  <c r="J735" i="21"/>
  <c r="J578" i="21"/>
  <c r="J577" i="21"/>
  <c r="J576" i="21"/>
  <c r="J535" i="21"/>
  <c r="J202" i="21"/>
  <c r="J102" i="21"/>
  <c r="J311" i="21"/>
  <c r="J534" i="21"/>
  <c r="J781" i="21"/>
  <c r="J633" i="21"/>
  <c r="J499" i="21"/>
  <c r="J101" i="21"/>
  <c r="J389" i="21"/>
  <c r="J904" i="21"/>
  <c r="J505" i="21"/>
  <c r="J750" i="21"/>
  <c r="J228" i="21"/>
  <c r="J929" i="21"/>
  <c r="J734" i="21"/>
  <c r="J479" i="21"/>
  <c r="J201" i="21"/>
  <c r="J836" i="21"/>
  <c r="J533" i="21"/>
  <c r="J532" i="21"/>
  <c r="J490" i="21"/>
  <c r="J180" i="21"/>
  <c r="J100" i="21"/>
  <c r="J703" i="21"/>
  <c r="J242" i="21"/>
  <c r="J754" i="21"/>
  <c r="J575" i="21"/>
  <c r="J903" i="21"/>
  <c r="J574" i="21"/>
  <c r="J902" i="21"/>
  <c r="J653" i="21"/>
  <c r="J271" i="21"/>
  <c r="J99" i="21"/>
  <c r="J2" i="21"/>
  <c r="J641" i="21"/>
  <c r="J652" i="21"/>
  <c r="J573" i="21"/>
  <c r="J434" i="21"/>
  <c r="J416" i="21"/>
  <c r="J388" i="21"/>
  <c r="J121" i="21"/>
  <c r="J151" i="21"/>
  <c r="J387" i="21"/>
  <c r="J478" i="21"/>
  <c r="J447" i="21"/>
  <c r="J695" i="21"/>
  <c r="J98" i="21"/>
  <c r="J97" i="21"/>
  <c r="J294" i="21"/>
  <c r="J65" i="21"/>
  <c r="J238" i="21"/>
  <c r="J572" i="21"/>
  <c r="J746" i="21"/>
  <c r="J179" i="21"/>
  <c r="J35" i="21"/>
  <c r="J237" i="21"/>
  <c r="J688" i="21"/>
  <c r="J343" i="21"/>
  <c r="J136" i="21"/>
  <c r="J724" i="21"/>
  <c r="J651" i="21"/>
  <c r="J415" i="21"/>
  <c r="J96" i="21"/>
  <c r="J606" i="21"/>
  <c r="J808" i="21"/>
  <c r="J807" i="21"/>
  <c r="J531" i="21"/>
  <c r="J571" i="21"/>
  <c r="J570" i="21"/>
  <c r="J827" i="21"/>
  <c r="J504" i="21"/>
  <c r="J431" i="21"/>
  <c r="J530" i="21"/>
  <c r="J498" i="21"/>
  <c r="J835" i="21"/>
  <c r="J95" i="21"/>
  <c r="J780" i="21"/>
  <c r="J386" i="21"/>
  <c r="J928" i="21"/>
  <c r="J745" i="21"/>
  <c r="J901" i="21"/>
  <c r="J456" i="21"/>
  <c r="J849" i="21"/>
  <c r="J342" i="21"/>
  <c r="J310" i="21"/>
  <c r="J270" i="21"/>
  <c r="J49" i="21"/>
  <c r="J723" i="21"/>
  <c r="J569" i="21"/>
  <c r="J455" i="21"/>
  <c r="J477" i="21"/>
  <c r="J309" i="21"/>
  <c r="J568" i="21"/>
  <c r="J15" i="21"/>
  <c r="J722" i="21"/>
  <c r="J650" i="21"/>
  <c r="J94" i="21"/>
  <c r="J806" i="21"/>
  <c r="J662" i="21"/>
  <c r="J721" i="21"/>
  <c r="J632" i="21"/>
  <c r="J150" i="21"/>
  <c r="J93" i="21"/>
  <c r="J59" i="21"/>
  <c r="J900" i="21"/>
  <c r="J693" i="21"/>
  <c r="J899" i="21"/>
  <c r="J178" i="21"/>
  <c r="J282" i="21"/>
  <c r="J135" i="21"/>
  <c r="J200" i="21"/>
  <c r="J149" i="21"/>
  <c r="J134" i="21"/>
  <c r="J848" i="21"/>
  <c r="J898" i="21"/>
  <c r="J769" i="21"/>
  <c r="J319" i="21"/>
  <c r="J897" i="21"/>
  <c r="J34" i="21"/>
  <c r="J430" i="21"/>
  <c r="J847" i="21"/>
  <c r="J529" i="21"/>
  <c r="J615" i="21"/>
  <c r="J385" i="21"/>
  <c r="J896" i="21"/>
  <c r="J895" i="21"/>
  <c r="J894" i="21"/>
  <c r="J384" i="21"/>
  <c r="J168" i="21"/>
  <c r="J33" i="21"/>
  <c r="J822" i="21"/>
  <c r="J462" i="21"/>
  <c r="J133" i="21"/>
  <c r="J341" i="21"/>
  <c r="J383" i="21"/>
  <c r="J269" i="21"/>
  <c r="J227" i="21"/>
  <c r="J893" i="21"/>
  <c r="J92" i="21"/>
  <c r="J32" i="21"/>
  <c r="J768" i="21"/>
  <c r="J489" i="21"/>
  <c r="J258" i="21"/>
  <c r="J120" i="21"/>
  <c r="J177" i="21"/>
  <c r="J892" i="21"/>
  <c r="J58" i="21"/>
  <c r="J293" i="21"/>
  <c r="J340" i="21"/>
  <c r="J382" i="21"/>
  <c r="J304" i="21"/>
  <c r="J148" i="21"/>
  <c r="J119" i="21"/>
  <c r="J91" i="21"/>
  <c r="J528" i="21"/>
  <c r="J567" i="21"/>
  <c r="J720" i="21"/>
  <c r="J339" i="21"/>
  <c r="J891" i="21"/>
  <c r="J805" i="21"/>
  <c r="J476" i="21"/>
  <c r="J804" i="21"/>
  <c r="J424" i="21"/>
  <c r="J31" i="21"/>
  <c r="J236" i="21"/>
  <c r="J381" i="21"/>
  <c r="J673" i="21"/>
  <c r="J475" i="21"/>
  <c r="J90" i="21"/>
  <c r="J338" i="21"/>
  <c r="J159" i="21"/>
  <c r="J337" i="21"/>
  <c r="J57" i="21"/>
  <c r="J44" i="21"/>
  <c r="J235" i="21"/>
  <c r="J719" i="21"/>
  <c r="J268" i="21"/>
  <c r="J132" i="21"/>
  <c r="J281" i="21"/>
  <c r="J89" i="21"/>
  <c r="J672" i="21"/>
  <c r="J423" i="21"/>
  <c r="J88" i="21"/>
  <c r="J226" i="21"/>
  <c r="J380" i="21"/>
  <c r="J225" i="21"/>
  <c r="J527" i="21"/>
  <c r="J718" i="21"/>
  <c r="J803" i="21"/>
  <c r="J379" i="21"/>
  <c r="J661" i="21"/>
  <c r="J744" i="21"/>
  <c r="J890" i="21"/>
  <c r="J30" i="21"/>
  <c r="J660" i="21"/>
  <c r="J749" i="21"/>
  <c r="J29" i="21"/>
  <c r="J216" i="21"/>
  <c r="J566" i="21"/>
  <c r="J378" i="21"/>
  <c r="J687" i="21"/>
  <c r="J526" i="21"/>
  <c r="J821" i="21"/>
  <c r="J257" i="21"/>
  <c r="J336" i="21"/>
  <c r="J10" i="21"/>
  <c r="J43" i="21"/>
  <c r="J67" i="21"/>
  <c r="J167" i="21"/>
  <c r="J215" i="21"/>
  <c r="J377" i="21"/>
  <c r="J335" i="21"/>
  <c r="J565" i="21"/>
  <c r="J649" i="21"/>
  <c r="J802" i="21"/>
  <c r="J199" i="21"/>
  <c r="J564" i="21"/>
  <c r="J563" i="21"/>
  <c r="J779" i="21"/>
  <c r="J525" i="21"/>
  <c r="J246" i="21"/>
  <c r="J733" i="21"/>
  <c r="J87" i="21"/>
  <c r="J86" i="21"/>
  <c r="J166" i="21"/>
  <c r="J414" i="21"/>
  <c r="J717" i="21"/>
  <c r="J631" i="21"/>
  <c r="J198" i="21"/>
  <c r="J826" i="21"/>
  <c r="J131" i="21"/>
  <c r="J562" i="21"/>
  <c r="J801" i="21"/>
  <c r="J308" i="21"/>
  <c r="J11" i="21"/>
  <c r="J614" i="21"/>
  <c r="J28" i="21"/>
  <c r="J234" i="21"/>
  <c r="J443" i="21"/>
  <c r="J561" i="21"/>
  <c r="J800" i="21"/>
  <c r="J671" i="21"/>
  <c r="J85" i="21"/>
  <c r="J474" i="21"/>
  <c r="J334" i="21"/>
  <c r="J267" i="21"/>
  <c r="J889" i="21"/>
  <c r="J461" i="21"/>
  <c r="J442" i="21"/>
  <c r="J441" i="21"/>
  <c r="J318" i="21"/>
  <c r="J825" i="21"/>
  <c r="J446" i="21"/>
  <c r="J888" i="21"/>
  <c r="J376" i="21"/>
  <c r="J560" i="21"/>
  <c r="J176" i="21"/>
  <c r="J27" i="21"/>
  <c r="J648" i="21"/>
  <c r="J927" i="21"/>
  <c r="J84" i="21"/>
  <c r="J488" i="21"/>
  <c r="J460" i="21"/>
  <c r="J197" i="21"/>
  <c r="J473" i="21"/>
  <c r="J559" i="21"/>
  <c r="J524" i="21"/>
  <c r="J83" i="21"/>
  <c r="J613" i="21"/>
  <c r="J737" i="21"/>
  <c r="J147" i="21"/>
  <c r="J233" i="21"/>
  <c r="J196" i="21"/>
  <c r="J26" i="21"/>
  <c r="J413" i="21"/>
  <c r="J286" i="21"/>
  <c r="J887" i="21"/>
  <c r="J523" i="21"/>
  <c r="J266" i="21"/>
  <c r="J767" i="21"/>
  <c r="J25" i="21"/>
  <c r="J292" i="21"/>
  <c r="J732" i="21"/>
  <c r="J886" i="21"/>
  <c r="J630" i="21"/>
  <c r="J224" i="21"/>
  <c r="J702" i="21"/>
  <c r="J333" i="21"/>
  <c r="J256" i="21"/>
  <c r="J422" i="21"/>
  <c r="J56" i="21"/>
  <c r="J558" i="21"/>
  <c r="J885" i="21"/>
  <c r="J332" i="21"/>
  <c r="J375" i="21"/>
  <c r="J846" i="21"/>
  <c r="J522" i="21"/>
  <c r="J670" i="21"/>
  <c r="J521" i="21"/>
  <c r="J472" i="21"/>
  <c r="J374" i="21"/>
  <c r="J232" i="21"/>
  <c r="J82" i="21"/>
  <c r="J629" i="21"/>
  <c r="J421" i="21"/>
  <c r="J81" i="21"/>
  <c r="J6" i="21"/>
  <c r="J5" i="21"/>
  <c r="J24" i="21"/>
  <c r="J884" i="21"/>
  <c r="J820" i="21"/>
  <c r="J883" i="21"/>
  <c r="J882" i="21"/>
  <c r="J605" i="21"/>
  <c r="J231" i="21"/>
  <c r="J80" i="21"/>
  <c r="J845" i="21"/>
  <c r="J628" i="21"/>
  <c r="J716" i="21"/>
  <c r="J195" i="21"/>
  <c r="J799" i="21"/>
  <c r="J79" i="21"/>
  <c r="J520" i="21"/>
  <c r="J497" i="21"/>
  <c r="J701" i="21"/>
  <c r="J881" i="21"/>
  <c r="J880" i="21"/>
  <c r="J23" i="21"/>
  <c r="J373" i="21"/>
  <c r="J700" i="21"/>
  <c r="J22" i="21"/>
  <c r="J844" i="21"/>
  <c r="J879" i="21"/>
  <c r="J878" i="21"/>
  <c r="J557" i="21"/>
  <c r="J715" i="21"/>
  <c r="J926" i="21"/>
  <c r="J429" i="21"/>
  <c r="J214" i="21"/>
  <c r="J877" i="21"/>
  <c r="J372" i="21"/>
  <c r="J230" i="21"/>
  <c r="J78" i="21"/>
  <c r="J519" i="21"/>
  <c r="J412" i="21"/>
  <c r="J371" i="21"/>
  <c r="J194" i="21"/>
  <c r="J280" i="21"/>
  <c r="J876" i="21"/>
  <c r="J647" i="21"/>
  <c r="J370" i="21"/>
  <c r="J193" i="21"/>
  <c r="J798" i="21"/>
  <c r="J797" i="21"/>
  <c r="J21" i="21"/>
  <c r="J48" i="21"/>
  <c r="J714" i="21"/>
  <c r="J503" i="21"/>
  <c r="J518" i="21"/>
  <c r="J875" i="21"/>
  <c r="J146" i="21"/>
  <c r="J420" i="21"/>
  <c r="J627" i="21"/>
  <c r="J496" i="21"/>
  <c r="J331" i="21"/>
  <c r="J55" i="21"/>
  <c r="J731" i="21"/>
  <c r="J699" i="21"/>
  <c r="J874" i="21"/>
  <c r="J369" i="21"/>
  <c r="J140" i="21"/>
  <c r="J192" i="21"/>
  <c r="J330" i="21"/>
  <c r="J517" i="21"/>
  <c r="J516" i="21"/>
  <c r="J515" i="21"/>
  <c r="J454" i="21"/>
  <c r="J213" i="21"/>
  <c r="J329" i="21"/>
  <c r="J834" i="21"/>
  <c r="J317" i="21"/>
  <c r="J471" i="21"/>
  <c r="J191" i="21"/>
  <c r="J873" i="21"/>
  <c r="J626" i="21"/>
  <c r="J77" i="21"/>
  <c r="J872" i="21"/>
  <c r="J669" i="21"/>
  <c r="J130" i="21"/>
  <c r="J115" i="21"/>
  <c r="J766" i="21"/>
  <c r="J843" i="21"/>
  <c r="J765" i="21"/>
  <c r="J646" i="21"/>
  <c r="J692" i="21"/>
  <c r="J20" i="21"/>
  <c r="J833" i="21"/>
  <c r="J255" i="21"/>
  <c r="J328" i="21"/>
  <c r="J145" i="21"/>
  <c r="J514" i="21"/>
  <c r="J223" i="21"/>
  <c r="J155" i="21"/>
  <c r="J487" i="21"/>
  <c r="J796" i="21"/>
  <c r="J668" i="21"/>
  <c r="J470" i="21"/>
  <c r="J64" i="21"/>
  <c r="J254" i="21"/>
  <c r="J190" i="21"/>
  <c r="J189" i="21"/>
  <c r="J175" i="21"/>
  <c r="J795" i="21"/>
  <c r="J625" i="21"/>
  <c r="J154" i="21"/>
  <c r="J713" i="21"/>
  <c r="J76" i="21"/>
  <c r="J778" i="21"/>
  <c r="J794" i="21"/>
  <c r="J459" i="21"/>
  <c r="J129" i="21"/>
  <c r="J764" i="21"/>
  <c r="J75" i="21"/>
  <c r="J368" i="21"/>
  <c r="J367" i="21"/>
  <c r="J366" i="21"/>
  <c r="J556" i="21"/>
  <c r="J824" i="21"/>
  <c r="J712" i="21"/>
  <c r="J555" i="21"/>
  <c r="J327" i="21"/>
  <c r="J265" i="21"/>
  <c r="J691" i="21"/>
  <c r="J554" i="21"/>
  <c r="J612" i="21"/>
  <c r="J553" i="21"/>
  <c r="J74" i="21"/>
  <c r="J365" i="21"/>
  <c r="J291" i="21"/>
  <c r="J307" i="21"/>
  <c r="J174" i="21"/>
  <c r="J326" i="21"/>
  <c r="J212" i="21"/>
  <c r="J552" i="21"/>
  <c r="J793" i="21"/>
  <c r="J711" i="21"/>
  <c r="J743" i="21"/>
  <c r="J871" i="21"/>
  <c r="J513" i="21"/>
  <c r="J303" i="21"/>
  <c r="J128" i="21"/>
  <c r="J870" i="21"/>
  <c r="J710" i="21"/>
  <c r="J925" i="21"/>
  <c r="J458" i="21"/>
  <c r="J869" i="21"/>
  <c r="J306" i="21"/>
  <c r="J411" i="21"/>
  <c r="J285" i="21"/>
  <c r="J868" i="21"/>
  <c r="J867" i="21"/>
  <c r="J486" i="21"/>
  <c r="J866" i="21"/>
  <c r="J624" i="21"/>
  <c r="J325" i="21"/>
  <c r="J445" i="21"/>
  <c r="J551" i="21"/>
  <c r="J512" i="21"/>
  <c r="J511" i="21"/>
  <c r="J54" i="21"/>
  <c r="J211" i="21"/>
  <c r="J364" i="21"/>
  <c r="J363" i="21"/>
  <c r="J428" i="21"/>
  <c r="J611" i="21"/>
  <c r="J222" i="21"/>
  <c r="J842" i="21"/>
  <c r="J623" i="21"/>
  <c r="J53" i="21"/>
  <c r="J47" i="21"/>
  <c r="J221" i="21"/>
  <c r="J440" i="21"/>
  <c r="J495" i="21"/>
  <c r="J763" i="21"/>
  <c r="J73" i="21"/>
  <c r="J253" i="21"/>
  <c r="J324" i="21"/>
  <c r="J469" i="21"/>
  <c r="J118" i="21"/>
  <c r="J144" i="21"/>
  <c r="J165" i="21"/>
  <c r="J143" i="21"/>
  <c r="J164" i="21"/>
  <c r="J290" i="21"/>
  <c r="J323" i="21"/>
  <c r="J4" i="21"/>
  <c r="J667" i="21"/>
  <c r="J14" i="21"/>
  <c r="J510" i="21"/>
  <c r="J468" i="21"/>
  <c r="J72" i="21"/>
  <c r="J865" i="21"/>
  <c r="J622" i="21"/>
  <c r="J188" i="21"/>
  <c r="J550" i="21"/>
  <c r="J792" i="21"/>
  <c r="J302" i="21"/>
  <c r="J173" i="21"/>
  <c r="J172" i="21"/>
  <c r="J301" i="21"/>
  <c r="J410" i="21"/>
  <c r="J322" i="21"/>
  <c r="J924" i="21"/>
  <c r="J549" i="21"/>
  <c r="J158" i="21"/>
  <c r="J264" i="21"/>
  <c r="J864" i="21"/>
  <c r="J762" i="21"/>
  <c r="J427" i="21"/>
  <c r="J321" i="21"/>
  <c r="J863" i="21"/>
  <c r="J753" i="21"/>
  <c r="J645" i="21"/>
  <c r="J509" i="21"/>
  <c r="J248" i="21"/>
  <c r="J791" i="21"/>
  <c r="J153" i="21"/>
  <c r="J485" i="21"/>
  <c r="J439" i="21"/>
  <c r="J862" i="21"/>
  <c r="J362" i="21"/>
  <c r="J742" i="21"/>
  <c r="J438" i="21"/>
  <c r="J437" i="21"/>
  <c r="J361" i="21"/>
  <c r="J666" i="21"/>
  <c r="J621" i="21"/>
  <c r="J163" i="21"/>
  <c r="J419" i="21"/>
  <c r="J300" i="21"/>
  <c r="J360" i="21"/>
  <c r="J620" i="21"/>
  <c r="J709" i="21"/>
  <c r="J19" i="21"/>
  <c r="J113" i="21"/>
  <c r="J71" i="21"/>
  <c r="J730" i="21"/>
  <c r="J127" i="21"/>
  <c r="J263" i="21"/>
  <c r="J819" i="21"/>
  <c r="J861" i="21"/>
  <c r="J70" i="21"/>
  <c r="J860" i="21"/>
  <c r="J220" i="21"/>
  <c r="J359" i="21"/>
  <c r="J494" i="21"/>
  <c r="J741" i="21"/>
  <c r="J245" i="21"/>
  <c r="J832" i="21"/>
  <c r="J859" i="21"/>
  <c r="J698" i="21"/>
  <c r="J187" i="21"/>
  <c r="J761" i="21"/>
  <c r="J790" i="21"/>
  <c r="J484" i="21"/>
  <c r="J841" i="21"/>
  <c r="J831" i="21"/>
  <c r="J316" i="21"/>
  <c r="J665" i="21"/>
  <c r="J858" i="21"/>
  <c r="J659" i="21"/>
  <c r="J857" i="21"/>
  <c r="J789" i="21"/>
  <c r="J708" i="21"/>
  <c r="J784" i="21"/>
  <c r="J210" i="21"/>
  <c r="J252" i="21"/>
  <c r="J305" i="21"/>
  <c r="J610" i="21"/>
  <c r="J823" i="21"/>
  <c r="J840" i="21"/>
  <c r="J619" i="21"/>
  <c r="J284" i="21"/>
  <c r="J289" i="21"/>
  <c r="J186" i="21"/>
  <c r="J358" i="21"/>
  <c r="J664" i="21"/>
  <c r="J839" i="21"/>
  <c r="J467" i="21"/>
  <c r="J548" i="21"/>
  <c r="J690" i="21"/>
  <c r="J409" i="21"/>
  <c r="J502" i="21"/>
  <c r="J299" i="21"/>
  <c r="J508" i="21"/>
  <c r="J707" i="21"/>
  <c r="J923" i="21"/>
  <c r="J818" i="21"/>
  <c r="J126" i="21"/>
  <c r="J922" i="21"/>
  <c r="J457" i="21"/>
  <c r="J788" i="21"/>
  <c r="J706" i="21"/>
  <c r="J247" i="21"/>
  <c r="J507" i="21"/>
  <c r="J436" i="21"/>
  <c r="J644" i="21"/>
  <c r="J830" i="21"/>
  <c r="J640" i="21"/>
  <c r="J279" i="21"/>
  <c r="J618" i="21"/>
  <c r="J705" i="21"/>
  <c r="J729" i="21"/>
  <c r="J856" i="21"/>
  <c r="J855" i="21"/>
  <c r="J357" i="21"/>
  <c r="J18" i="21"/>
  <c r="J854" i="21"/>
  <c r="J453" i="21"/>
  <c r="J13" i="21"/>
  <c r="J298" i="21"/>
  <c r="J452" i="21"/>
  <c r="J356" i="21"/>
  <c r="J921" i="21"/>
  <c r="J444" i="21"/>
  <c r="J760" i="21"/>
  <c r="J69" i="21"/>
  <c r="J777" i="21"/>
  <c r="J728" i="21"/>
  <c r="J727" i="21"/>
  <c r="J483" i="21"/>
  <c r="J466" i="21"/>
  <c r="J162" i="21"/>
  <c r="J142" i="21"/>
  <c r="J185" i="21"/>
  <c r="J787" i="21"/>
  <c r="J171" i="21"/>
  <c r="J42" i="21"/>
  <c r="J52" i="21"/>
  <c r="J759" i="21"/>
  <c r="J853" i="21"/>
  <c r="J786" i="21"/>
  <c r="J63" i="21"/>
  <c r="J68" i="21"/>
  <c r="J493" i="21"/>
  <c r="J663" i="21"/>
  <c r="J785" i="21"/>
  <c r="J355" i="21"/>
  <c r="J297" i="21"/>
  <c r="J547" i="21"/>
  <c r="J546" i="21"/>
  <c r="J278" i="21"/>
  <c r="J643" i="21"/>
  <c r="J545" i="21"/>
  <c r="J17" i="21"/>
  <c r="J604" i="21"/>
  <c r="J184" i="21"/>
  <c r="J603" i="21"/>
  <c r="J296" i="21"/>
  <c r="J51" i="21"/>
  <c r="J66" i="21"/>
  <c r="J1858" i="20"/>
  <c r="J452" i="20"/>
  <c r="J1909" i="20"/>
  <c r="J602" i="20"/>
  <c r="J750" i="20"/>
  <c r="J1857" i="20"/>
  <c r="J644" i="20"/>
  <c r="J1856" i="20"/>
  <c r="J1208" i="20"/>
  <c r="J262" i="20"/>
  <c r="J1338" i="20"/>
  <c r="J1432" i="20"/>
  <c r="J1565" i="20"/>
  <c r="J52" i="20"/>
  <c r="J1154" i="20"/>
  <c r="J1207" i="20"/>
  <c r="J1855" i="20"/>
  <c r="J451" i="20"/>
  <c r="J1854" i="20"/>
  <c r="J1308" i="20"/>
  <c r="J1269" i="20"/>
  <c r="J222" i="20"/>
  <c r="J450" i="20"/>
  <c r="J1288" i="20"/>
  <c r="J549" i="20"/>
  <c r="J1268" i="20"/>
  <c r="J449" i="20"/>
  <c r="J448" i="20"/>
  <c r="J447" i="20"/>
  <c r="J1307" i="20"/>
  <c r="J1153" i="20"/>
  <c r="J1287" i="20"/>
  <c r="J787" i="20"/>
  <c r="J261" i="20"/>
  <c r="J535" i="20"/>
  <c r="J51" i="20"/>
  <c r="J1853" i="20"/>
  <c r="J1439" i="20"/>
  <c r="J1707" i="20"/>
  <c r="J1631" i="20"/>
  <c r="J1630" i="20"/>
  <c r="J1852" i="20"/>
  <c r="J1897" i="20"/>
  <c r="J1511" i="20"/>
  <c r="J1851" i="20"/>
  <c r="J446" i="20"/>
  <c r="J869" i="20"/>
  <c r="J445" i="20"/>
  <c r="J444" i="20"/>
  <c r="J534" i="20"/>
  <c r="J260" i="20"/>
  <c r="J259" i="20"/>
  <c r="J1564" i="20"/>
  <c r="J1908" i="20"/>
  <c r="J1009" i="20"/>
  <c r="J533" i="20"/>
  <c r="J1586" i="20"/>
  <c r="J1850" i="20"/>
  <c r="J1849" i="20"/>
  <c r="J532" i="20"/>
  <c r="J1933" i="20"/>
  <c r="J1152" i="20"/>
  <c r="J50" i="20"/>
  <c r="J1151" i="20"/>
  <c r="J1008" i="20"/>
  <c r="J1563" i="20"/>
  <c r="J1896" i="20"/>
  <c r="J233" i="20"/>
  <c r="J531" i="20"/>
  <c r="J777" i="20"/>
  <c r="J195" i="20"/>
  <c r="J1706" i="20"/>
  <c r="J530" i="20"/>
  <c r="J189" i="20"/>
  <c r="J443" i="20"/>
  <c r="J442" i="20"/>
  <c r="J1206" i="20"/>
  <c r="J1895" i="20"/>
  <c r="J441" i="20"/>
  <c r="J1205" i="20"/>
  <c r="J440" i="20"/>
  <c r="J439" i="20"/>
  <c r="J1629" i="20"/>
  <c r="J84" i="20"/>
  <c r="J83" i="20"/>
  <c r="J188" i="20"/>
  <c r="J1472" i="20"/>
  <c r="J1471" i="20"/>
  <c r="J1510" i="20"/>
  <c r="J1400" i="20"/>
  <c r="J1399" i="20"/>
  <c r="J1326" i="20"/>
  <c r="J1356" i="20"/>
  <c r="J1306" i="20"/>
  <c r="J1894" i="20"/>
  <c r="J917" i="20"/>
  <c r="J258" i="20"/>
  <c r="J1150" i="20"/>
  <c r="J438" i="20"/>
  <c r="J1238" i="20"/>
  <c r="J937" i="20"/>
  <c r="J49" i="20"/>
  <c r="J118" i="20"/>
  <c r="J1848" i="20"/>
  <c r="J1847" i="20"/>
  <c r="J1571" i="20"/>
  <c r="J1398" i="20"/>
  <c r="J437" i="20"/>
  <c r="J214" i="20"/>
  <c r="J936" i="20"/>
  <c r="J136" i="20"/>
  <c r="J833" i="20"/>
  <c r="J721" i="20"/>
  <c r="J1149" i="20"/>
  <c r="J1007" i="20"/>
  <c r="J1006" i="20"/>
  <c r="J572" i="20"/>
  <c r="J1846" i="20"/>
  <c r="J529" i="20"/>
  <c r="J1005" i="20"/>
  <c r="J1148" i="20"/>
  <c r="J1147" i="20"/>
  <c r="J528" i="20"/>
  <c r="J868" i="20"/>
  <c r="J1146" i="20"/>
  <c r="J436" i="20"/>
  <c r="J1242" i="20"/>
  <c r="J916" i="20"/>
  <c r="J1845" i="20"/>
  <c r="J1844" i="20"/>
  <c r="J1693" i="20"/>
  <c r="J435" i="20"/>
  <c r="J434" i="20"/>
  <c r="J1204" i="20"/>
  <c r="J1203" i="20"/>
  <c r="J48" i="20"/>
  <c r="J791" i="20"/>
  <c r="J1521" i="20"/>
  <c r="J1932" i="20"/>
  <c r="J1931" i="20"/>
  <c r="J1286" i="20"/>
  <c r="J433" i="20"/>
  <c r="J432" i="20"/>
  <c r="J832" i="20"/>
  <c r="J11" i="20"/>
  <c r="J1470" i="20"/>
  <c r="J431" i="20"/>
  <c r="J1202" i="20"/>
  <c r="J1628" i="20"/>
  <c r="J1325" i="20"/>
  <c r="J941" i="20"/>
  <c r="J940" i="20"/>
  <c r="J1145" i="20"/>
  <c r="J1843" i="20"/>
  <c r="J1305" i="20"/>
  <c r="J1907" i="20"/>
  <c r="J1469" i="20"/>
  <c r="J1237" i="20"/>
  <c r="J1253" i="20"/>
  <c r="J430" i="20"/>
  <c r="J187" i="20"/>
  <c r="J47" i="20"/>
  <c r="J1893" i="20"/>
  <c r="J1494" i="20"/>
  <c r="J1722" i="20"/>
  <c r="J1144" i="20"/>
  <c r="J1252" i="20"/>
  <c r="J1718" i="20"/>
  <c r="J1562" i="20"/>
  <c r="J867" i="20"/>
  <c r="J1143" i="20"/>
  <c r="J429" i="20"/>
  <c r="J1251" i="20"/>
  <c r="J428" i="20"/>
  <c r="J601" i="20"/>
  <c r="J571" i="20"/>
  <c r="J619" i="20"/>
  <c r="J1585" i="20"/>
  <c r="J915" i="20"/>
  <c r="J1304" i="20"/>
  <c r="J186" i="20"/>
  <c r="J185" i="20"/>
  <c r="J184" i="20"/>
  <c r="J776" i="20"/>
  <c r="J756" i="20"/>
  <c r="J749" i="20"/>
  <c r="J1201" i="20"/>
  <c r="J257" i="20"/>
  <c r="J3" i="20"/>
  <c r="J1142" i="20"/>
  <c r="J1431" i="20"/>
  <c r="J914" i="20"/>
  <c r="J1227" i="20"/>
  <c r="J527" i="20"/>
  <c r="J600" i="20"/>
  <c r="J748" i="20"/>
  <c r="J89" i="20"/>
  <c r="J427" i="20"/>
  <c r="J1397" i="20"/>
  <c r="J1842" i="20"/>
  <c r="J570" i="20"/>
  <c r="J720" i="20"/>
  <c r="J719" i="20"/>
  <c r="J426" i="20"/>
  <c r="J1570" i="20"/>
  <c r="J1303" i="20"/>
  <c r="J1141" i="20"/>
  <c r="J1468" i="20"/>
  <c r="J425" i="20"/>
  <c r="J198" i="20"/>
  <c r="J10" i="20"/>
  <c r="J1930" i="20"/>
  <c r="J1430" i="20"/>
  <c r="J1627" i="20"/>
  <c r="J1841" i="20"/>
  <c r="J913" i="20"/>
  <c r="J569" i="20"/>
  <c r="J424" i="20"/>
  <c r="J256" i="20"/>
  <c r="J618" i="20"/>
  <c r="J462" i="20"/>
  <c r="J183" i="20"/>
  <c r="J1324" i="20"/>
  <c r="J912" i="20"/>
  <c r="J1140" i="20"/>
  <c r="J82" i="20"/>
  <c r="J182" i="20"/>
  <c r="J1139" i="20"/>
  <c r="J526" i="20"/>
  <c r="J831" i="20"/>
  <c r="J796" i="20"/>
  <c r="J718" i="20"/>
  <c r="J255" i="20"/>
  <c r="J423" i="20"/>
  <c r="J1396" i="20"/>
  <c r="J866" i="20"/>
  <c r="J117" i="20"/>
  <c r="J422" i="20"/>
  <c r="J830" i="20"/>
  <c r="J865" i="20"/>
  <c r="J421" i="20"/>
  <c r="J420" i="20"/>
  <c r="J659" i="20"/>
  <c r="J658" i="20"/>
  <c r="J864" i="20"/>
  <c r="J46" i="20"/>
  <c r="J81" i="20"/>
  <c r="J1692" i="20"/>
  <c r="J863" i="20"/>
  <c r="J1138" i="20"/>
  <c r="J1137" i="20"/>
  <c r="J1395" i="20"/>
  <c r="J1236" i="20"/>
  <c r="J254" i="20"/>
  <c r="J1136" i="20"/>
  <c r="J181" i="20"/>
  <c r="J1626" i="20"/>
  <c r="J1691" i="20"/>
  <c r="J1200" i="20"/>
  <c r="J180" i="20"/>
  <c r="J747" i="20"/>
  <c r="J599" i="20"/>
  <c r="J525" i="20"/>
  <c r="J1840" i="20"/>
  <c r="J419" i="20"/>
  <c r="J617" i="20"/>
  <c r="J418" i="20"/>
  <c r="J464" i="20"/>
  <c r="J417" i="20"/>
  <c r="J1135" i="20"/>
  <c r="J135" i="20"/>
  <c r="J524" i="20"/>
  <c r="J416" i="20"/>
  <c r="J415" i="20"/>
  <c r="J414" i="20"/>
  <c r="J862" i="20"/>
  <c r="J1134" i="20"/>
  <c r="J413" i="20"/>
  <c r="J412" i="20"/>
  <c r="J1285" i="20"/>
  <c r="J1467" i="20"/>
  <c r="J1199" i="20"/>
  <c r="J1198" i="20"/>
  <c r="J179" i="20"/>
  <c r="J1004" i="20"/>
  <c r="J1892" i="20"/>
  <c r="J1408" i="20"/>
  <c r="J178" i="20"/>
  <c r="J1003" i="20"/>
  <c r="J746" i="20"/>
  <c r="J643" i="20"/>
  <c r="J632" i="20"/>
  <c r="J1133" i="20"/>
  <c r="J411" i="20"/>
  <c r="J232" i="20"/>
  <c r="J410" i="20"/>
  <c r="J409" i="20"/>
  <c r="J1002" i="20"/>
  <c r="J523" i="20"/>
  <c r="J1302" i="20"/>
  <c r="J1625" i="20"/>
  <c r="J522" i="20"/>
  <c r="J1891" i="20"/>
  <c r="J408" i="20"/>
  <c r="J407" i="20"/>
  <c r="J1466" i="20"/>
  <c r="J1394" i="20"/>
  <c r="J1393" i="20"/>
  <c r="J1132" i="20"/>
  <c r="J1429" i="20"/>
  <c r="J1355" i="20"/>
  <c r="J1561" i="20"/>
  <c r="J1624" i="20"/>
  <c r="J1584" i="20"/>
  <c r="J1583" i="20"/>
  <c r="J1839" i="20"/>
  <c r="J1392" i="20"/>
  <c r="J1465" i="20"/>
  <c r="J1560" i="20"/>
  <c r="J1001" i="20"/>
  <c r="J1838" i="20"/>
  <c r="J745" i="20"/>
  <c r="J1131" i="20"/>
  <c r="J1690" i="20"/>
  <c r="J1559" i="20"/>
  <c r="J1929" i="20"/>
  <c r="J521" i="20"/>
  <c r="J1130" i="20"/>
  <c r="J1623" i="20"/>
  <c r="J1129" i="20"/>
  <c r="J1928" i="20"/>
  <c r="J1391" i="20"/>
  <c r="J406" i="20"/>
  <c r="J177" i="20"/>
  <c r="J221" i="20"/>
  <c r="J1558" i="20"/>
  <c r="J717" i="20"/>
  <c r="J1000" i="20"/>
  <c r="J1128" i="20"/>
  <c r="J92" i="20"/>
  <c r="J520" i="20"/>
  <c r="J1346" i="20"/>
  <c r="J1837" i="20"/>
  <c r="J1509" i="20"/>
  <c r="J1127" i="20"/>
  <c r="J626" i="20"/>
  <c r="J1211" i="20"/>
  <c r="J405" i="20"/>
  <c r="J598" i="20"/>
  <c r="J404" i="20"/>
  <c r="J1464" i="20"/>
  <c r="J1390" i="20"/>
  <c r="J999" i="20"/>
  <c r="J657" i="20"/>
  <c r="J403" i="20"/>
  <c r="J402" i="20"/>
  <c r="J1126" i="20"/>
  <c r="J1836" i="20"/>
  <c r="J1890" i="20"/>
  <c r="J1508" i="20"/>
  <c r="J998" i="20"/>
  <c r="J716" i="20"/>
  <c r="J1197" i="20"/>
  <c r="J1389" i="20"/>
  <c r="J1906" i="20"/>
  <c r="J1196" i="20"/>
  <c r="J786" i="20"/>
  <c r="J715" i="20"/>
  <c r="J714" i="20"/>
  <c r="J744" i="20"/>
  <c r="J1689" i="20"/>
  <c r="J45" i="20"/>
  <c r="J1388" i="20"/>
  <c r="J1387" i="20"/>
  <c r="J829" i="20"/>
  <c r="J401" i="20"/>
  <c r="J775" i="20"/>
  <c r="J1622" i="20"/>
  <c r="J1125" i="20"/>
  <c r="J400" i="20"/>
  <c r="J1124" i="20"/>
  <c r="J911" i="20"/>
  <c r="J568" i="20"/>
  <c r="J194" i="20"/>
  <c r="J1688" i="20"/>
  <c r="J548" i="20"/>
  <c r="J1835" i="20"/>
  <c r="J1834" i="20"/>
  <c r="J1833" i="20"/>
  <c r="J597" i="20"/>
  <c r="J519" i="20"/>
  <c r="J253" i="20"/>
  <c r="J807" i="20"/>
  <c r="J518" i="20"/>
  <c r="J1717" i="20"/>
  <c r="J1557" i="20"/>
  <c r="J252" i="20"/>
  <c r="J399" i="20"/>
  <c r="J517" i="20"/>
  <c r="J1195" i="20"/>
  <c r="J755" i="20"/>
  <c r="J1194" i="20"/>
  <c r="J1331" i="20"/>
  <c r="J1323" i="20"/>
  <c r="J1123" i="20"/>
  <c r="J642" i="20"/>
  <c r="J134" i="20"/>
  <c r="J1438" i="20"/>
  <c r="J1193" i="20"/>
  <c r="J213" i="20"/>
  <c r="J774" i="20"/>
  <c r="J935" i="20"/>
  <c r="J596" i="20"/>
  <c r="J773" i="20"/>
  <c r="J44" i="20"/>
  <c r="J398" i="20"/>
  <c r="J1832" i="20"/>
  <c r="J1386" i="20"/>
  <c r="J463" i="20"/>
  <c r="J516" i="20"/>
  <c r="J743" i="20"/>
  <c r="J1122" i="20"/>
  <c r="J1582" i="20"/>
  <c r="J861" i="20"/>
  <c r="J910" i="20"/>
  <c r="J1520" i="20"/>
  <c r="J1831" i="20"/>
  <c r="J1428" i="20"/>
  <c r="J1507" i="20"/>
  <c r="J397" i="20"/>
  <c r="J515" i="20"/>
  <c r="J828" i="20"/>
  <c r="J713" i="20"/>
  <c r="J712" i="20"/>
  <c r="J567" i="20"/>
  <c r="J88" i="20"/>
  <c r="J1121" i="20"/>
  <c r="J1120" i="20"/>
  <c r="J1119" i="20"/>
  <c r="J461" i="20"/>
  <c r="J116" i="20"/>
  <c r="J514" i="20"/>
  <c r="J1192" i="20"/>
  <c r="J468" i="20"/>
  <c r="J1687" i="20"/>
  <c r="J860" i="20"/>
  <c r="J1191" i="20"/>
  <c r="J1118" i="20"/>
  <c r="J1330" i="20"/>
  <c r="J1482" i="20"/>
  <c r="J1621" i="20"/>
  <c r="J396" i="20"/>
  <c r="J595" i="20"/>
  <c r="J1309" i="20"/>
  <c r="J909" i="20"/>
  <c r="J395" i="20"/>
  <c r="J1686" i="20"/>
  <c r="J1337" i="20"/>
  <c r="J1117" i="20"/>
  <c r="J1556" i="20"/>
  <c r="J997" i="20"/>
  <c r="J1190" i="20"/>
  <c r="J394" i="20"/>
  <c r="J393" i="20"/>
  <c r="J392" i="20"/>
  <c r="J176" i="20"/>
  <c r="J1284" i="20"/>
  <c r="J1685" i="20"/>
  <c r="J1830" i="20"/>
  <c r="J1301" i="20"/>
  <c r="J1620" i="20"/>
  <c r="J1116" i="20"/>
  <c r="J9" i="20"/>
  <c r="J8" i="20"/>
  <c r="J1619" i="20"/>
  <c r="J1115" i="20"/>
  <c r="J547" i="20"/>
  <c r="J80" i="20"/>
  <c r="J827" i="20"/>
  <c r="J212" i="20"/>
  <c r="J115" i="20"/>
  <c r="J616" i="20"/>
  <c r="J772" i="20"/>
  <c r="J1322" i="20"/>
  <c r="J91" i="20"/>
  <c r="J1889" i="20"/>
  <c r="J391" i="20"/>
  <c r="J114" i="20"/>
  <c r="J761" i="20"/>
  <c r="J390" i="20"/>
  <c r="J1226" i="20"/>
  <c r="J1569" i="20"/>
  <c r="J908" i="20"/>
  <c r="J1888" i="20"/>
  <c r="J1618" i="20"/>
  <c r="J1463" i="20"/>
  <c r="J625" i="20"/>
  <c r="J1114" i="20"/>
  <c r="J79" i="20"/>
  <c r="J43" i="20"/>
  <c r="J42" i="20"/>
  <c r="J389" i="20"/>
  <c r="J934" i="20"/>
  <c r="J1905" i="20"/>
  <c r="J388" i="20"/>
  <c r="J175" i="20"/>
  <c r="J513" i="20"/>
  <c r="J387" i="20"/>
  <c r="J742" i="20"/>
  <c r="J1357" i="20"/>
  <c r="J386" i="20"/>
  <c r="J1514" i="20"/>
  <c r="J385" i="20"/>
  <c r="J1829" i="20"/>
  <c r="J1555" i="20"/>
  <c r="J1462" i="20"/>
  <c r="J996" i="20"/>
  <c r="J995" i="20"/>
  <c r="J78" i="20"/>
  <c r="J1189" i="20"/>
  <c r="J594" i="20"/>
  <c r="J566" i="20"/>
  <c r="J1828" i="20"/>
  <c r="J512" i="20"/>
  <c r="J41" i="20"/>
  <c r="J384" i="20"/>
  <c r="J1554" i="20"/>
  <c r="J231" i="20"/>
  <c r="J1385" i="20"/>
  <c r="J859" i="20"/>
  <c r="J251" i="20"/>
  <c r="J711" i="20"/>
  <c r="J1283" i="20"/>
  <c r="J230" i="20"/>
  <c r="J77" i="20"/>
  <c r="J1427" i="20"/>
  <c r="J907" i="20"/>
  <c r="J1827" i="20"/>
  <c r="J1384" i="20"/>
  <c r="J1826" i="20"/>
  <c r="J710" i="20"/>
  <c r="J61" i="20"/>
  <c r="J1825" i="20"/>
  <c r="J1824" i="20"/>
  <c r="J1426" i="20"/>
  <c r="J1581" i="20"/>
  <c r="J383" i="20"/>
  <c r="J1188" i="20"/>
  <c r="J1321" i="20"/>
  <c r="J1414" i="20"/>
  <c r="J741" i="20"/>
  <c r="J382" i="20"/>
  <c r="J113" i="20"/>
  <c r="J124" i="20"/>
  <c r="J381" i="20"/>
  <c r="J1267" i="20"/>
  <c r="J785" i="20"/>
  <c r="J1320" i="20"/>
  <c r="J933" i="20"/>
  <c r="J994" i="20"/>
  <c r="J858" i="20"/>
  <c r="J1282" i="20"/>
  <c r="J1113" i="20"/>
  <c r="J511" i="20"/>
  <c r="J593" i="20"/>
  <c r="J1407" i="20"/>
  <c r="J1553" i="20"/>
  <c r="J709" i="20"/>
  <c r="J826" i="20"/>
  <c r="J1617" i="20"/>
  <c r="J380" i="20"/>
  <c r="J1481" i="20"/>
  <c r="J565" i="20"/>
  <c r="J1705" i="20"/>
  <c r="J1580" i="20"/>
  <c r="J1187" i="20"/>
  <c r="J112" i="20"/>
  <c r="J111" i="20"/>
  <c r="J510" i="20"/>
  <c r="J40" i="20"/>
  <c r="J379" i="20"/>
  <c r="J656" i="20"/>
  <c r="J708" i="20"/>
  <c r="J707" i="20"/>
  <c r="J706" i="20"/>
  <c r="J740" i="20"/>
  <c r="J460" i="20"/>
  <c r="J1112" i="20"/>
  <c r="J1823" i="20"/>
  <c r="J1329" i="20"/>
  <c r="J229" i="20"/>
  <c r="J1111" i="20"/>
  <c r="J250" i="20"/>
  <c r="J1110" i="20"/>
  <c r="J509" i="20"/>
  <c r="J857" i="20"/>
  <c r="J378" i="20"/>
  <c r="J1704" i="20"/>
  <c r="J110" i="20"/>
  <c r="J993" i="20"/>
  <c r="J592" i="20"/>
  <c r="J705" i="20"/>
  <c r="J1461" i="20"/>
  <c r="J1186" i="20"/>
  <c r="J39" i="20"/>
  <c r="J377" i="20"/>
  <c r="J1109" i="20"/>
  <c r="J992" i="20"/>
  <c r="J1904" i="20"/>
  <c r="J376" i="20"/>
  <c r="J1250" i="20"/>
  <c r="J375" i="20"/>
  <c r="J109" i="20"/>
  <c r="J1249" i="20"/>
  <c r="J1235" i="20"/>
  <c r="J1506" i="20"/>
  <c r="J564" i="20"/>
  <c r="J1413" i="20"/>
  <c r="J856" i="20"/>
  <c r="J374" i="20"/>
  <c r="J373" i="20"/>
  <c r="J641" i="20"/>
  <c r="J640" i="20"/>
  <c r="J372" i="20"/>
  <c r="J1684" i="20"/>
  <c r="J1266" i="20"/>
  <c r="J1108" i="20"/>
  <c r="J1158" i="20"/>
  <c r="J38" i="20"/>
  <c r="J371" i="20"/>
  <c r="J1107" i="20"/>
  <c r="J1822" i="20"/>
  <c r="J1821" i="20"/>
  <c r="J906" i="20"/>
  <c r="J991" i="20"/>
  <c r="J932" i="20"/>
  <c r="J370" i="20"/>
  <c r="J174" i="20"/>
  <c r="J1505" i="20"/>
  <c r="J1319" i="20"/>
  <c r="J508" i="20"/>
  <c r="J228" i="20"/>
  <c r="J784" i="20"/>
  <c r="J1241" i="20"/>
  <c r="J173" i="20"/>
  <c r="J249" i="20"/>
  <c r="J220" i="20"/>
  <c r="J1489" i="20"/>
  <c r="J1552" i="20"/>
  <c r="J1551" i="20"/>
  <c r="J507" i="20"/>
  <c r="J1550" i="20"/>
  <c r="J1683" i="20"/>
  <c r="J1820" i="20"/>
  <c r="J591" i="20"/>
  <c r="J1106" i="20"/>
  <c r="J825" i="20"/>
  <c r="J1703" i="20"/>
  <c r="J590" i="20"/>
  <c r="J1105" i="20"/>
  <c r="J1406" i="20"/>
  <c r="J369" i="20"/>
  <c r="J1104" i="20"/>
  <c r="J1103" i="20"/>
  <c r="J806" i="20"/>
  <c r="J655" i="20"/>
  <c r="J76" i="20"/>
  <c r="J123" i="20"/>
  <c r="J905" i="20"/>
  <c r="J990" i="20"/>
  <c r="J989" i="20"/>
  <c r="J563" i="20"/>
  <c r="J988" i="20"/>
  <c r="J1819" i="20"/>
  <c r="J1818" i="20"/>
  <c r="J1102" i="20"/>
  <c r="J1281" i="20"/>
  <c r="J1579" i="20"/>
  <c r="J1345" i="20"/>
  <c r="J1425" i="20"/>
  <c r="J368" i="20"/>
  <c r="J211" i="20"/>
  <c r="J367" i="20"/>
  <c r="J987" i="20"/>
  <c r="J1300" i="20"/>
  <c r="J366" i="20"/>
  <c r="J986" i="20"/>
  <c r="J546" i="20"/>
  <c r="J1344" i="20"/>
  <c r="J1616" i="20"/>
  <c r="J1568" i="20"/>
  <c r="J704" i="20"/>
  <c r="J506" i="20"/>
  <c r="J172" i="20"/>
  <c r="J505" i="20"/>
  <c r="J193" i="20"/>
  <c r="J365" i="20"/>
  <c r="J703" i="20"/>
  <c r="J1225" i="20"/>
  <c r="J855" i="20"/>
  <c r="J1682" i="20"/>
  <c r="J854" i="20"/>
  <c r="J1185" i="20"/>
  <c r="J1817" i="20"/>
  <c r="J1280" i="20"/>
  <c r="J1615" i="20"/>
  <c r="J1721" i="20"/>
  <c r="J1578" i="20"/>
  <c r="J1343" i="20"/>
  <c r="J1816" i="20"/>
  <c r="J615" i="20"/>
  <c r="J37" i="20"/>
  <c r="J1101" i="20"/>
  <c r="J1100" i="20"/>
  <c r="J2" i="20"/>
  <c r="J171" i="20"/>
  <c r="J654" i="20"/>
  <c r="J108" i="20"/>
  <c r="J170" i="20"/>
  <c r="J639" i="20"/>
  <c r="J653" i="20"/>
  <c r="J771" i="20"/>
  <c r="J702" i="20"/>
  <c r="J790" i="20"/>
  <c r="J789" i="20"/>
  <c r="J364" i="20"/>
  <c r="J985" i="20"/>
  <c r="J984" i="20"/>
  <c r="J652" i="20"/>
  <c r="J1887" i="20"/>
  <c r="J459" i="20"/>
  <c r="J1614" i="20"/>
  <c r="J504" i="20"/>
  <c r="J824" i="20"/>
  <c r="J1299" i="20"/>
  <c r="J1927" i="20"/>
  <c r="J1613" i="20"/>
  <c r="J701" i="20"/>
  <c r="J700" i="20"/>
  <c r="J1383" i="20"/>
  <c r="J1549" i="20"/>
  <c r="J760" i="20"/>
  <c r="J363" i="20"/>
  <c r="J1099" i="20"/>
  <c r="J1886" i="20"/>
  <c r="J1265" i="20"/>
  <c r="J1098" i="20"/>
  <c r="J939" i="20"/>
  <c r="J1097" i="20"/>
  <c r="J795" i="20"/>
  <c r="J1815" i="20"/>
  <c r="J1681" i="20"/>
  <c r="J853" i="20"/>
  <c r="J1493" i="20"/>
  <c r="J503" i="20"/>
  <c r="J502" i="20"/>
  <c r="J1096" i="20"/>
  <c r="J133" i="20"/>
  <c r="J210" i="20"/>
  <c r="J1184" i="20"/>
  <c r="J169" i="20"/>
  <c r="J1926" i="20"/>
  <c r="J1382" i="20"/>
  <c r="J1885" i="20"/>
  <c r="J938" i="20"/>
  <c r="J362" i="20"/>
  <c r="J54" i="20"/>
  <c r="J983" i="20"/>
  <c r="J982" i="20"/>
  <c r="J1095" i="20"/>
  <c r="J651" i="20"/>
  <c r="J1094" i="20"/>
  <c r="J1381" i="20"/>
  <c r="J1210" i="20"/>
  <c r="J699" i="20"/>
  <c r="J168" i="20"/>
  <c r="J467" i="20"/>
  <c r="J1577" i="20"/>
  <c r="J1318" i="20"/>
  <c r="J770" i="20"/>
  <c r="J75" i="20"/>
  <c r="J1612" i="20"/>
  <c r="J1884" i="20"/>
  <c r="J1209" i="20"/>
  <c r="J1183" i="20"/>
  <c r="J662" i="20"/>
  <c r="J1680" i="20"/>
  <c r="J1814" i="20"/>
  <c r="J1716" i="20"/>
  <c r="J562" i="20"/>
  <c r="J1424" i="20"/>
  <c r="J1224" i="20"/>
  <c r="J805" i="20"/>
  <c r="J739" i="20"/>
  <c r="J74" i="20"/>
  <c r="J1813" i="20"/>
  <c r="J1093" i="20"/>
  <c r="J1812" i="20"/>
  <c r="J1548" i="20"/>
  <c r="J1279" i="20"/>
  <c r="J1380" i="20"/>
  <c r="J1223" i="20"/>
  <c r="J167" i="20"/>
  <c r="J852" i="20"/>
  <c r="J361" i="20"/>
  <c r="J1679" i="20"/>
  <c r="J1513" i="20"/>
  <c r="J1611" i="20"/>
  <c r="J1092" i="20"/>
  <c r="J783" i="20"/>
  <c r="J1519" i="20"/>
  <c r="J589" i="20"/>
  <c r="J738" i="20"/>
  <c r="J904" i="20"/>
  <c r="J823" i="20"/>
  <c r="J1379" i="20"/>
  <c r="J822" i="20"/>
  <c r="J1182" i="20"/>
  <c r="J1234" i="20"/>
  <c r="J1504" i="20"/>
  <c r="J769" i="20"/>
  <c r="J360" i="20"/>
  <c r="J903" i="20"/>
  <c r="J768" i="20"/>
  <c r="J1091" i="20"/>
  <c r="J73" i="20"/>
  <c r="J1811" i="20"/>
  <c r="J1547" i="20"/>
  <c r="J1336" i="20"/>
  <c r="J1678" i="20"/>
  <c r="J166" i="20"/>
  <c r="J698" i="20"/>
  <c r="J588" i="20"/>
  <c r="J1677" i="20"/>
  <c r="J1810" i="20"/>
  <c r="J1298" i="20"/>
  <c r="J1546" i="20"/>
  <c r="J219" i="20"/>
  <c r="J132" i="20"/>
  <c r="J60" i="20"/>
  <c r="J501" i="20"/>
  <c r="J500" i="20"/>
  <c r="J697" i="20"/>
  <c r="J696" i="20"/>
  <c r="J737" i="20"/>
  <c r="J902" i="20"/>
  <c r="J1090" i="20"/>
  <c r="J165" i="20"/>
  <c r="J981" i="20"/>
  <c r="J1089" i="20"/>
  <c r="J36" i="20"/>
  <c r="J1328" i="20"/>
  <c r="J1088" i="20"/>
  <c r="J561" i="20"/>
  <c r="J1087" i="20"/>
  <c r="J72" i="20"/>
  <c r="J1086" i="20"/>
  <c r="J901" i="20"/>
  <c r="J1085" i="20"/>
  <c r="J1809" i="20"/>
  <c r="J359" i="20"/>
  <c r="J782" i="20"/>
  <c r="J1460" i="20"/>
  <c r="J1437" i="20"/>
  <c r="J1459" i="20"/>
  <c r="J197" i="20"/>
  <c r="J1354" i="20"/>
  <c r="J358" i="20"/>
  <c r="J781" i="20"/>
  <c r="J35" i="20"/>
  <c r="J1808" i="20"/>
  <c r="J1807" i="20"/>
  <c r="J458" i="20"/>
  <c r="J1610" i="20"/>
  <c r="J1676" i="20"/>
  <c r="J1327" i="20"/>
  <c r="J1084" i="20"/>
  <c r="J1378" i="20"/>
  <c r="J1083" i="20"/>
  <c r="J499" i="20"/>
  <c r="J164" i="20"/>
  <c r="J900" i="20"/>
  <c r="J1925" i="20"/>
  <c r="J1377" i="20"/>
  <c r="J1458" i="20"/>
  <c r="J695" i="20"/>
  <c r="J498" i="20"/>
  <c r="J1609" i="20"/>
  <c r="J980" i="20"/>
  <c r="J1806" i="20"/>
  <c r="J1805" i="20"/>
  <c r="J357" i="20"/>
  <c r="J851" i="20"/>
  <c r="J1883" i="20"/>
  <c r="J804" i="20"/>
  <c r="J1436" i="20"/>
  <c r="J1082" i="20"/>
  <c r="J356" i="20"/>
  <c r="J1457" i="20"/>
  <c r="J1488" i="20"/>
  <c r="J1804" i="20"/>
  <c r="J1081" i="20"/>
  <c r="J545" i="20"/>
  <c r="J1503" i="20"/>
  <c r="J1545" i="20"/>
  <c r="J587" i="20"/>
  <c r="J586" i="20"/>
  <c r="J736" i="20"/>
  <c r="J1502" i="20"/>
  <c r="J1233" i="20"/>
  <c r="J767" i="20"/>
  <c r="J355" i="20"/>
  <c r="J1080" i="20"/>
  <c r="J1079" i="20"/>
  <c r="J979" i="20"/>
  <c r="J614" i="20"/>
  <c r="J34" i="20"/>
  <c r="J978" i="20"/>
  <c r="J1675" i="20"/>
  <c r="J1803" i="20"/>
  <c r="J1278" i="20"/>
  <c r="J1317" i="20"/>
  <c r="J1608" i="20"/>
  <c r="J1924" i="20"/>
  <c r="J1544" i="20"/>
  <c r="J850" i="20"/>
  <c r="J899" i="20"/>
  <c r="J1078" i="20"/>
  <c r="J218" i="20"/>
  <c r="J497" i="20"/>
  <c r="J354" i="20"/>
  <c r="J638" i="20"/>
  <c r="J650" i="20"/>
  <c r="J694" i="20"/>
  <c r="J693" i="20"/>
  <c r="J735" i="20"/>
  <c r="J898" i="20"/>
  <c r="J849" i="20"/>
  <c r="J585" i="20"/>
  <c r="J544" i="20"/>
  <c r="J496" i="20"/>
  <c r="J631" i="20"/>
  <c r="J766" i="20"/>
  <c r="J227" i="20"/>
  <c r="J977" i="20"/>
  <c r="J624" i="20"/>
  <c r="J692" i="20"/>
  <c r="J976" i="20"/>
  <c r="J560" i="20"/>
  <c r="J107" i="20"/>
  <c r="J975" i="20"/>
  <c r="J1607" i="20"/>
  <c r="J248" i="20"/>
  <c r="J163" i="20"/>
  <c r="J353" i="20"/>
  <c r="J1077" i="20"/>
  <c r="J691" i="20"/>
  <c r="J1376" i="20"/>
  <c r="J1802" i="20"/>
  <c r="J352" i="20"/>
  <c r="J1076" i="20"/>
  <c r="J1075" i="20"/>
  <c r="J1423" i="20"/>
  <c r="J7" i="20"/>
  <c r="J247" i="20"/>
  <c r="J351" i="20"/>
  <c r="J1674" i="20"/>
  <c r="J201" i="20"/>
  <c r="J495" i="20"/>
  <c r="J1181" i="20"/>
  <c r="J162" i="20"/>
  <c r="J543" i="20"/>
  <c r="J821" i="20"/>
  <c r="J1297" i="20"/>
  <c r="J1801" i="20"/>
  <c r="J1412" i="20"/>
  <c r="J33" i="20"/>
  <c r="J350" i="20"/>
  <c r="J494" i="20"/>
  <c r="J1673" i="20"/>
  <c r="J1606" i="20"/>
  <c r="J1074" i="20"/>
  <c r="J1543" i="20"/>
  <c r="J192" i="20"/>
  <c r="J820" i="20"/>
  <c r="J1480" i="20"/>
  <c r="J1479" i="20"/>
  <c r="J1672" i="20"/>
  <c r="J1180" i="20"/>
  <c r="J931" i="20"/>
  <c r="J1501" i="20"/>
  <c r="J974" i="20"/>
  <c r="J1277" i="20"/>
  <c r="J1335" i="20"/>
  <c r="J1800" i="20"/>
  <c r="J106" i="20"/>
  <c r="J897" i="20"/>
  <c r="J1671" i="20"/>
  <c r="J493" i="20"/>
  <c r="J1264" i="20"/>
  <c r="J1232" i="20"/>
  <c r="J1702" i="20"/>
  <c r="J1799" i="20"/>
  <c r="J765" i="20"/>
  <c r="J1670" i="20"/>
  <c r="J32" i="20"/>
  <c r="J734" i="20"/>
  <c r="J1798" i="20"/>
  <c r="J1797" i="20"/>
  <c r="J1882" i="20"/>
  <c r="J1296" i="20"/>
  <c r="J349" i="20"/>
  <c r="J161" i="20"/>
  <c r="J690" i="20"/>
  <c r="J1796" i="20"/>
  <c r="J1605" i="20"/>
  <c r="J1276" i="20"/>
  <c r="J1881" i="20"/>
  <c r="J246" i="20"/>
  <c r="J689" i="20"/>
  <c r="J688" i="20"/>
  <c r="J348" i="20"/>
  <c r="J759" i="20"/>
  <c r="J347" i="20"/>
  <c r="J1795" i="20"/>
  <c r="J160" i="20"/>
  <c r="J346" i="20"/>
  <c r="J345" i="20"/>
  <c r="J613" i="20"/>
  <c r="J1073" i="20"/>
  <c r="J492" i="20"/>
  <c r="J848" i="20"/>
  <c r="J1179" i="20"/>
  <c r="J1542" i="20"/>
  <c r="J1456" i="20"/>
  <c r="J344" i="20"/>
  <c r="J209" i="20"/>
  <c r="J343" i="20"/>
  <c r="J1500" i="20"/>
  <c r="J1794" i="20"/>
  <c r="J342" i="20"/>
  <c r="J1713" i="20"/>
  <c r="J1880" i="20"/>
  <c r="J87" i="20"/>
  <c r="J612" i="20"/>
  <c r="J1072" i="20"/>
  <c r="J245" i="20"/>
  <c r="J847" i="20"/>
  <c r="J1405" i="20"/>
  <c r="J1793" i="20"/>
  <c r="J687" i="20"/>
  <c r="J71" i="20"/>
  <c r="J341" i="20"/>
  <c r="J1879" i="20"/>
  <c r="J340" i="20"/>
  <c r="J1792" i="20"/>
  <c r="J1791" i="20"/>
  <c r="J475" i="20"/>
  <c r="J1422" i="20"/>
  <c r="J1071" i="20"/>
  <c r="J973" i="20"/>
  <c r="J1712" i="20"/>
  <c r="J1790" i="20"/>
  <c r="J1375" i="20"/>
  <c r="J819" i="20"/>
  <c r="J491" i="20"/>
  <c r="J803" i="20"/>
  <c r="J1455" i="20"/>
  <c r="J1411" i="20"/>
  <c r="J559" i="20"/>
  <c r="J122" i="20"/>
  <c r="J1374" i="20"/>
  <c r="J159" i="20"/>
  <c r="J1342" i="20"/>
  <c r="J1373" i="20"/>
  <c r="J90" i="20"/>
  <c r="J972" i="20"/>
  <c r="J733" i="20"/>
  <c r="J896" i="20"/>
  <c r="J1316" i="20"/>
  <c r="J1315" i="20"/>
  <c r="J1903" i="20"/>
  <c r="J339" i="20"/>
  <c r="J158" i="20"/>
  <c r="J6" i="20"/>
  <c r="J611" i="20"/>
  <c r="J584" i="20"/>
  <c r="J1070" i="20"/>
  <c r="J1069" i="20"/>
  <c r="J1068" i="20"/>
  <c r="J1067" i="20"/>
  <c r="J1701" i="20"/>
  <c r="J1066" i="20"/>
  <c r="J1878" i="20"/>
  <c r="J1902" i="20"/>
  <c r="J764" i="20"/>
  <c r="J157" i="20"/>
  <c r="J490" i="20"/>
  <c r="J1263" i="20"/>
  <c r="J583" i="20"/>
  <c r="J1275" i="20"/>
  <c r="J1314" i="20"/>
  <c r="J1789" i="20"/>
  <c r="J1454" i="20"/>
  <c r="J971" i="20"/>
  <c r="J338" i="20"/>
  <c r="J930" i="20"/>
  <c r="J818" i="20"/>
  <c r="J105" i="20"/>
  <c r="J1478" i="20"/>
  <c r="J104" i="20"/>
  <c r="J466" i="20"/>
  <c r="J970" i="20"/>
  <c r="J895" i="20"/>
  <c r="J1512" i="20"/>
  <c r="J337" i="20"/>
  <c r="J208" i="20"/>
  <c r="J1453" i="20"/>
  <c r="J1065" i="20"/>
  <c r="J1274" i="20"/>
  <c r="J103" i="20"/>
  <c r="J1178" i="20"/>
  <c r="J1788" i="20"/>
  <c r="J969" i="20"/>
  <c r="J623" i="20"/>
  <c r="J1452" i="20"/>
  <c r="J1435" i="20"/>
  <c r="J686" i="20"/>
  <c r="J542" i="20"/>
  <c r="J336" i="20"/>
  <c r="J846" i="20"/>
  <c r="J335" i="20"/>
  <c r="J334" i="20"/>
  <c r="J1177" i="20"/>
  <c r="J1372" i="20"/>
  <c r="J1669" i="20"/>
  <c r="J1064" i="20"/>
  <c r="J1063" i="20"/>
  <c r="J333" i="20"/>
  <c r="J1062" i="20"/>
  <c r="J1668" i="20"/>
  <c r="J1787" i="20"/>
  <c r="J1176" i="20"/>
  <c r="J1061" i="20"/>
  <c r="J558" i="20"/>
  <c r="J1576" i="20"/>
  <c r="J226" i="20"/>
  <c r="J968" i="20"/>
  <c r="J754" i="20"/>
  <c r="J1877" i="20"/>
  <c r="J1667" i="20"/>
  <c r="J1060" i="20"/>
  <c r="J1604" i="20"/>
  <c r="J332" i="20"/>
  <c r="J1786" i="20"/>
  <c r="J331" i="20"/>
  <c r="J330" i="20"/>
  <c r="J1059" i="20"/>
  <c r="J329" i="20"/>
  <c r="J328" i="20"/>
  <c r="J327" i="20"/>
  <c r="J1785" i="20"/>
  <c r="J31" i="20"/>
  <c r="J326" i="20"/>
  <c r="J207" i="20"/>
  <c r="J325" i="20"/>
  <c r="J685" i="20"/>
  <c r="J1353" i="20"/>
  <c r="J1923" i="20"/>
  <c r="J1541" i="20"/>
  <c r="J557" i="20"/>
  <c r="J1492" i="20"/>
  <c r="J1700" i="20"/>
  <c r="J1273" i="20"/>
  <c r="J1666" i="20"/>
  <c r="J70" i="20"/>
  <c r="J845" i="20"/>
  <c r="J30" i="20"/>
  <c r="J582" i="20"/>
  <c r="J630" i="20"/>
  <c r="J1665" i="20"/>
  <c r="J324" i="20"/>
  <c r="J1295" i="20"/>
  <c r="J121" i="20"/>
  <c r="J323" i="20"/>
  <c r="J1784" i="20"/>
  <c r="J1711" i="20"/>
  <c r="J1783" i="20"/>
  <c r="J102" i="20"/>
  <c r="J758" i="20"/>
  <c r="J622" i="20"/>
  <c r="J322" i="20"/>
  <c r="J321" i="20"/>
  <c r="J780" i="20"/>
  <c r="J929" i="20"/>
  <c r="J928" i="20"/>
  <c r="J217" i="20"/>
  <c r="J1782" i="20"/>
  <c r="J1781" i="20"/>
  <c r="J244" i="20"/>
  <c r="J1222" i="20"/>
  <c r="J1262" i="20"/>
  <c r="J1272" i="20"/>
  <c r="J1876" i="20"/>
  <c r="J320" i="20"/>
  <c r="J1058" i="20"/>
  <c r="J581" i="20"/>
  <c r="J1175" i="20"/>
  <c r="J1780" i="20"/>
  <c r="J580" i="20"/>
  <c r="J1174" i="20"/>
  <c r="J1779" i="20"/>
  <c r="J1664" i="20"/>
  <c r="J817" i="20"/>
  <c r="J1173" i="20"/>
  <c r="J732" i="20"/>
  <c r="J59" i="20"/>
  <c r="J894" i="20"/>
  <c r="J489" i="20"/>
  <c r="J1240" i="20"/>
  <c r="J1603" i="20"/>
  <c r="J1172" i="20"/>
  <c r="J1567" i="20"/>
  <c r="J131" i="20"/>
  <c r="J319" i="20"/>
  <c r="J1875" i="20"/>
  <c r="J731" i="20"/>
  <c r="J1720" i="20"/>
  <c r="J1499" i="20"/>
  <c r="J29" i="20"/>
  <c r="J579" i="20"/>
  <c r="J1874" i="20"/>
  <c r="J1477" i="20"/>
  <c r="J1873" i="20"/>
  <c r="J58" i="20"/>
  <c r="J1410" i="20"/>
  <c r="J1778" i="20"/>
  <c r="J794" i="20"/>
  <c r="J1057" i="20"/>
  <c r="J318" i="20"/>
  <c r="J1056" i="20"/>
  <c r="J1777" i="20"/>
  <c r="J317" i="20"/>
  <c r="J156" i="20"/>
  <c r="J101" i="20"/>
  <c r="J488" i="20"/>
  <c r="J487" i="20"/>
  <c r="J1663" i="20"/>
  <c r="J684" i="20"/>
  <c r="J1055" i="20"/>
  <c r="J130" i="20"/>
  <c r="J100" i="20"/>
  <c r="J1421" i="20"/>
  <c r="J1776" i="20"/>
  <c r="J629" i="20"/>
  <c r="J893" i="20"/>
  <c r="J1248" i="20"/>
  <c r="J1221" i="20"/>
  <c r="J1231" i="20"/>
  <c r="J243" i="20"/>
  <c r="J1247" i="20"/>
  <c r="J556" i="20"/>
  <c r="J1775" i="20"/>
  <c r="J125" i="20"/>
  <c r="J1054" i="20"/>
  <c r="J1575" i="20"/>
  <c r="J1053" i="20"/>
  <c r="J753" i="20"/>
  <c r="J967" i="20"/>
  <c r="J1420" i="20"/>
  <c r="J1451" i="20"/>
  <c r="J555" i="20"/>
  <c r="J1052" i="20"/>
  <c r="J316" i="20"/>
  <c r="J191" i="20"/>
  <c r="J1602" i="20"/>
  <c r="J1662" i="20"/>
  <c r="J1487" i="20"/>
  <c r="J1341" i="20"/>
  <c r="J1157" i="20"/>
  <c r="J486" i="20"/>
  <c r="J649" i="20"/>
  <c r="J155" i="20"/>
  <c r="J1051" i="20"/>
  <c r="J154" i="20"/>
  <c r="J1050" i="20"/>
  <c r="J1049" i="20"/>
  <c r="J966" i="20"/>
  <c r="J485" i="20"/>
  <c r="J730" i="20"/>
  <c r="J242" i="20"/>
  <c r="J1246" i="20"/>
  <c r="J1518" i="20"/>
  <c r="J1715" i="20"/>
  <c r="J1661" i="20"/>
  <c r="J153" i="20"/>
  <c r="J844" i="20"/>
  <c r="J892" i="20"/>
  <c r="J1261" i="20"/>
  <c r="J152" i="20"/>
  <c r="J610" i="20"/>
  <c r="J1352" i="20"/>
  <c r="J1660" i="20"/>
  <c r="J1659" i="20"/>
  <c r="J1171" i="20"/>
  <c r="J1156" i="20"/>
  <c r="J1450" i="20"/>
  <c r="J1449" i="20"/>
  <c r="J1601" i="20"/>
  <c r="J57" i="20"/>
  <c r="J802" i="20"/>
  <c r="J216" i="20"/>
  <c r="J683" i="20"/>
  <c r="J315" i="20"/>
  <c r="J1774" i="20"/>
  <c r="J151" i="20"/>
  <c r="J314" i="20"/>
  <c r="J474" i="20"/>
  <c r="J682" i="20"/>
  <c r="J1773" i="20"/>
  <c r="J1294" i="20"/>
  <c r="J1772" i="20"/>
  <c r="J1048" i="20"/>
  <c r="J1900" i="20"/>
  <c r="J661" i="20"/>
  <c r="J150" i="20"/>
  <c r="J1658" i="20"/>
  <c r="J788" i="20"/>
  <c r="J1699" i="20"/>
  <c r="J149" i="20"/>
  <c r="J28" i="20"/>
  <c r="J816" i="20"/>
  <c r="J1922" i="20"/>
  <c r="J1371" i="20"/>
  <c r="J729" i="20"/>
  <c r="J1771" i="20"/>
  <c r="J313" i="20"/>
  <c r="J1770" i="20"/>
  <c r="J454" i="20"/>
  <c r="J891" i="20"/>
  <c r="J1540" i="20"/>
  <c r="J1769" i="20"/>
  <c r="J1574" i="20"/>
  <c r="J1047" i="20"/>
  <c r="J1517" i="20"/>
  <c r="J1448" i="20"/>
  <c r="J1370" i="20"/>
  <c r="J1046" i="20"/>
  <c r="J815" i="20"/>
  <c r="J1369" i="20"/>
  <c r="J1170" i="20"/>
  <c r="J763" i="20"/>
  <c r="J312" i="20"/>
  <c r="J681" i="20"/>
  <c r="J1516" i="20"/>
  <c r="J1334" i="20"/>
  <c r="J1419" i="20"/>
  <c r="J1447" i="20"/>
  <c r="J1657" i="20"/>
  <c r="J680" i="20"/>
  <c r="J679" i="20"/>
  <c r="J1045" i="20"/>
  <c r="J148" i="20"/>
  <c r="J927" i="20"/>
  <c r="J27" i="20"/>
  <c r="J1044" i="20"/>
  <c r="J1043" i="20"/>
  <c r="J814" i="20"/>
  <c r="J965" i="20"/>
  <c r="J1872" i="20"/>
  <c r="J1368" i="20"/>
  <c r="J1539" i="20"/>
  <c r="J1538" i="20"/>
  <c r="J678" i="20"/>
  <c r="J677" i="20"/>
  <c r="J1768" i="20"/>
  <c r="J541" i="20"/>
  <c r="J1220" i="20"/>
  <c r="J1600" i="20"/>
  <c r="J1313" i="20"/>
  <c r="J1537" i="20"/>
  <c r="J1767" i="20"/>
  <c r="J1536" i="20"/>
  <c r="J311" i="20"/>
  <c r="J578" i="20"/>
  <c r="J648" i="20"/>
  <c r="J69" i="20"/>
  <c r="J926" i="20"/>
  <c r="J310" i="20"/>
  <c r="J890" i="20"/>
  <c r="J889" i="20"/>
  <c r="J1766" i="20"/>
  <c r="J1535" i="20"/>
  <c r="J1042" i="20"/>
  <c r="J888" i="20"/>
  <c r="J676" i="20"/>
  <c r="J577" i="20"/>
  <c r="J1765" i="20"/>
  <c r="J56" i="20"/>
  <c r="J964" i="20"/>
  <c r="J68" i="20"/>
  <c r="J67" i="20"/>
  <c r="J1764" i="20"/>
  <c r="J1534" i="20"/>
  <c r="J1763" i="20"/>
  <c r="J675" i="20"/>
  <c r="J241" i="20"/>
  <c r="J225" i="20"/>
  <c r="J26" i="20"/>
  <c r="J25" i="20"/>
  <c r="J1293" i="20"/>
  <c r="J309" i="20"/>
  <c r="J576" i="20"/>
  <c r="J457" i="20"/>
  <c r="J843" i="20"/>
  <c r="J308" i="20"/>
  <c r="J1533" i="20"/>
  <c r="J1486" i="20"/>
  <c r="J1498" i="20"/>
  <c r="J963" i="20"/>
  <c r="J887" i="20"/>
  <c r="J1921" i="20"/>
  <c r="J206" i="20"/>
  <c r="J1762" i="20"/>
  <c r="J1871" i="20"/>
  <c r="J621" i="20"/>
  <c r="J962" i="20"/>
  <c r="J1710" i="20"/>
  <c r="J1491" i="20"/>
  <c r="J147" i="20"/>
  <c r="J240" i="20"/>
  <c r="J647" i="20"/>
  <c r="J1870" i="20"/>
  <c r="J1698" i="20"/>
  <c r="J1761" i="20"/>
  <c r="J99" i="20"/>
  <c r="J24" i="20"/>
  <c r="J23" i="20"/>
  <c r="J554" i="20"/>
  <c r="J98" i="20"/>
  <c r="J886" i="20"/>
  <c r="J307" i="20"/>
  <c r="J553" i="20"/>
  <c r="J885" i="20"/>
  <c r="J306" i="20"/>
  <c r="J1239" i="20"/>
  <c r="J646" i="20"/>
  <c r="J637" i="20"/>
  <c r="J1041" i="20"/>
  <c r="J1901" i="20"/>
  <c r="J146" i="20"/>
  <c r="J801" i="20"/>
  <c r="J145" i="20"/>
  <c r="J305" i="20"/>
  <c r="J196" i="20"/>
  <c r="J674" i="20"/>
  <c r="J1219" i="20"/>
  <c r="J1869" i="20"/>
  <c r="J1760" i="20"/>
  <c r="J1759" i="20"/>
  <c r="J304" i="20"/>
  <c r="J303" i="20"/>
  <c r="J961" i="20"/>
  <c r="J1868" i="20"/>
  <c r="J813" i="20"/>
  <c r="J1532" i="20"/>
  <c r="J1656" i="20"/>
  <c r="J302" i="20"/>
  <c r="J484" i="20"/>
  <c r="J1230" i="20"/>
  <c r="J1573" i="20"/>
  <c r="J1040" i="20"/>
  <c r="J1039" i="20"/>
  <c r="J1169" i="20"/>
  <c r="J97" i="20"/>
  <c r="J239" i="20"/>
  <c r="J1485" i="20"/>
  <c r="J1038" i="20"/>
  <c r="J1476" i="20"/>
  <c r="J1475" i="20"/>
  <c r="J1155" i="20"/>
  <c r="J762" i="20"/>
  <c r="J1168" i="20"/>
  <c r="J842" i="20"/>
  <c r="J224" i="20"/>
  <c r="J728" i="20"/>
  <c r="J812" i="20"/>
  <c r="J22" i="20"/>
  <c r="J301" i="20"/>
  <c r="J800" i="20"/>
  <c r="J1867" i="20"/>
  <c r="J1899" i="20"/>
  <c r="J1446" i="20"/>
  <c r="J86" i="20"/>
  <c r="J144" i="20"/>
  <c r="J473" i="20"/>
  <c r="J483" i="20"/>
  <c r="J1218" i="20"/>
  <c r="J482" i="20"/>
  <c r="J1257" i="20"/>
  <c r="J636" i="20"/>
  <c r="J628" i="20"/>
  <c r="J635" i="20"/>
  <c r="J300" i="20"/>
  <c r="J799" i="20"/>
  <c r="J299" i="20"/>
  <c r="J1709" i="20"/>
  <c r="J1655" i="20"/>
  <c r="J1418" i="20"/>
  <c r="J1217" i="20"/>
  <c r="J1256" i="20"/>
  <c r="J200" i="20"/>
  <c r="J298" i="20"/>
  <c r="J1333" i="20"/>
  <c r="J1654" i="20"/>
  <c r="J129" i="20"/>
  <c r="J1653" i="20"/>
  <c r="J1652" i="20"/>
  <c r="J190" i="20"/>
  <c r="J609" i="20"/>
  <c r="J793" i="20"/>
  <c r="J238" i="20"/>
  <c r="J727" i="20"/>
  <c r="J21" i="20"/>
  <c r="J1758" i="20"/>
  <c r="J960" i="20"/>
  <c r="J959" i="20"/>
  <c r="J297" i="20"/>
  <c r="J296" i="20"/>
  <c r="J673" i="20"/>
  <c r="J1599" i="20"/>
  <c r="J1757" i="20"/>
  <c r="J1312" i="20"/>
  <c r="J1404" i="20"/>
  <c r="J1531" i="20"/>
  <c r="J925" i="20"/>
  <c r="J884" i="20"/>
  <c r="J295" i="20"/>
  <c r="J55" i="20"/>
  <c r="J205" i="20"/>
  <c r="J294" i="20"/>
  <c r="J608" i="20"/>
  <c r="J66" i="20"/>
  <c r="J1651" i="20"/>
  <c r="J1697" i="20"/>
  <c r="J1920" i="20"/>
  <c r="J540" i="20"/>
  <c r="J456" i="20"/>
  <c r="J1919" i="20"/>
  <c r="J726" i="20"/>
  <c r="J1216" i="20"/>
  <c r="J1367" i="20"/>
  <c r="J1756" i="20"/>
  <c r="J4" i="20"/>
  <c r="J293" i="20"/>
  <c r="J1037" i="20"/>
  <c r="J958" i="20"/>
  <c r="J292" i="20"/>
  <c r="J1755" i="20"/>
  <c r="J841" i="20"/>
  <c r="J539" i="20"/>
  <c r="J634" i="20"/>
  <c r="J291" i="20"/>
  <c r="J85" i="20"/>
  <c r="J883" i="20"/>
  <c r="J957" i="20"/>
  <c r="J1351" i="20"/>
  <c r="J956" i="20"/>
  <c r="J1754" i="20"/>
  <c r="J1918" i="20"/>
  <c r="J1917" i="20"/>
  <c r="J1292" i="20"/>
  <c r="J1916" i="20"/>
  <c r="J924" i="20"/>
  <c r="J955" i="20"/>
  <c r="J290" i="20"/>
  <c r="J65" i="20"/>
  <c r="J237" i="20"/>
  <c r="J481" i="20"/>
  <c r="J882" i="20"/>
  <c r="J1245" i="20"/>
  <c r="J1244" i="20"/>
  <c r="J1167" i="20"/>
  <c r="J1036" i="20"/>
  <c r="J1484" i="20"/>
  <c r="J1530" i="20"/>
  <c r="J840" i="20"/>
  <c r="J538" i="20"/>
  <c r="J839" i="20"/>
  <c r="J480" i="20"/>
  <c r="J1311" i="20"/>
  <c r="J1271" i="20"/>
  <c r="J1598" i="20"/>
  <c r="J20" i="20"/>
  <c r="J607" i="20"/>
  <c r="J1474" i="20"/>
  <c r="J1915" i="20"/>
  <c r="J1753" i="20"/>
  <c r="J236" i="20"/>
  <c r="J1260" i="20"/>
  <c r="J1215" i="20"/>
  <c r="J1529" i="20"/>
  <c r="J672" i="20"/>
  <c r="J1752" i="20"/>
  <c r="J128" i="20"/>
  <c r="J1166" i="20"/>
  <c r="J1751" i="20"/>
  <c r="J881" i="20"/>
  <c r="J289" i="20"/>
  <c r="J1214" i="20"/>
  <c r="J143" i="20"/>
  <c r="J142" i="20"/>
  <c r="J1497" i="20"/>
  <c r="J472" i="20"/>
  <c r="J838" i="20"/>
  <c r="J1445" i="20"/>
  <c r="J1310" i="20"/>
  <c r="J1696" i="20"/>
  <c r="J1866" i="20"/>
  <c r="J1650" i="20"/>
  <c r="J923" i="20"/>
  <c r="J1750" i="20"/>
  <c r="J288" i="20"/>
  <c r="J287" i="20"/>
  <c r="J552" i="20"/>
  <c r="J798" i="20"/>
  <c r="J286" i="20"/>
  <c r="J575" i="20"/>
  <c r="J1259" i="20"/>
  <c r="J606" i="20"/>
  <c r="J1865" i="20"/>
  <c r="J479" i="20"/>
  <c r="J1914" i="20"/>
  <c r="J1649" i="20"/>
  <c r="J1035" i="20"/>
  <c r="J725" i="20"/>
  <c r="J1034" i="20"/>
  <c r="J1033" i="20"/>
  <c r="J1648" i="20"/>
  <c r="J1749" i="20"/>
  <c r="J1597" i="20"/>
  <c r="J1032" i="20"/>
  <c r="J1031" i="20"/>
  <c r="J285" i="20"/>
  <c r="J284" i="20"/>
  <c r="J811" i="20"/>
  <c r="J671" i="20"/>
  <c r="J1490" i="20"/>
  <c r="J752" i="20"/>
  <c r="J283" i="20"/>
  <c r="J1340" i="20"/>
  <c r="J1596" i="20"/>
  <c r="J1748" i="20"/>
  <c r="J954" i="20"/>
  <c r="J1165" i="20"/>
  <c r="J1030" i="20"/>
  <c r="J1366" i="20"/>
  <c r="J605" i="20"/>
  <c r="J1647" i="20"/>
  <c r="J1444" i="20"/>
  <c r="J1646" i="20"/>
  <c r="J282" i="20"/>
  <c r="J880" i="20"/>
  <c r="J1291" i="20"/>
  <c r="J1403" i="20"/>
  <c r="J471" i="20"/>
  <c r="J1029" i="20"/>
  <c r="J1164" i="20"/>
  <c r="J757" i="20"/>
  <c r="J19" i="20"/>
  <c r="J1864" i="20"/>
  <c r="J953" i="20"/>
  <c r="J1695" i="20"/>
  <c r="J1645" i="20"/>
  <c r="J96" i="20"/>
  <c r="J235" i="20"/>
  <c r="J1913" i="20"/>
  <c r="J1528" i="20"/>
  <c r="J1350" i="20"/>
  <c r="J1595" i="20"/>
  <c r="J120" i="20"/>
  <c r="J1270" i="20"/>
  <c r="J1912" i="20"/>
  <c r="J1747" i="20"/>
  <c r="J1746" i="20"/>
  <c r="J64" i="20"/>
  <c r="J952" i="20"/>
  <c r="J627" i="20"/>
  <c r="J1644" i="20"/>
  <c r="J779" i="20"/>
  <c r="J95" i="20"/>
  <c r="J670" i="20"/>
  <c r="J281" i="20"/>
  <c r="J1417" i="20"/>
  <c r="J63" i="20"/>
  <c r="J18" i="20"/>
  <c r="J1527" i="20"/>
  <c r="J879" i="20"/>
  <c r="J1643" i="20"/>
  <c r="J1515" i="20"/>
  <c r="J1642" i="20"/>
  <c r="J280" i="20"/>
  <c r="J878" i="20"/>
  <c r="J279" i="20"/>
  <c r="J792" i="20"/>
  <c r="J1290" i="20"/>
  <c r="J837" i="20"/>
  <c r="J478" i="20"/>
  <c r="J94" i="20"/>
  <c r="J1641" i="20"/>
  <c r="J1745" i="20"/>
  <c r="J836" i="20"/>
  <c r="J877" i="20"/>
  <c r="J1594" i="20"/>
  <c r="J455" i="20"/>
  <c r="J1483" i="20"/>
  <c r="J17" i="20"/>
  <c r="J278" i="20"/>
  <c r="J1332" i="20"/>
  <c r="J1744" i="20"/>
  <c r="J1743" i="20"/>
  <c r="J277" i="20"/>
  <c r="J16" i="20"/>
  <c r="J204" i="20"/>
  <c r="J951" i="20"/>
  <c r="J1255" i="20"/>
  <c r="J470" i="20"/>
  <c r="J1229" i="20"/>
  <c r="J835" i="20"/>
  <c r="J276" i="20"/>
  <c r="J574" i="20"/>
  <c r="J950" i="20"/>
  <c r="J949" i="20"/>
  <c r="J1526" i="20"/>
  <c r="J1525" i="20"/>
  <c r="J1339" i="20"/>
  <c r="J1593" i="20"/>
  <c r="J948" i="20"/>
  <c r="J15" i="20"/>
  <c r="J141" i="20"/>
  <c r="J537" i="20"/>
  <c r="J947" i="20"/>
  <c r="J62" i="20"/>
  <c r="J93" i="20"/>
  <c r="J1898" i="20"/>
  <c r="J223" i="20"/>
  <c r="J1163" i="20"/>
  <c r="J1742" i="20"/>
  <c r="J1416" i="20"/>
  <c r="J275" i="20"/>
  <c r="J215" i="20"/>
  <c r="J876" i="20"/>
  <c r="J1863" i="20"/>
  <c r="J1028" i="20"/>
  <c r="J453" i="20"/>
  <c r="J1640" i="20"/>
  <c r="J1862" i="20"/>
  <c r="J1911" i="20"/>
  <c r="J751" i="20"/>
  <c r="J127" i="20"/>
  <c r="J1524" i="20"/>
  <c r="J922" i="20"/>
  <c r="J551" i="20"/>
  <c r="J604" i="20"/>
  <c r="J477" i="20"/>
  <c r="J875" i="20"/>
  <c r="J1741" i="20"/>
  <c r="J724" i="20"/>
  <c r="J469" i="20"/>
  <c r="J1592" i="20"/>
  <c r="J1639" i="20"/>
  <c r="J1740" i="20"/>
  <c r="J1523" i="20"/>
  <c r="J1027" i="20"/>
  <c r="J1739" i="20"/>
  <c r="J1638" i="20"/>
  <c r="J1473" i="20"/>
  <c r="J1738" i="20"/>
  <c r="J1737" i="20"/>
  <c r="J633" i="20"/>
  <c r="J1026" i="20"/>
  <c r="J536" i="20"/>
  <c r="J1365" i="20"/>
  <c r="J1861" i="20"/>
  <c r="J1443" i="20"/>
  <c r="J1591" i="20"/>
  <c r="J1572" i="20"/>
  <c r="J1736" i="20"/>
  <c r="J1735" i="20"/>
  <c r="J1734" i="20"/>
  <c r="J946" i="20"/>
  <c r="J669" i="20"/>
  <c r="J668" i="20"/>
  <c r="J667" i="20"/>
  <c r="J1590" i="20"/>
  <c r="J1733" i="20"/>
  <c r="J945" i="20"/>
  <c r="J465" i="20"/>
  <c r="J1694" i="20"/>
  <c r="J476" i="20"/>
  <c r="J1714" i="20"/>
  <c r="J1349" i="20"/>
  <c r="J874" i="20"/>
  <c r="J1364" i="20"/>
  <c r="J1637" i="20"/>
  <c r="J666" i="20"/>
  <c r="J1025" i="20"/>
  <c r="J274" i="20"/>
  <c r="J1363" i="20"/>
  <c r="J1442" i="20"/>
  <c r="J1732" i="20"/>
  <c r="J1024" i="20"/>
  <c r="J140" i="20"/>
  <c r="J1409" i="20"/>
  <c r="J1441" i="20"/>
  <c r="J645" i="20"/>
  <c r="J1023" i="20"/>
  <c r="J1022" i="20"/>
  <c r="J1021" i="20"/>
  <c r="J810" i="20"/>
  <c r="J921" i="20"/>
  <c r="J1020" i="20"/>
  <c r="J944" i="20"/>
  <c r="J1362" i="20"/>
  <c r="J1910" i="20"/>
  <c r="J873" i="20"/>
  <c r="J1019" i="20"/>
  <c r="J665" i="20"/>
  <c r="J273" i="20"/>
  <c r="J1402" i="20"/>
  <c r="J664" i="20"/>
  <c r="J573" i="20"/>
  <c r="J778" i="20"/>
  <c r="J809" i="20"/>
  <c r="J1228" i="20"/>
  <c r="J1162" i="20"/>
  <c r="J1018" i="20"/>
  <c r="J723" i="20"/>
  <c r="J1731" i="20"/>
  <c r="J1636" i="20"/>
  <c r="J1708" i="20"/>
  <c r="J272" i="20"/>
  <c r="J808" i="20"/>
  <c r="J1348" i="20"/>
  <c r="J271" i="20"/>
  <c r="J119" i="20"/>
  <c r="J139" i="20"/>
  <c r="J1589" i="20"/>
  <c r="J1401" i="20"/>
  <c r="J1361" i="20"/>
  <c r="J270" i="20"/>
  <c r="J1360" i="20"/>
  <c r="J1730" i="20"/>
  <c r="J1729" i="20"/>
  <c r="J920" i="20"/>
  <c r="J919" i="20"/>
  <c r="J660" i="20"/>
  <c r="J1496" i="20"/>
  <c r="J1566" i="20"/>
  <c r="J1213" i="20"/>
  <c r="J1212" i="20"/>
  <c r="J1161" i="20"/>
  <c r="J1017" i="20"/>
  <c r="J1359" i="20"/>
  <c r="J1728" i="20"/>
  <c r="J1727" i="20"/>
  <c r="J620" i="20"/>
  <c r="J269" i="20"/>
  <c r="J203" i="20"/>
  <c r="J1440" i="20"/>
  <c r="J126" i="20"/>
  <c r="J872" i="20"/>
  <c r="J1243" i="20"/>
  <c r="J5" i="20"/>
  <c r="J1726" i="20"/>
  <c r="J1415" i="20"/>
  <c r="J14" i="20"/>
  <c r="J13" i="20"/>
  <c r="J1719" i="20"/>
  <c r="J53" i="20"/>
  <c r="J663" i="20"/>
  <c r="J1495" i="20"/>
  <c r="J1016" i="20"/>
  <c r="J1015" i="20"/>
  <c r="J1522" i="20"/>
  <c r="J1860" i="20"/>
  <c r="J138" i="20"/>
  <c r="J137" i="20"/>
  <c r="J722" i="20"/>
  <c r="J1358" i="20"/>
  <c r="J871" i="20"/>
  <c r="J268" i="20"/>
  <c r="J267" i="20"/>
  <c r="J1289" i="20"/>
  <c r="J870" i="20"/>
  <c r="J834" i="20"/>
  <c r="J202" i="20"/>
  <c r="J266" i="20"/>
  <c r="J943" i="20"/>
  <c r="J1014" i="20"/>
  <c r="J1635" i="20"/>
  <c r="J1725" i="20"/>
  <c r="J1724" i="20"/>
  <c r="J1859" i="20"/>
  <c r="J1434" i="20"/>
  <c r="J265" i="20"/>
  <c r="J1013" i="20"/>
  <c r="J1160" i="20"/>
  <c r="J1159" i="20"/>
  <c r="J918" i="20"/>
  <c r="J1012" i="20"/>
  <c r="J264" i="20"/>
  <c r="J199" i="20"/>
  <c r="J1011" i="20"/>
  <c r="J1588" i="20"/>
  <c r="J550" i="20"/>
  <c r="J263" i="20"/>
  <c r="J1010" i="20"/>
  <c r="J1723" i="20"/>
  <c r="J1258" i="20"/>
  <c r="J1347" i="20"/>
  <c r="J1634" i="20"/>
  <c r="J1633" i="20"/>
  <c r="J942" i="20"/>
  <c r="J12" i="20"/>
  <c r="J1254" i="20"/>
  <c r="J1433" i="20"/>
  <c r="J603" i="20"/>
  <c r="J1587" i="20"/>
  <c r="J1632" i="20"/>
  <c r="J797" i="20"/>
  <c r="J234" i="20"/>
  <c r="J631" i="19"/>
  <c r="J630" i="19"/>
  <c r="J396" i="19"/>
  <c r="J395" i="19"/>
  <c r="J155" i="19"/>
  <c r="J438" i="19"/>
  <c r="J71" i="19"/>
  <c r="J470" i="19"/>
  <c r="J537" i="19"/>
  <c r="J574" i="19"/>
  <c r="J629" i="19"/>
  <c r="J330" i="19"/>
  <c r="J437" i="19"/>
  <c r="J512" i="19"/>
  <c r="J573" i="19"/>
  <c r="J536" i="19"/>
  <c r="J535" i="19"/>
  <c r="J534" i="19"/>
  <c r="J394" i="19"/>
  <c r="J511" i="19"/>
  <c r="J163" i="19"/>
  <c r="J201" i="19"/>
  <c r="J245" i="19"/>
  <c r="J572" i="19"/>
  <c r="J154" i="19"/>
  <c r="J628" i="19"/>
  <c r="J55" i="19"/>
  <c r="J153" i="19"/>
  <c r="J436" i="19"/>
  <c r="J685" i="19"/>
  <c r="J54" i="19"/>
  <c r="J244" i="19"/>
  <c r="J665" i="19"/>
  <c r="J510" i="19"/>
  <c r="J393" i="19"/>
  <c r="J575" i="19"/>
  <c r="J179" i="19"/>
  <c r="J200" i="19"/>
  <c r="J199" i="19"/>
  <c r="J435" i="19"/>
  <c r="J686" i="19"/>
  <c r="J67" i="19"/>
  <c r="J243" i="19"/>
  <c r="J53" i="19"/>
  <c r="J198" i="19"/>
  <c r="J197" i="19"/>
  <c r="J318" i="19"/>
  <c r="J242" i="19"/>
  <c r="J317" i="19"/>
  <c r="J70" i="19"/>
  <c r="J392" i="19"/>
  <c r="J509" i="19"/>
  <c r="J533" i="19"/>
  <c r="J434" i="19"/>
  <c r="J508" i="19"/>
  <c r="J507" i="19"/>
  <c r="J106" i="19"/>
  <c r="J127" i="19"/>
  <c r="J627" i="19"/>
  <c r="J126" i="19"/>
  <c r="J391" i="19"/>
  <c r="J390" i="19"/>
  <c r="J466" i="19"/>
  <c r="J506" i="19"/>
  <c r="J532" i="19"/>
  <c r="J626" i="19"/>
  <c r="J505" i="19"/>
  <c r="J241" i="19"/>
  <c r="J178" i="19"/>
  <c r="J196" i="19"/>
  <c r="J504" i="19"/>
  <c r="J125" i="19"/>
  <c r="J625" i="19"/>
  <c r="J433" i="19"/>
  <c r="J456" i="19"/>
  <c r="J455" i="19"/>
  <c r="J664" i="19"/>
  <c r="J316" i="19"/>
  <c r="J638" i="19"/>
  <c r="J432" i="19"/>
  <c r="J503" i="19"/>
  <c r="J240" i="19"/>
  <c r="J329" i="19"/>
  <c r="J571" i="19"/>
  <c r="J531" i="19"/>
  <c r="J530" i="19"/>
  <c r="J502" i="19"/>
  <c r="J431" i="19"/>
  <c r="J624" i="19"/>
  <c r="J501" i="19"/>
  <c r="J239" i="19"/>
  <c r="J195" i="19"/>
  <c r="J315" i="19"/>
  <c r="J152" i="19"/>
  <c r="J460" i="19"/>
  <c r="J430" i="19"/>
  <c r="J500" i="19"/>
  <c r="J476" i="19"/>
  <c r="J314" i="19"/>
  <c r="J623" i="19"/>
  <c r="J389" i="19"/>
  <c r="J105" i="19"/>
  <c r="J328" i="19"/>
  <c r="J104" i="19"/>
  <c r="J313" i="19"/>
  <c r="J388" i="19"/>
  <c r="J475" i="19"/>
  <c r="J312" i="19"/>
  <c r="J103" i="19"/>
  <c r="J102" i="19"/>
  <c r="J194" i="19"/>
  <c r="J238" i="19"/>
  <c r="J622" i="19"/>
  <c r="J193" i="19"/>
  <c r="J151" i="19"/>
  <c r="J311" i="19"/>
  <c r="J192" i="19"/>
  <c r="J4" i="19"/>
  <c r="J150" i="19"/>
  <c r="J191" i="19"/>
  <c r="J190" i="19"/>
  <c r="J237" i="19"/>
  <c r="J663" i="19"/>
  <c r="J83" i="19"/>
  <c r="J177" i="19"/>
  <c r="J429" i="19"/>
  <c r="J529" i="19"/>
  <c r="J428" i="19"/>
  <c r="J528" i="19"/>
  <c r="J474" i="19"/>
  <c r="J427" i="19"/>
  <c r="J469" i="19"/>
  <c r="J66" i="19"/>
  <c r="J662" i="19"/>
  <c r="J387" i="19"/>
  <c r="J450" i="19"/>
  <c r="J310" i="19"/>
  <c r="J527" i="19"/>
  <c r="J526" i="19"/>
  <c r="J601" i="19"/>
  <c r="J426" i="19"/>
  <c r="J425" i="19"/>
  <c r="J189" i="19"/>
  <c r="J424" i="19"/>
  <c r="J525" i="19"/>
  <c r="J236" i="19"/>
  <c r="J621" i="19"/>
  <c r="J52" i="19"/>
  <c r="J176" i="19"/>
  <c r="J69" i="19"/>
  <c r="J386" i="19"/>
  <c r="J124" i="19"/>
  <c r="J454" i="19"/>
  <c r="J499" i="19"/>
  <c r="J309" i="19"/>
  <c r="J188" i="19"/>
  <c r="J149" i="19"/>
  <c r="J385" i="19"/>
  <c r="J674" i="19"/>
  <c r="J444" i="19"/>
  <c r="J123" i="19"/>
  <c r="J51" i="19"/>
  <c r="J65" i="19"/>
  <c r="J589" i="19"/>
  <c r="J498" i="19"/>
  <c r="J497" i="19"/>
  <c r="J588" i="19"/>
  <c r="J235" i="19"/>
  <c r="J384" i="19"/>
  <c r="J308" i="19"/>
  <c r="J620" i="19"/>
  <c r="J50" i="19"/>
  <c r="J101" i="19"/>
  <c r="J307" i="19"/>
  <c r="J306" i="19"/>
  <c r="J100" i="19"/>
  <c r="J587" i="19"/>
  <c r="J327" i="19"/>
  <c r="J10" i="19"/>
  <c r="J423" i="19"/>
  <c r="J422" i="19"/>
  <c r="J305" i="19"/>
  <c r="J383" i="19"/>
  <c r="J304" i="19"/>
  <c r="J64" i="19"/>
  <c r="J9" i="19"/>
  <c r="J382" i="19"/>
  <c r="J68" i="19"/>
  <c r="J122" i="19"/>
  <c r="J661" i="19"/>
  <c r="J660" i="19"/>
  <c r="J63" i="19"/>
  <c r="J303" i="19"/>
  <c r="J234" i="19"/>
  <c r="J496" i="19"/>
  <c r="J162" i="19"/>
  <c r="J302" i="19"/>
  <c r="J381" i="19"/>
  <c r="J187" i="19"/>
  <c r="J421" i="19"/>
  <c r="J326" i="19"/>
  <c r="J161" i="19"/>
  <c r="J62" i="19"/>
  <c r="J380" i="19"/>
  <c r="J8" i="19"/>
  <c r="J379" i="19"/>
  <c r="J378" i="19"/>
  <c r="J377" i="19"/>
  <c r="J600" i="19"/>
  <c r="J659" i="19"/>
  <c r="J599" i="19"/>
  <c r="J658" i="19"/>
  <c r="J420" i="19"/>
  <c r="J233" i="19"/>
  <c r="J232" i="19"/>
  <c r="J619" i="19"/>
  <c r="J186" i="19"/>
  <c r="J449" i="19"/>
  <c r="J160" i="19"/>
  <c r="J376" i="19"/>
  <c r="J148" i="19"/>
  <c r="J325" i="19"/>
  <c r="J3" i="19"/>
  <c r="J61" i="19"/>
  <c r="J375" i="19"/>
  <c r="J570" i="19"/>
  <c r="J301" i="19"/>
  <c r="J300" i="19"/>
  <c r="J419" i="19"/>
  <c r="J60" i="19"/>
  <c r="J465" i="19"/>
  <c r="J544" i="19"/>
  <c r="J618" i="19"/>
  <c r="J231" i="19"/>
  <c r="J418" i="19"/>
  <c r="J76" i="19"/>
  <c r="J49" i="19"/>
  <c r="J48" i="19"/>
  <c r="J47" i="19"/>
  <c r="J46" i="19"/>
  <c r="J417" i="19"/>
  <c r="J416" i="19"/>
  <c r="J121" i="19"/>
  <c r="J185" i="19"/>
  <c r="J461" i="19"/>
  <c r="J147" i="19"/>
  <c r="J299" i="19"/>
  <c r="J59" i="19"/>
  <c r="J657" i="19"/>
  <c r="J298" i="19"/>
  <c r="J297" i="19"/>
  <c r="J543" i="19"/>
  <c r="J586" i="19"/>
  <c r="J415" i="19"/>
  <c r="J524" i="19"/>
  <c r="J374" i="19"/>
  <c r="J230" i="19"/>
  <c r="J229" i="19"/>
  <c r="J373" i="19"/>
  <c r="J99" i="19"/>
  <c r="J296" i="19"/>
  <c r="J637" i="19"/>
  <c r="J228" i="19"/>
  <c r="J598" i="19"/>
  <c r="J227" i="19"/>
  <c r="J132" i="19"/>
  <c r="J226" i="19"/>
  <c r="J468" i="19"/>
  <c r="J682" i="19"/>
  <c r="J673" i="19"/>
  <c r="J467" i="19"/>
  <c r="J109" i="19"/>
  <c r="J225" i="19"/>
  <c r="J459" i="19"/>
  <c r="J656" i="19"/>
  <c r="J295" i="19"/>
  <c r="J294" i="19"/>
  <c r="J372" i="19"/>
  <c r="J45" i="19"/>
  <c r="J464" i="19"/>
  <c r="J175" i="19"/>
  <c r="J636" i="19"/>
  <c r="J120" i="19"/>
  <c r="J448" i="19"/>
  <c r="J224" i="19"/>
  <c r="J44" i="19"/>
  <c r="J119" i="19"/>
  <c r="J453" i="19"/>
  <c r="J324" i="19"/>
  <c r="J655" i="19"/>
  <c r="J223" i="19"/>
  <c r="J58" i="19"/>
  <c r="J681" i="19"/>
  <c r="J414" i="19"/>
  <c r="J634" i="19"/>
  <c r="J222" i="19"/>
  <c r="J413" i="19"/>
  <c r="J167" i="19"/>
  <c r="J293" i="19"/>
  <c r="J633" i="19"/>
  <c r="J292" i="19"/>
  <c r="J43" i="19"/>
  <c r="J371" i="19"/>
  <c r="J118" i="19"/>
  <c r="J443" i="19"/>
  <c r="J291" i="19"/>
  <c r="J57" i="19"/>
  <c r="J597" i="19"/>
  <c r="J447" i="19"/>
  <c r="J184" i="19"/>
  <c r="J42" i="19"/>
  <c r="J117" i="19"/>
  <c r="J672" i="19"/>
  <c r="J654" i="19"/>
  <c r="J452" i="19"/>
  <c r="J221" i="19"/>
  <c r="J412" i="19"/>
  <c r="J411" i="19"/>
  <c r="J220" i="19"/>
  <c r="J290" i="19"/>
  <c r="J370" i="19"/>
  <c r="J41" i="19"/>
  <c r="J495" i="19"/>
  <c r="J369" i="19"/>
  <c r="J442" i="19"/>
  <c r="J289" i="19"/>
  <c r="J174" i="19"/>
  <c r="J56" i="19"/>
  <c r="J288" i="19"/>
  <c r="J596" i="19"/>
  <c r="J166" i="19"/>
  <c r="J523" i="19"/>
  <c r="J410" i="19"/>
  <c r="J323" i="19"/>
  <c r="J146" i="19"/>
  <c r="J494" i="19"/>
  <c r="J116" i="19"/>
  <c r="J173" i="19"/>
  <c r="J409" i="19"/>
  <c r="J287" i="19"/>
  <c r="J2" i="19"/>
  <c r="J107" i="19"/>
  <c r="J219" i="19"/>
  <c r="J408" i="19"/>
  <c r="J218" i="19"/>
  <c r="J458" i="19"/>
  <c r="J217" i="19"/>
  <c r="J451" i="19"/>
  <c r="J407" i="19"/>
  <c r="J82" i="19"/>
  <c r="J368" i="19"/>
  <c r="J286" i="19"/>
  <c r="J183" i="19"/>
  <c r="J653" i="19"/>
  <c r="J159" i="19"/>
  <c r="J216" i="19"/>
  <c r="J652" i="19"/>
  <c r="J367" i="19"/>
  <c r="J7" i="19"/>
  <c r="J131" i="19"/>
  <c r="J617" i="19"/>
  <c r="J522" i="19"/>
  <c r="J285" i="19"/>
  <c r="J651" i="19"/>
  <c r="J521" i="19"/>
  <c r="J406" i="19"/>
  <c r="J284" i="19"/>
  <c r="J405" i="19"/>
  <c r="J283" i="19"/>
  <c r="J322" i="19"/>
  <c r="J282" i="19"/>
  <c r="J145" i="19"/>
  <c r="J493" i="19"/>
  <c r="J182" i="19"/>
  <c r="J595" i="19"/>
  <c r="J215" i="19"/>
  <c r="J214" i="19"/>
  <c r="J366" i="19"/>
  <c r="J213" i="19"/>
  <c r="J321" i="19"/>
  <c r="J281" i="19"/>
  <c r="J172" i="19"/>
  <c r="J473" i="19"/>
  <c r="J280" i="19"/>
  <c r="J632" i="19"/>
  <c r="J365" i="19"/>
  <c r="J671" i="19"/>
  <c r="J115" i="19"/>
  <c r="J364" i="19"/>
  <c r="J108" i="19"/>
  <c r="J569" i="19"/>
  <c r="J363" i="19"/>
  <c r="J40" i="19"/>
  <c r="J158" i="19"/>
  <c r="J362" i="19"/>
  <c r="J520" i="19"/>
  <c r="J492" i="19"/>
  <c r="J212" i="19"/>
  <c r="J361" i="19"/>
  <c r="J279" i="19"/>
  <c r="J519" i="19"/>
  <c r="J98" i="19"/>
  <c r="J360" i="19"/>
  <c r="J144" i="19"/>
  <c r="J278" i="19"/>
  <c r="J359" i="19"/>
  <c r="J445" i="19"/>
  <c r="J143" i="19"/>
  <c r="J164" i="19"/>
  <c r="J277" i="19"/>
  <c r="J171" i="19"/>
  <c r="J39" i="19"/>
  <c r="J463" i="19"/>
  <c r="J358" i="19"/>
  <c r="J38" i="19"/>
  <c r="J37" i="19"/>
  <c r="J568" i="19"/>
  <c r="J491" i="19"/>
  <c r="J357" i="19"/>
  <c r="J585" i="19"/>
  <c r="J650" i="19"/>
  <c r="J356" i="19"/>
  <c r="J276" i="19"/>
  <c r="J36" i="19"/>
  <c r="J87" i="19"/>
  <c r="J355" i="19"/>
  <c r="J354" i="19"/>
  <c r="J275" i="19"/>
  <c r="J353" i="19"/>
  <c r="J35" i="19"/>
  <c r="J352" i="19"/>
  <c r="J86" i="19"/>
  <c r="J649" i="19"/>
  <c r="J616" i="19"/>
  <c r="J648" i="19"/>
  <c r="J351" i="19"/>
  <c r="J274" i="19"/>
  <c r="J350" i="19"/>
  <c r="J349" i="19"/>
  <c r="J211" i="19"/>
  <c r="J320" i="19"/>
  <c r="J273" i="19"/>
  <c r="J181" i="19"/>
  <c r="J348" i="19"/>
  <c r="J670" i="19"/>
  <c r="J490" i="19"/>
  <c r="J680" i="19"/>
  <c r="J272" i="19"/>
  <c r="J210" i="19"/>
  <c r="J271" i="19"/>
  <c r="J679" i="19"/>
  <c r="J404" i="19"/>
  <c r="J114" i="19"/>
  <c r="J113" i="19"/>
  <c r="J270" i="19"/>
  <c r="J641" i="19"/>
  <c r="J269" i="19"/>
  <c r="J615" i="19"/>
  <c r="J157" i="19"/>
  <c r="J347" i="19"/>
  <c r="J142" i="19"/>
  <c r="J97" i="19"/>
  <c r="J141" i="19"/>
  <c r="J268" i="19"/>
  <c r="J403" i="19"/>
  <c r="J457" i="19"/>
  <c r="J346" i="19"/>
  <c r="J130" i="19"/>
  <c r="J81" i="19"/>
  <c r="J34" i="19"/>
  <c r="J567" i="19"/>
  <c r="J85" i="19"/>
  <c r="J518" i="19"/>
  <c r="J640" i="19"/>
  <c r="J647" i="19"/>
  <c r="J80" i="19"/>
  <c r="J639" i="19"/>
  <c r="J209" i="19"/>
  <c r="J267" i="19"/>
  <c r="J345" i="19"/>
  <c r="J344" i="19"/>
  <c r="J594" i="19"/>
  <c r="J208" i="19"/>
  <c r="J489" i="19"/>
  <c r="J33" i="19"/>
  <c r="J96" i="19"/>
  <c r="J170" i="19"/>
  <c r="J207" i="19"/>
  <c r="J84" i="19"/>
  <c r="J446" i="19"/>
  <c r="J266" i="19"/>
  <c r="J517" i="19"/>
  <c r="J566" i="19"/>
  <c r="J343" i="19"/>
  <c r="J488" i="19"/>
  <c r="J156" i="19"/>
  <c r="J614" i="19"/>
  <c r="J613" i="19"/>
  <c r="J32" i="19"/>
  <c r="J75" i="19"/>
  <c r="J74" i="19"/>
  <c r="J129" i="19"/>
  <c r="J128" i="19"/>
  <c r="J31" i="19"/>
  <c r="J30" i="19"/>
  <c r="J342" i="19"/>
  <c r="J79" i="19"/>
  <c r="J78" i="19"/>
  <c r="J169" i="19"/>
  <c r="J487" i="19"/>
  <c r="J486" i="19"/>
  <c r="J584" i="19"/>
  <c r="J112" i="19"/>
  <c r="J565" i="19"/>
  <c r="J635" i="19"/>
  <c r="J612" i="19"/>
  <c r="J564" i="19"/>
  <c r="J563" i="19"/>
  <c r="J485" i="19"/>
  <c r="J678" i="19"/>
  <c r="J562" i="19"/>
  <c r="J29" i="19"/>
  <c r="J341" i="19"/>
  <c r="J561" i="19"/>
  <c r="J560" i="19"/>
  <c r="J265" i="19"/>
  <c r="J583" i="19"/>
  <c r="J559" i="19"/>
  <c r="J558" i="19"/>
  <c r="J484" i="19"/>
  <c r="J516" i="19"/>
  <c r="J28" i="19"/>
  <c r="J557" i="19"/>
  <c r="J542" i="19"/>
  <c r="J264" i="19"/>
  <c r="J77" i="19"/>
  <c r="J263" i="19"/>
  <c r="J556" i="19"/>
  <c r="J140" i="19"/>
  <c r="J262" i="19"/>
  <c r="J261" i="19"/>
  <c r="J555" i="19"/>
  <c r="J6" i="19"/>
  <c r="J582" i="19"/>
  <c r="J260" i="19"/>
  <c r="J611" i="19"/>
  <c r="J554" i="19"/>
  <c r="J472" i="19"/>
  <c r="J581" i="19"/>
  <c r="J553" i="19"/>
  <c r="J135" i="19"/>
  <c r="J552" i="19"/>
  <c r="J180" i="19"/>
  <c r="J259" i="19"/>
  <c r="J258" i="19"/>
  <c r="J73" i="19"/>
  <c r="J111" i="19"/>
  <c r="J483" i="19"/>
  <c r="J27" i="19"/>
  <c r="J26" i="19"/>
  <c r="J340" i="19"/>
  <c r="J139" i="19"/>
  <c r="J12" i="19"/>
  <c r="J11" i="19"/>
  <c r="J134" i="19"/>
  <c r="J95" i="19"/>
  <c r="J133" i="19"/>
  <c r="J610" i="19"/>
  <c r="J609" i="19"/>
  <c r="J165" i="19"/>
  <c r="J684" i="19"/>
  <c r="J25" i="19"/>
  <c r="J677" i="19"/>
  <c r="J676" i="19"/>
  <c r="J24" i="19"/>
  <c r="J646" i="19"/>
  <c r="J23" i="19"/>
  <c r="J5" i="19"/>
  <c r="J94" i="19"/>
  <c r="J339" i="19"/>
  <c r="J608" i="19"/>
  <c r="J551" i="19"/>
  <c r="J607" i="19"/>
  <c r="J482" i="19"/>
  <c r="J645" i="19"/>
  <c r="J644" i="19"/>
  <c r="J22" i="19"/>
  <c r="J606" i="19"/>
  <c r="J338" i="19"/>
  <c r="J337" i="19"/>
  <c r="J21" i="19"/>
  <c r="J20" i="19"/>
  <c r="J257" i="19"/>
  <c r="J256" i="19"/>
  <c r="J93" i="19"/>
  <c r="J19" i="19"/>
  <c r="J92" i="19"/>
  <c r="J18" i="19"/>
  <c r="J675" i="19"/>
  <c r="J255" i="19"/>
  <c r="J138" i="19"/>
  <c r="J550" i="19"/>
  <c r="J593" i="19"/>
  <c r="J336" i="19"/>
  <c r="J605" i="19"/>
  <c r="J683" i="19"/>
  <c r="J604" i="19"/>
  <c r="J254" i="19"/>
  <c r="J669" i="19"/>
  <c r="J541" i="19"/>
  <c r="J549" i="19"/>
  <c r="J402" i="19"/>
  <c r="J462" i="19"/>
  <c r="J603" i="19"/>
  <c r="J481" i="19"/>
  <c r="J401" i="19"/>
  <c r="J91" i="19"/>
  <c r="J90" i="19"/>
  <c r="J253" i="19"/>
  <c r="J400" i="19"/>
  <c r="J580" i="19"/>
  <c r="J471" i="19"/>
  <c r="J548" i="19"/>
  <c r="J547" i="19"/>
  <c r="J643" i="19"/>
  <c r="J137" i="19"/>
  <c r="J206" i="19"/>
  <c r="J602" i="19"/>
  <c r="J252" i="19"/>
  <c r="J668" i="19"/>
  <c r="J579" i="19"/>
  <c r="J319" i="19"/>
  <c r="J667" i="19"/>
  <c r="J642" i="19"/>
  <c r="J540" i="19"/>
  <c r="J666" i="19"/>
  <c r="J17" i="19"/>
  <c r="J335" i="19"/>
  <c r="J441" i="19"/>
  <c r="J440" i="19"/>
  <c r="J439" i="19"/>
  <c r="J515" i="19"/>
  <c r="J168" i="19"/>
  <c r="J546" i="19"/>
  <c r="J399" i="19"/>
  <c r="J334" i="19"/>
  <c r="J205" i="19"/>
  <c r="J72" i="19"/>
  <c r="J89" i="19"/>
  <c r="J16" i="19"/>
  <c r="J110" i="19"/>
  <c r="J592" i="19"/>
  <c r="J539" i="19"/>
  <c r="J514" i="19"/>
  <c r="J513" i="19"/>
  <c r="J545" i="19"/>
  <c r="J204" i="19"/>
  <c r="J15" i="19"/>
  <c r="J251" i="19"/>
  <c r="J250" i="19"/>
  <c r="J398" i="19"/>
  <c r="J480" i="19"/>
  <c r="J479" i="19"/>
  <c r="J203" i="19"/>
  <c r="J202" i="19"/>
  <c r="J249" i="19"/>
  <c r="J333" i="19"/>
  <c r="J14" i="19"/>
  <c r="J591" i="19"/>
  <c r="J13" i="19"/>
  <c r="J590" i="19"/>
  <c r="J478" i="19"/>
  <c r="J248" i="19"/>
  <c r="J136" i="19"/>
  <c r="J88" i="19"/>
  <c r="J332" i="19"/>
  <c r="J477" i="19"/>
  <c r="J688" i="19"/>
  <c r="J687" i="19"/>
  <c r="J578" i="19"/>
  <c r="J577" i="19"/>
  <c r="J538" i="19"/>
  <c r="J247" i="19"/>
  <c r="J576" i="19"/>
  <c r="J397" i="19"/>
  <c r="J331" i="19"/>
  <c r="J246" i="19"/>
  <c r="AH4" i="9"/>
  <c r="AH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AH59" i="9"/>
  <c r="AH60" i="9"/>
  <c r="AH61" i="9"/>
  <c r="AH62" i="9"/>
  <c r="AH63" i="9"/>
  <c r="AH64" i="9"/>
  <c r="AH65" i="9"/>
  <c r="AH66" i="9"/>
  <c r="AH67" i="9"/>
  <c r="AH68" i="9"/>
  <c r="AH69" i="9"/>
  <c r="AH70" i="9"/>
  <c r="AH71" i="9"/>
  <c r="AH72" i="9"/>
  <c r="AH73" i="9"/>
  <c r="AH74" i="9"/>
  <c r="AH75" i="9"/>
  <c r="AH76" i="9"/>
  <c r="AH77" i="9"/>
  <c r="AH78" i="9"/>
  <c r="AH79" i="9"/>
  <c r="AH80" i="9"/>
  <c r="AH81" i="9"/>
  <c r="AH82" i="9"/>
  <c r="AH83" i="9"/>
  <c r="AH84" i="9"/>
  <c r="AH85" i="9"/>
  <c r="AH86" i="9"/>
  <c r="AH87" i="9"/>
  <c r="AH88" i="9"/>
  <c r="AH89" i="9"/>
  <c r="AH90" i="9"/>
  <c r="AH91" i="9"/>
  <c r="AH92" i="9"/>
  <c r="AH93" i="9"/>
  <c r="AH94" i="9"/>
  <c r="AH95" i="9"/>
  <c r="AH96" i="9"/>
  <c r="AH97" i="9"/>
  <c r="AH98" i="9"/>
  <c r="AH99" i="9"/>
  <c r="AH100" i="9"/>
  <c r="AH101" i="9"/>
  <c r="AH102" i="9"/>
  <c r="AH103" i="9"/>
  <c r="AH104" i="9"/>
  <c r="AH105" i="9"/>
  <c r="AH106" i="9"/>
  <c r="AH107" i="9"/>
  <c r="AH108" i="9"/>
  <c r="AH109" i="9"/>
  <c r="AH110" i="9"/>
  <c r="AH111" i="9"/>
  <c r="AH112" i="9"/>
  <c r="AH113" i="9"/>
  <c r="AH114" i="9"/>
  <c r="AH115" i="9"/>
  <c r="AH116" i="9"/>
  <c r="AH117" i="9"/>
  <c r="AH118" i="9"/>
  <c r="AH119" i="9"/>
  <c r="AH120" i="9"/>
  <c r="AH121" i="9"/>
  <c r="AH122" i="9"/>
  <c r="AH123" i="9"/>
  <c r="AH124" i="9"/>
  <c r="AH125" i="9"/>
  <c r="AH126" i="9"/>
  <c r="AH127" i="9"/>
  <c r="AH128" i="9"/>
  <c r="AH129" i="9"/>
  <c r="AH130" i="9"/>
  <c r="AH131" i="9"/>
  <c r="AH132" i="9"/>
  <c r="AH133" i="9"/>
  <c r="AH134" i="9"/>
  <c r="AH135" i="9"/>
  <c r="AH136" i="9"/>
  <c r="AH137" i="9"/>
  <c r="AH138" i="9"/>
  <c r="AH139" i="9"/>
  <c r="AH140" i="9"/>
  <c r="AH141" i="9"/>
  <c r="AH142" i="9"/>
  <c r="AH143" i="9"/>
  <c r="AH144" i="9"/>
  <c r="AH145" i="9"/>
  <c r="AH146" i="9"/>
  <c r="AH147" i="9"/>
  <c r="AH148" i="9"/>
  <c r="AH149" i="9"/>
  <c r="AH150" i="9"/>
  <c r="AH151" i="9"/>
  <c r="AH152" i="9"/>
  <c r="AH153" i="9"/>
  <c r="AH154" i="9"/>
  <c r="AH155" i="9"/>
  <c r="AH156" i="9"/>
  <c r="AH157" i="9"/>
  <c r="AH158" i="9"/>
  <c r="AH159" i="9"/>
  <c r="AH160" i="9"/>
  <c r="AH161" i="9"/>
  <c r="AH162" i="9"/>
  <c r="AH163" i="9"/>
  <c r="AH164" i="9"/>
  <c r="AH165" i="9"/>
  <c r="AH166" i="9"/>
  <c r="AH167" i="9"/>
  <c r="AH168" i="9"/>
  <c r="AH169" i="9"/>
  <c r="AH170" i="9"/>
  <c r="AH171" i="9"/>
  <c r="AH172" i="9"/>
  <c r="AH173" i="9"/>
  <c r="AH174" i="9"/>
  <c r="AH175" i="9"/>
  <c r="AH176" i="9"/>
  <c r="AH177" i="9"/>
  <c r="AH178" i="9"/>
  <c r="AH179" i="9"/>
  <c r="AH180" i="9"/>
  <c r="AH181" i="9"/>
  <c r="AH182" i="9"/>
  <c r="AH183" i="9"/>
  <c r="AH184" i="9"/>
  <c r="AH185" i="9"/>
  <c r="AH186" i="9"/>
  <c r="AH187" i="9"/>
  <c r="AH188" i="9"/>
  <c r="AH189" i="9"/>
  <c r="AH190" i="9"/>
  <c r="AH191" i="9"/>
  <c r="AH192" i="9"/>
  <c r="AH193" i="9"/>
  <c r="AH194" i="9"/>
  <c r="AH195" i="9"/>
  <c r="AH196" i="9"/>
  <c r="AH197" i="9"/>
  <c r="AH198" i="9"/>
  <c r="AH199" i="9"/>
  <c r="AH200" i="9"/>
  <c r="AH201" i="9"/>
  <c r="AH202" i="9"/>
  <c r="AH203" i="9"/>
  <c r="AH204" i="9"/>
  <c r="AH205" i="9"/>
  <c r="AH206" i="9"/>
  <c r="AH207" i="9"/>
  <c r="AH208" i="9"/>
  <c r="AH209" i="9"/>
  <c r="AH210" i="9"/>
  <c r="AH211" i="9"/>
  <c r="AH212" i="9"/>
  <c r="AH213" i="9"/>
  <c r="AH214" i="9"/>
  <c r="AH215" i="9"/>
  <c r="AH216" i="9"/>
  <c r="AH217" i="9"/>
  <c r="AH218" i="9"/>
  <c r="AH219" i="9"/>
  <c r="AH220" i="9"/>
  <c r="AH221" i="9"/>
  <c r="AH222" i="9"/>
  <c r="AH223" i="9"/>
  <c r="AH224" i="9"/>
  <c r="AH225" i="9"/>
  <c r="AH226" i="9"/>
  <c r="AH227" i="9"/>
  <c r="AH228" i="9"/>
  <c r="AH229" i="9"/>
  <c r="AH230" i="9"/>
  <c r="AH231" i="9"/>
  <c r="AH232" i="9"/>
  <c r="AH233" i="9"/>
  <c r="AH234" i="9"/>
  <c r="AH235" i="9"/>
  <c r="AH236" i="9"/>
  <c r="AH237" i="9"/>
  <c r="AH238" i="9"/>
  <c r="AH239" i="9"/>
  <c r="AH240" i="9"/>
  <c r="AH241" i="9"/>
  <c r="AH242" i="9"/>
  <c r="AH243" i="9"/>
  <c r="AH244" i="9"/>
  <c r="AH245" i="9"/>
  <c r="AH246" i="9"/>
  <c r="AH247" i="9"/>
  <c r="AH248" i="9"/>
  <c r="AH249" i="9"/>
  <c r="AH250" i="9"/>
  <c r="AH251" i="9"/>
  <c r="AH252" i="9"/>
  <c r="AH253" i="9"/>
  <c r="AH254" i="9"/>
  <c r="AH255" i="9"/>
  <c r="AH256" i="9"/>
  <c r="AH257" i="9"/>
  <c r="AH258" i="9"/>
  <c r="AH259" i="9"/>
  <c r="AH260" i="9"/>
  <c r="AH261" i="9"/>
  <c r="AH262" i="9"/>
  <c r="AH263" i="9"/>
  <c r="AH264" i="9"/>
  <c r="AH265" i="9"/>
  <c r="AH266" i="9"/>
  <c r="AH267" i="9"/>
  <c r="AH268" i="9"/>
  <c r="AH269" i="9"/>
  <c r="AH270" i="9"/>
  <c r="AH271" i="9"/>
  <c r="AH272" i="9"/>
  <c r="AH273" i="9"/>
  <c r="AH274" i="9"/>
  <c r="AH275" i="9"/>
  <c r="AH276" i="9"/>
  <c r="AH277" i="9"/>
  <c r="AH278" i="9"/>
  <c r="AH279" i="9"/>
  <c r="AH280" i="9"/>
  <c r="AH281" i="9"/>
  <c r="AH282" i="9"/>
  <c r="AH283" i="9"/>
  <c r="AH284" i="9"/>
  <c r="AH285" i="9"/>
  <c r="AH286" i="9"/>
  <c r="AH287" i="9"/>
  <c r="AH288" i="9"/>
  <c r="AH289" i="9"/>
  <c r="AH290" i="9"/>
  <c r="AH291" i="9"/>
  <c r="AH292" i="9"/>
  <c r="AH293" i="9"/>
  <c r="AH294" i="9"/>
  <c r="AH295" i="9"/>
  <c r="AH296" i="9"/>
  <c r="AH297" i="9"/>
  <c r="AH298" i="9"/>
  <c r="AH299" i="9"/>
  <c r="AH300" i="9"/>
  <c r="AH301" i="9"/>
  <c r="AH302" i="9"/>
  <c r="AH303" i="9"/>
  <c r="AH304" i="9"/>
  <c r="AH305" i="9"/>
  <c r="AH306" i="9"/>
  <c r="AH307" i="9"/>
  <c r="AH308" i="9"/>
  <c r="AH309" i="9"/>
  <c r="AH310" i="9"/>
  <c r="AH311" i="9"/>
  <c r="AH312" i="9"/>
  <c r="AH313" i="9"/>
  <c r="AH314" i="9"/>
  <c r="AH315" i="9"/>
  <c r="AH316" i="9"/>
  <c r="AH317" i="9"/>
  <c r="AH318" i="9"/>
  <c r="AH319" i="9"/>
  <c r="AH320" i="9"/>
  <c r="AH321" i="9"/>
  <c r="AH322" i="9"/>
  <c r="AH323" i="9"/>
  <c r="AH324" i="9"/>
  <c r="AH325" i="9"/>
  <c r="AH326" i="9"/>
  <c r="AH327" i="9"/>
  <c r="AH328" i="9"/>
  <c r="AH329" i="9"/>
  <c r="AH330" i="9"/>
  <c r="AH331" i="9"/>
  <c r="AH332" i="9"/>
  <c r="AH333" i="9"/>
  <c r="AH334" i="9"/>
  <c r="AH335" i="9"/>
  <c r="AH336" i="9"/>
  <c r="AH337" i="9"/>
  <c r="AH338" i="9"/>
  <c r="AH339" i="9"/>
  <c r="AH340" i="9"/>
  <c r="AH341" i="9"/>
  <c r="AH342" i="9"/>
  <c r="AH343" i="9"/>
  <c r="AH344" i="9"/>
  <c r="AH345" i="9"/>
  <c r="AH346" i="9"/>
  <c r="AH347" i="9"/>
  <c r="AH348" i="9"/>
  <c r="AH349" i="9"/>
  <c r="AH350" i="9"/>
  <c r="AH351" i="9"/>
  <c r="AH352" i="9"/>
  <c r="AH353" i="9"/>
  <c r="AH354" i="9"/>
  <c r="AH355" i="9"/>
  <c r="AH356" i="9"/>
  <c r="AH357" i="9"/>
  <c r="AH358" i="9"/>
  <c r="AH359" i="9"/>
  <c r="AH360" i="9"/>
  <c r="AH361" i="9"/>
  <c r="AH362" i="9"/>
  <c r="AH363" i="9"/>
  <c r="AH364" i="9"/>
  <c r="AI5" i="9"/>
  <c r="AI6" i="9"/>
  <c r="AI7" i="9"/>
  <c r="AI8" i="9"/>
  <c r="AI9" i="9"/>
  <c r="AJ9" i="9"/>
  <c r="AI10" i="9"/>
  <c r="AI11" i="9"/>
  <c r="AI12" i="9"/>
  <c r="AI13" i="9"/>
  <c r="AI14" i="9"/>
  <c r="AI15" i="9"/>
  <c r="AI16" i="9"/>
  <c r="AJ16" i="9"/>
  <c r="AI17" i="9"/>
  <c r="AJ17" i="9"/>
  <c r="AI18" i="9"/>
  <c r="AI19" i="9"/>
  <c r="AI20" i="9"/>
  <c r="AJ20" i="9"/>
  <c r="AI21" i="9"/>
  <c r="AI22" i="9"/>
  <c r="AI23" i="9"/>
  <c r="AI24" i="9"/>
  <c r="AI25" i="9"/>
  <c r="AI26" i="9"/>
  <c r="AI27" i="9"/>
  <c r="AI28" i="9"/>
  <c r="AJ28" i="9"/>
  <c r="AI29" i="9"/>
  <c r="AJ29" i="9"/>
  <c r="AI30" i="9"/>
  <c r="AJ30" i="9"/>
  <c r="AI31" i="9"/>
  <c r="AJ31" i="9"/>
  <c r="AI32" i="9"/>
  <c r="AJ32" i="9"/>
  <c r="AI33" i="9"/>
  <c r="AI34" i="9"/>
  <c r="AJ34" i="9"/>
  <c r="AI35" i="9"/>
  <c r="AJ35" i="9"/>
  <c r="AI36" i="9"/>
  <c r="AJ36" i="9"/>
  <c r="AI37" i="9"/>
  <c r="AJ37" i="9"/>
  <c r="AI38" i="9"/>
  <c r="AJ38" i="9"/>
  <c r="AI39" i="9"/>
  <c r="AJ39" i="9"/>
  <c r="AI40" i="9"/>
  <c r="AJ40" i="9"/>
  <c r="AI41" i="9"/>
  <c r="AI42" i="9"/>
  <c r="AJ42" i="9"/>
  <c r="AI43" i="9"/>
  <c r="AJ43" i="9"/>
  <c r="AI44" i="9"/>
  <c r="AI45" i="9"/>
  <c r="AJ45" i="9"/>
  <c r="AI46" i="9"/>
  <c r="AJ46" i="9"/>
  <c r="AI47" i="9"/>
  <c r="AJ47" i="9"/>
  <c r="AI48" i="9"/>
  <c r="AJ48" i="9"/>
  <c r="AI49" i="9"/>
  <c r="AJ49" i="9"/>
  <c r="AI50" i="9"/>
  <c r="AJ50" i="9"/>
  <c r="AI51" i="9"/>
  <c r="AJ51" i="9"/>
  <c r="AI52" i="9"/>
  <c r="AJ52" i="9"/>
  <c r="AI53" i="9"/>
  <c r="AJ53" i="9"/>
  <c r="AI54" i="9"/>
  <c r="AJ54" i="9"/>
  <c r="AI55" i="9"/>
  <c r="AJ55" i="9"/>
  <c r="AI56" i="9"/>
  <c r="AI57" i="9"/>
  <c r="AJ57" i="9"/>
  <c r="AI58" i="9"/>
  <c r="AJ58" i="9"/>
  <c r="AI59" i="9"/>
  <c r="AJ59" i="9"/>
  <c r="AI60" i="9"/>
  <c r="AJ60" i="9"/>
  <c r="AI61" i="9"/>
  <c r="AJ61" i="9"/>
  <c r="AI62" i="9"/>
  <c r="AJ62" i="9"/>
  <c r="AI63" i="9"/>
  <c r="AJ63" i="9"/>
  <c r="AI64" i="9"/>
  <c r="AJ64" i="9"/>
  <c r="AI65" i="9"/>
  <c r="AJ65" i="9"/>
  <c r="AI66" i="9"/>
  <c r="AJ66" i="9"/>
  <c r="AI67" i="9"/>
  <c r="AJ67" i="9"/>
  <c r="AI68" i="9"/>
  <c r="AJ68" i="9"/>
  <c r="AI69" i="9"/>
  <c r="AJ69" i="9"/>
  <c r="AI70" i="9"/>
  <c r="AJ70" i="9"/>
  <c r="AI71" i="9"/>
  <c r="AJ71" i="9"/>
  <c r="AI72" i="9"/>
  <c r="AJ72" i="9"/>
  <c r="AI73" i="9"/>
  <c r="AJ73" i="9"/>
  <c r="AI74" i="9"/>
  <c r="AJ74" i="9"/>
  <c r="AI75" i="9"/>
  <c r="AJ75" i="9"/>
  <c r="AI76" i="9"/>
  <c r="AJ76" i="9"/>
  <c r="AI77" i="9"/>
  <c r="AJ77" i="9"/>
  <c r="AI78" i="9"/>
  <c r="AJ78" i="9"/>
  <c r="AI79" i="9"/>
  <c r="AJ79" i="9"/>
  <c r="AI80" i="9"/>
  <c r="AJ80" i="9"/>
  <c r="AI81" i="9"/>
  <c r="AJ81" i="9"/>
  <c r="AI82" i="9"/>
  <c r="AJ82" i="9"/>
  <c r="AI83" i="9"/>
  <c r="AI84" i="9"/>
  <c r="AJ84" i="9"/>
  <c r="AI85" i="9"/>
  <c r="AJ85" i="9"/>
  <c r="AI86" i="9"/>
  <c r="AJ86" i="9"/>
  <c r="AI87" i="9"/>
  <c r="AJ87" i="9"/>
  <c r="AI88" i="9"/>
  <c r="AJ88" i="9"/>
  <c r="AI89" i="9"/>
  <c r="AJ89" i="9"/>
  <c r="AI90" i="9"/>
  <c r="AJ90" i="9"/>
  <c r="AI91" i="9"/>
  <c r="AJ91" i="9"/>
  <c r="AI92" i="9"/>
  <c r="AJ92" i="9"/>
  <c r="AI93" i="9"/>
  <c r="AJ93" i="9"/>
  <c r="AI94" i="9"/>
  <c r="AJ94" i="9"/>
  <c r="AI95" i="9"/>
  <c r="AJ95" i="9"/>
  <c r="AI96" i="9"/>
  <c r="AJ96" i="9"/>
  <c r="AI97" i="9"/>
  <c r="AJ97" i="9"/>
  <c r="AI98" i="9"/>
  <c r="AJ98" i="9"/>
  <c r="AI99" i="9"/>
  <c r="AJ99" i="9"/>
  <c r="AI100" i="9"/>
  <c r="AJ100" i="9"/>
  <c r="AI101" i="9"/>
  <c r="AJ101" i="9"/>
  <c r="AI102" i="9"/>
  <c r="AJ102" i="9"/>
  <c r="AI103" i="9"/>
  <c r="AJ103" i="9"/>
  <c r="AI104" i="9"/>
  <c r="AJ104" i="9"/>
  <c r="AI105" i="9"/>
  <c r="AJ105" i="9"/>
  <c r="AI106" i="9"/>
  <c r="AI107" i="9"/>
  <c r="AI108" i="9"/>
  <c r="AJ108" i="9"/>
  <c r="AI109" i="9"/>
  <c r="AJ109" i="9"/>
  <c r="AI110" i="9"/>
  <c r="AJ110" i="9"/>
  <c r="AI111" i="9"/>
  <c r="AJ111" i="9"/>
  <c r="AI112" i="9"/>
  <c r="AJ112" i="9"/>
  <c r="AI113" i="9"/>
  <c r="AJ113" i="9"/>
  <c r="AI114" i="9"/>
  <c r="AJ114" i="9"/>
  <c r="AI115" i="9"/>
  <c r="AJ115" i="9"/>
  <c r="AI116" i="9"/>
  <c r="AJ116" i="9"/>
  <c r="AI117" i="9"/>
  <c r="AJ117" i="9"/>
  <c r="AI118" i="9"/>
  <c r="AJ118" i="9"/>
  <c r="AI119" i="9"/>
  <c r="AJ119" i="9"/>
  <c r="AI120" i="9"/>
  <c r="AJ120" i="9"/>
  <c r="AI121" i="9"/>
  <c r="AJ121" i="9"/>
  <c r="AI122" i="9"/>
  <c r="AI123" i="9"/>
  <c r="AI124" i="9"/>
  <c r="AJ124" i="9"/>
  <c r="AI125" i="9"/>
  <c r="AJ125" i="9"/>
  <c r="AI126" i="9"/>
  <c r="AJ126" i="9"/>
  <c r="AI127" i="9"/>
  <c r="AJ127" i="9"/>
  <c r="AI128" i="9"/>
  <c r="AJ128" i="9"/>
  <c r="AI129" i="9"/>
  <c r="AI130" i="9"/>
  <c r="AJ130" i="9"/>
  <c r="AI131" i="9"/>
  <c r="AJ131" i="9"/>
  <c r="AI132" i="9"/>
  <c r="AJ132" i="9"/>
  <c r="AI133" i="9"/>
  <c r="AJ133" i="9"/>
  <c r="AI134" i="9"/>
  <c r="AJ134" i="9"/>
  <c r="AI135" i="9"/>
  <c r="AJ135" i="9"/>
  <c r="AI136" i="9"/>
  <c r="AJ136" i="9"/>
  <c r="AI137" i="9"/>
  <c r="AJ137" i="9"/>
  <c r="AI138" i="9"/>
  <c r="AJ138" i="9"/>
  <c r="AI139" i="9"/>
  <c r="AJ139" i="9"/>
  <c r="AI140" i="9"/>
  <c r="AJ140" i="9"/>
  <c r="AI141" i="9"/>
  <c r="AJ141" i="9"/>
  <c r="AI142" i="9"/>
  <c r="AJ142" i="9"/>
  <c r="AI143" i="9"/>
  <c r="AJ143" i="9"/>
  <c r="AI144" i="9"/>
  <c r="AJ144" i="9"/>
  <c r="AI145" i="9"/>
  <c r="AJ145" i="9"/>
  <c r="AI146" i="9"/>
  <c r="AJ146" i="9"/>
  <c r="AI147" i="9"/>
  <c r="AJ147" i="9"/>
  <c r="AI148" i="9"/>
  <c r="AJ148" i="9"/>
  <c r="AI149" i="9"/>
  <c r="AJ149" i="9"/>
  <c r="AI150" i="9"/>
  <c r="AJ150" i="9"/>
  <c r="AI151" i="9"/>
  <c r="AJ151" i="9"/>
  <c r="AI152" i="9"/>
  <c r="AJ152" i="9"/>
  <c r="AI153" i="9"/>
  <c r="AJ153" i="9"/>
  <c r="AI154" i="9"/>
  <c r="AJ154" i="9"/>
  <c r="AI155" i="9"/>
  <c r="AJ155" i="9"/>
  <c r="AI156" i="9"/>
  <c r="AJ156" i="9"/>
  <c r="AI157" i="9"/>
  <c r="AI158" i="9"/>
  <c r="AI159" i="9"/>
  <c r="AJ159" i="9"/>
  <c r="AI160" i="9"/>
  <c r="AJ160" i="9"/>
  <c r="AI161" i="9"/>
  <c r="AJ161" i="9"/>
  <c r="AI162" i="9"/>
  <c r="AJ162" i="9"/>
  <c r="AI163" i="9"/>
  <c r="AJ163" i="9"/>
  <c r="AI164" i="9"/>
  <c r="AJ164" i="9"/>
  <c r="AI165" i="9"/>
  <c r="AJ165" i="9"/>
  <c r="AI166" i="9"/>
  <c r="AJ166" i="9"/>
  <c r="AI167" i="9"/>
  <c r="AJ167" i="9"/>
  <c r="AI168" i="9"/>
  <c r="AJ168" i="9"/>
  <c r="AI169" i="9"/>
  <c r="AJ169" i="9"/>
  <c r="AI170" i="9"/>
  <c r="AJ170" i="9"/>
  <c r="AI171" i="9"/>
  <c r="AJ171" i="9"/>
  <c r="AI172" i="9"/>
  <c r="AJ172" i="9"/>
  <c r="AI173" i="9"/>
  <c r="AJ173" i="9"/>
  <c r="AI174" i="9"/>
  <c r="AJ174" i="9"/>
  <c r="AI175" i="9"/>
  <c r="AJ175" i="9"/>
  <c r="AI176" i="9"/>
  <c r="AJ176" i="9"/>
  <c r="AI177" i="9"/>
  <c r="AJ177" i="9"/>
  <c r="AI178" i="9"/>
  <c r="AJ178" i="9"/>
  <c r="AI179" i="9"/>
  <c r="AJ179" i="9"/>
  <c r="AI180" i="9"/>
  <c r="AJ180" i="9"/>
  <c r="AI181" i="9"/>
  <c r="AJ181" i="9"/>
  <c r="AI182" i="9"/>
  <c r="AJ182" i="9"/>
  <c r="AI183" i="9"/>
  <c r="AJ183" i="9"/>
  <c r="AI184" i="9"/>
  <c r="AJ184" i="9"/>
  <c r="AI185" i="9"/>
  <c r="AJ185" i="9"/>
  <c r="AI186" i="9"/>
  <c r="AJ186" i="9"/>
  <c r="AI187" i="9"/>
  <c r="AJ187" i="9"/>
  <c r="AI188" i="9"/>
  <c r="AJ188" i="9"/>
  <c r="AI189" i="9"/>
  <c r="AJ189" i="9"/>
  <c r="AI190" i="9"/>
  <c r="AJ190" i="9"/>
  <c r="AI191" i="9"/>
  <c r="AI192" i="9"/>
  <c r="AJ192" i="9"/>
  <c r="AI193" i="9"/>
  <c r="AJ193" i="9"/>
  <c r="AI194" i="9"/>
  <c r="AJ194" i="9"/>
  <c r="AI195" i="9"/>
  <c r="AJ195" i="9"/>
  <c r="AI196" i="9"/>
  <c r="AJ196" i="9"/>
  <c r="AI197" i="9"/>
  <c r="AJ197" i="9"/>
  <c r="AI198" i="9"/>
  <c r="AJ198" i="9"/>
  <c r="AI199" i="9"/>
  <c r="AJ199" i="9"/>
  <c r="AI200" i="9"/>
  <c r="AJ200" i="9"/>
  <c r="AI201" i="9"/>
  <c r="AJ201" i="9"/>
  <c r="AI202" i="9"/>
  <c r="AJ202" i="9"/>
  <c r="AI203" i="9"/>
  <c r="AJ203" i="9"/>
  <c r="AI204" i="9"/>
  <c r="AJ204" i="9"/>
  <c r="AI205" i="9"/>
  <c r="AJ205" i="9"/>
  <c r="AI206" i="9"/>
  <c r="AJ206" i="9"/>
  <c r="AI207" i="9"/>
  <c r="AJ207" i="9"/>
  <c r="AI208" i="9"/>
  <c r="AJ208" i="9"/>
  <c r="AI209" i="9"/>
  <c r="AJ209" i="9"/>
  <c r="AI210" i="9"/>
  <c r="AJ210" i="9"/>
  <c r="AI211" i="9"/>
  <c r="AJ211" i="9"/>
  <c r="AI212" i="9"/>
  <c r="AJ212" i="9"/>
  <c r="AI213" i="9"/>
  <c r="AJ213" i="9"/>
  <c r="AI214" i="9"/>
  <c r="AJ214" i="9"/>
  <c r="AI215" i="9"/>
  <c r="AJ215" i="9"/>
  <c r="AI216" i="9"/>
  <c r="AI217" i="9"/>
  <c r="AJ217" i="9"/>
  <c r="AI218" i="9"/>
  <c r="AJ218" i="9"/>
  <c r="AI219" i="9"/>
  <c r="AJ219" i="9"/>
  <c r="AI220" i="9"/>
  <c r="AJ220" i="9"/>
  <c r="AI221" i="9"/>
  <c r="AJ221" i="9"/>
  <c r="AI222" i="9"/>
  <c r="AI223" i="9"/>
  <c r="AJ223" i="9"/>
  <c r="AI224" i="9"/>
  <c r="AJ224" i="9"/>
  <c r="AI225" i="9"/>
  <c r="AJ225" i="9"/>
  <c r="AI226" i="9"/>
  <c r="AJ226" i="9"/>
  <c r="AI227" i="9"/>
  <c r="AJ227" i="9"/>
  <c r="AI228" i="9"/>
  <c r="AI229" i="9"/>
  <c r="AJ229" i="9"/>
  <c r="AI230" i="9"/>
  <c r="AJ230" i="9"/>
  <c r="AI231" i="9"/>
  <c r="AJ231" i="9"/>
  <c r="AI232" i="9"/>
  <c r="AJ232" i="9"/>
  <c r="AI233" i="9"/>
  <c r="AJ233" i="9"/>
  <c r="AI234" i="9"/>
  <c r="AJ234" i="9"/>
  <c r="AI235" i="9"/>
  <c r="AJ235" i="9"/>
  <c r="AI236" i="9"/>
  <c r="AJ236" i="9"/>
  <c r="AI237" i="9"/>
  <c r="AJ237" i="9"/>
  <c r="AI238" i="9"/>
  <c r="AJ238" i="9"/>
  <c r="AI239" i="9"/>
  <c r="AJ239" i="9"/>
  <c r="AI240" i="9"/>
  <c r="AJ240" i="9"/>
  <c r="AI241" i="9"/>
  <c r="AJ241" i="9"/>
  <c r="AI242" i="9"/>
  <c r="AJ242" i="9"/>
  <c r="AI243" i="9"/>
  <c r="AJ243" i="9"/>
  <c r="AI244" i="9"/>
  <c r="AJ244" i="9"/>
  <c r="AI245" i="9"/>
  <c r="AJ245" i="9"/>
  <c r="AI246" i="9"/>
  <c r="AJ246" i="9"/>
  <c r="AI247" i="9"/>
  <c r="AJ247" i="9"/>
  <c r="AI248" i="9"/>
  <c r="AJ248" i="9"/>
  <c r="AI249" i="9"/>
  <c r="AJ249" i="9"/>
  <c r="AI250" i="9"/>
  <c r="AJ250" i="9"/>
  <c r="AI251" i="9"/>
  <c r="AJ251" i="9"/>
  <c r="AI252" i="9"/>
  <c r="AJ252" i="9"/>
  <c r="AI253" i="9"/>
  <c r="AJ253" i="9"/>
  <c r="AI254" i="9"/>
  <c r="AJ254" i="9"/>
  <c r="AI255" i="9"/>
  <c r="AJ255" i="9"/>
  <c r="AI256" i="9"/>
  <c r="AJ256" i="9"/>
  <c r="AI257" i="9"/>
  <c r="AJ257" i="9"/>
  <c r="AI258" i="9"/>
  <c r="AJ258" i="9"/>
  <c r="AI259" i="9"/>
  <c r="AJ259" i="9"/>
  <c r="AI260" i="9"/>
  <c r="AJ260" i="9"/>
  <c r="AI261" i="9"/>
  <c r="AJ261" i="9"/>
  <c r="AI262" i="9"/>
  <c r="AJ262" i="9"/>
  <c r="AI263" i="9"/>
  <c r="AJ263" i="9"/>
  <c r="AI264" i="9"/>
  <c r="AJ264" i="9"/>
  <c r="AI265" i="9"/>
  <c r="AJ265" i="9"/>
  <c r="AI266" i="9"/>
  <c r="AJ266" i="9"/>
  <c r="AI267" i="9"/>
  <c r="AJ267" i="9"/>
  <c r="AI268" i="9"/>
  <c r="AJ268" i="9"/>
  <c r="AI269" i="9"/>
  <c r="AJ269" i="9"/>
  <c r="AI270" i="9"/>
  <c r="AJ270" i="9"/>
  <c r="AI271" i="9"/>
  <c r="AJ271" i="9"/>
  <c r="AI272" i="9"/>
  <c r="AJ272" i="9"/>
  <c r="AI273" i="9"/>
  <c r="AJ273" i="9"/>
  <c r="AI274" i="9"/>
  <c r="AJ274" i="9"/>
  <c r="AI275" i="9"/>
  <c r="AJ275" i="9"/>
  <c r="AI276" i="9"/>
  <c r="AJ276" i="9"/>
  <c r="AI277" i="9"/>
  <c r="AJ277" i="9"/>
  <c r="AI278" i="9"/>
  <c r="AJ278" i="9"/>
  <c r="AI279" i="9"/>
  <c r="AJ279" i="9"/>
  <c r="AI280" i="9"/>
  <c r="AJ280" i="9"/>
  <c r="AI281" i="9"/>
  <c r="AJ281" i="9"/>
  <c r="AI282" i="9"/>
  <c r="AJ282" i="9"/>
  <c r="AI283" i="9"/>
  <c r="AJ283" i="9"/>
  <c r="AI284" i="9"/>
  <c r="AJ284" i="9"/>
  <c r="AI285" i="9"/>
  <c r="AJ285" i="9"/>
  <c r="AI286" i="9"/>
  <c r="AJ286" i="9"/>
  <c r="AI287" i="9"/>
  <c r="AJ287" i="9"/>
  <c r="AI288" i="9"/>
  <c r="AJ288" i="9"/>
  <c r="AI289" i="9"/>
  <c r="AJ289" i="9"/>
  <c r="AI290" i="9"/>
  <c r="AJ290" i="9"/>
  <c r="AI291" i="9"/>
  <c r="AJ291" i="9"/>
  <c r="AI292" i="9"/>
  <c r="AJ292" i="9"/>
  <c r="AI293" i="9"/>
  <c r="AJ293" i="9"/>
  <c r="AI294" i="9"/>
  <c r="AJ294" i="9"/>
  <c r="AI295" i="9"/>
  <c r="AJ295" i="9"/>
  <c r="AI296" i="9"/>
  <c r="AJ296" i="9"/>
  <c r="AI297" i="9"/>
  <c r="AJ297" i="9"/>
  <c r="AI298" i="9"/>
  <c r="AJ298" i="9"/>
  <c r="AI299" i="9"/>
  <c r="AJ299" i="9"/>
  <c r="AI300" i="9"/>
  <c r="AJ300" i="9"/>
  <c r="AI301" i="9"/>
  <c r="AJ301" i="9"/>
  <c r="AI302" i="9"/>
  <c r="AJ302" i="9"/>
  <c r="AI303" i="9"/>
  <c r="AJ303" i="9"/>
  <c r="AI304" i="9"/>
  <c r="AJ304" i="9"/>
  <c r="AI305" i="9"/>
  <c r="AJ305" i="9"/>
  <c r="AI306" i="9"/>
  <c r="AJ306" i="9"/>
  <c r="AI307" i="9"/>
  <c r="AJ307" i="9"/>
  <c r="AI308" i="9"/>
  <c r="AJ308" i="9"/>
  <c r="AI309" i="9"/>
  <c r="AJ309" i="9"/>
  <c r="AI310" i="9"/>
  <c r="AJ310" i="9"/>
  <c r="AI311" i="9"/>
  <c r="AJ311" i="9"/>
  <c r="AI312" i="9"/>
  <c r="AJ312" i="9"/>
  <c r="AI313" i="9"/>
  <c r="AJ313" i="9"/>
  <c r="AI314" i="9"/>
  <c r="AJ314" i="9"/>
  <c r="AI315" i="9"/>
  <c r="AJ315" i="9"/>
  <c r="AI316" i="9"/>
  <c r="AJ316" i="9"/>
  <c r="AI317" i="9"/>
  <c r="AJ317" i="9"/>
  <c r="AI318" i="9"/>
  <c r="AJ318" i="9"/>
  <c r="AI319" i="9"/>
  <c r="AJ319" i="9"/>
  <c r="AI320" i="9"/>
  <c r="AJ320" i="9"/>
  <c r="AI321" i="9"/>
  <c r="AJ321" i="9"/>
  <c r="AI322" i="9"/>
  <c r="AJ322" i="9"/>
  <c r="AI323" i="9"/>
  <c r="AJ323" i="9"/>
  <c r="AI324" i="9"/>
  <c r="AJ324" i="9"/>
  <c r="AI325" i="9"/>
  <c r="AJ325" i="9"/>
  <c r="AI326" i="9"/>
  <c r="AJ326" i="9"/>
  <c r="AI327" i="9"/>
  <c r="AJ327" i="9"/>
  <c r="AI328" i="9"/>
  <c r="AJ328" i="9"/>
  <c r="AI329" i="9"/>
  <c r="AJ329" i="9"/>
  <c r="AI330" i="9"/>
  <c r="AJ330" i="9"/>
  <c r="AI331" i="9"/>
  <c r="AJ331" i="9"/>
  <c r="AI332" i="9"/>
  <c r="AJ332" i="9"/>
  <c r="AI333" i="9"/>
  <c r="AJ333" i="9"/>
  <c r="AI334" i="9"/>
  <c r="AJ334" i="9"/>
  <c r="AI335" i="9"/>
  <c r="AJ335" i="9"/>
  <c r="AI336" i="9"/>
  <c r="AJ336" i="9"/>
  <c r="AI337" i="9"/>
  <c r="AJ337" i="9"/>
  <c r="AI338" i="9"/>
  <c r="AJ338" i="9"/>
  <c r="AI339" i="9"/>
  <c r="AJ339" i="9"/>
  <c r="AI340" i="9"/>
  <c r="AJ340" i="9"/>
  <c r="AI341" i="9"/>
  <c r="AJ341" i="9"/>
  <c r="AI342" i="9"/>
  <c r="AJ342" i="9"/>
  <c r="AI343" i="9"/>
  <c r="AJ343" i="9"/>
  <c r="AI344" i="9"/>
  <c r="AJ344" i="9"/>
  <c r="AI345" i="9"/>
  <c r="AJ345" i="9"/>
  <c r="AI346" i="9"/>
  <c r="AJ346" i="9"/>
  <c r="AI347" i="9"/>
  <c r="AJ347" i="9"/>
  <c r="AI348" i="9"/>
  <c r="AJ348" i="9"/>
  <c r="AI349" i="9"/>
  <c r="AJ349" i="9"/>
  <c r="AI350" i="9"/>
  <c r="AJ350" i="9"/>
  <c r="AI351" i="9"/>
  <c r="AJ351" i="9"/>
  <c r="AI352" i="9"/>
  <c r="AJ352" i="9"/>
  <c r="AI353" i="9"/>
  <c r="AJ353" i="9"/>
  <c r="AI354" i="9"/>
  <c r="AJ354" i="9"/>
  <c r="AI355" i="9"/>
  <c r="AJ355" i="9"/>
  <c r="AI356" i="9"/>
  <c r="AJ356" i="9"/>
  <c r="AI357" i="9"/>
  <c r="AJ357" i="9"/>
  <c r="AI358" i="9"/>
  <c r="AJ358" i="9"/>
  <c r="AI359" i="9"/>
  <c r="AJ359" i="9"/>
  <c r="AI360" i="9"/>
  <c r="AJ360" i="9"/>
  <c r="AI361" i="9"/>
  <c r="AJ361" i="9"/>
  <c r="AI362" i="9"/>
  <c r="AJ362" i="9"/>
  <c r="AI363" i="9"/>
  <c r="AJ363" i="9"/>
  <c r="AI4" i="9"/>
  <c r="AJ33" i="9"/>
  <c r="AJ107" i="9"/>
  <c r="AJ13" i="9"/>
  <c r="AJ157" i="9"/>
  <c r="AJ222" i="9"/>
  <c r="AJ216" i="9"/>
  <c r="AJ228" i="9"/>
  <c r="AJ18" i="9"/>
  <c r="AJ12" i="9"/>
  <c r="AJ129" i="9"/>
  <c r="AJ83" i="9"/>
  <c r="AJ123" i="9"/>
  <c r="AJ106" i="9"/>
  <c r="AJ56" i="9"/>
  <c r="AJ24" i="9"/>
  <c r="AJ41" i="9"/>
  <c r="AJ21" i="9"/>
  <c r="AJ191" i="9"/>
  <c r="AJ122" i="9"/>
  <c r="AJ14" i="9"/>
  <c r="AJ158" i="9"/>
  <c r="AJ8" i="9"/>
  <c r="AJ4" i="9"/>
  <c r="AJ22" i="9"/>
  <c r="AJ26" i="9"/>
  <c r="AJ44" i="9"/>
  <c r="AJ25" i="9"/>
  <c r="AJ27" i="9"/>
  <c r="AJ19" i="9"/>
  <c r="AJ15" i="9"/>
  <c r="AJ23" i="9"/>
  <c r="AJ11" i="9"/>
  <c r="AJ7" i="9"/>
  <c r="AJ10" i="9"/>
  <c r="AJ6" i="9"/>
  <c r="AJ5" i="9"/>
</calcChain>
</file>

<file path=xl/sharedStrings.xml><?xml version="1.0" encoding="utf-8"?>
<sst xmlns="http://schemas.openxmlformats.org/spreadsheetml/2006/main" count="8430" uniqueCount="315">
  <si>
    <t xml:space="preserve">Delivery </t>
  </si>
  <si>
    <t>Survey</t>
  </si>
  <si>
    <t>Capacity</t>
  </si>
  <si>
    <t>DWT</t>
  </si>
  <si>
    <t>LDT</t>
  </si>
  <si>
    <t>Date</t>
  </si>
  <si>
    <t>TEU Nom</t>
  </si>
  <si>
    <t>TEU 14t</t>
  </si>
  <si>
    <t>MT</t>
  </si>
  <si>
    <t>Rate/Day</t>
  </si>
  <si>
    <t>Survey/Day</t>
  </si>
  <si>
    <t xml:space="preserve">Opex </t>
  </si>
  <si>
    <t>$/Day</t>
  </si>
  <si>
    <t>Scrap</t>
  </si>
  <si>
    <t>Mkt</t>
  </si>
  <si>
    <t>Value ($ MMs)</t>
  </si>
  <si>
    <t>Expiration</t>
  </si>
  <si>
    <t>date</t>
  </si>
  <si>
    <t>built</t>
  </si>
  <si>
    <t>TEU</t>
  </si>
  <si>
    <t>rate</t>
  </si>
  <si>
    <t>rate_unit</t>
  </si>
  <si>
    <t>charter_length</t>
  </si>
  <si>
    <t>length_unit</t>
  </si>
  <si>
    <t>age</t>
  </si>
  <si>
    <t>$/day</t>
  </si>
  <si>
    <t>days</t>
  </si>
  <si>
    <t>Lower Bound (L)</t>
  </si>
  <si>
    <t>Upper Bound (U)</t>
  </si>
  <si>
    <t>Mean</t>
  </si>
  <si>
    <t>Sigma</t>
  </si>
  <si>
    <t>standard beta mean (m)</t>
  </si>
  <si>
    <t>ratio (r)</t>
  </si>
  <si>
    <t>Coefficient of Variation (COV)</t>
  </si>
  <si>
    <t>alpha</t>
  </si>
  <si>
    <t>beta</t>
  </si>
  <si>
    <t>Today</t>
  </si>
  <si>
    <t>Revenue</t>
  </si>
  <si>
    <t>Today's Age</t>
  </si>
  <si>
    <t>Month</t>
  </si>
  <si>
    <t>Amortization</t>
  </si>
  <si>
    <t>Cost</t>
  </si>
  <si>
    <t>Sales</t>
  </si>
  <si>
    <t>i=1</t>
  </si>
  <si>
    <t>i=2</t>
  </si>
  <si>
    <t>i=3</t>
  </si>
  <si>
    <t>i=4</t>
  </si>
  <si>
    <t>i=5</t>
  </si>
  <si>
    <t>i=6</t>
  </si>
  <si>
    <t>i=7</t>
  </si>
  <si>
    <t>i=8</t>
  </si>
  <si>
    <t>i=9</t>
  </si>
  <si>
    <t>i=10</t>
  </si>
  <si>
    <t>i=11</t>
  </si>
  <si>
    <t>i=12</t>
  </si>
  <si>
    <t>i=13</t>
  </si>
  <si>
    <t>i=14</t>
  </si>
  <si>
    <t>i=15</t>
  </si>
  <si>
    <t>i=16</t>
  </si>
  <si>
    <t>i=17</t>
  </si>
  <si>
    <t>i=18</t>
  </si>
  <si>
    <t>i=19</t>
  </si>
  <si>
    <t>i=20</t>
  </si>
  <si>
    <t>i=21</t>
  </si>
  <si>
    <t>i=22</t>
  </si>
  <si>
    <t>i=23</t>
  </si>
  <si>
    <t>i=24</t>
  </si>
  <si>
    <t>i=25</t>
  </si>
  <si>
    <t>month</t>
  </si>
  <si>
    <t>years</t>
  </si>
  <si>
    <t>WAI</t>
  </si>
  <si>
    <t>Lease # for each ship</t>
  </si>
  <si>
    <t>Asset</t>
  </si>
  <si>
    <t>Class A Size</t>
  </si>
  <si>
    <t>Class B Size</t>
  </si>
  <si>
    <t>Class C Size</t>
  </si>
  <si>
    <t>Class A Maturity</t>
  </si>
  <si>
    <t>Class B Maturity</t>
  </si>
  <si>
    <t>Class C Maturity</t>
  </si>
  <si>
    <t>Class A Desired Rating</t>
  </si>
  <si>
    <t>Class B Desired Rating</t>
  </si>
  <si>
    <t>Class C Desired Rating</t>
  </si>
  <si>
    <t>A2</t>
  </si>
  <si>
    <t>Baa2</t>
  </si>
  <si>
    <t>Class A Amortization</t>
  </si>
  <si>
    <t>Class B Amortization</t>
  </si>
  <si>
    <t>Current Collection</t>
  </si>
  <si>
    <t>Cl A Int Due</t>
  </si>
  <si>
    <t>Cl A Int Paid</t>
  </si>
  <si>
    <t>Cl A Int Shrt</t>
  </si>
  <si>
    <t>Remaining Avail. Funds</t>
  </si>
  <si>
    <t>F2(t)</t>
  </si>
  <si>
    <t>Cl B Int Due</t>
  </si>
  <si>
    <t>Cl B Int Paid</t>
  </si>
  <si>
    <t>Cl B Int Shrt</t>
  </si>
  <si>
    <t>Avail. Funds</t>
  </si>
  <si>
    <t>F0(t)</t>
  </si>
  <si>
    <t>Maintenance Fees</t>
  </si>
  <si>
    <t>WAT</t>
  </si>
  <si>
    <t>Class A APR</t>
  </si>
  <si>
    <t>Initial Pool Balance</t>
  </si>
  <si>
    <t>Class A Balance</t>
  </si>
  <si>
    <t>Class B Balance</t>
  </si>
  <si>
    <t>Class C Balance</t>
  </si>
  <si>
    <t>Preliminaries</t>
  </si>
  <si>
    <r>
      <t>B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(t-1)</t>
    </r>
  </si>
  <si>
    <r>
      <t>B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(t-1)</t>
    </r>
  </si>
  <si>
    <r>
      <t>B</t>
    </r>
    <r>
      <rPr>
        <b/>
        <sz val="8"/>
        <color theme="1"/>
        <rFont val="Calibri (Body)"/>
      </rPr>
      <t>C</t>
    </r>
    <r>
      <rPr>
        <b/>
        <sz val="11"/>
        <color theme="1"/>
        <rFont val="Calibri"/>
        <family val="2"/>
        <scheme val="minor"/>
      </rPr>
      <t>(t-1)</t>
    </r>
  </si>
  <si>
    <t>CC(t)</t>
  </si>
  <si>
    <t>End Maintenance Reserve Acct</t>
  </si>
  <si>
    <t>Maintenance Reserve Draw</t>
  </si>
  <si>
    <t>Avail. Collect.</t>
  </si>
  <si>
    <t>Target Maintenance Reserve</t>
  </si>
  <si>
    <t>Maintenance Res. Contrib.</t>
  </si>
  <si>
    <t>Investment Rate</t>
  </si>
  <si>
    <t>End Interest Reserve Acct</t>
  </si>
  <si>
    <t>Class B APR</t>
  </si>
  <si>
    <t>Class C APR</t>
  </si>
  <si>
    <t>Initial Cost of ships V(0)</t>
  </si>
  <si>
    <r>
      <t>R</t>
    </r>
    <r>
      <rPr>
        <b/>
        <sz val="8"/>
        <color theme="1"/>
        <rFont val="Calibri (Body)"/>
      </rPr>
      <t>RA</t>
    </r>
    <r>
      <rPr>
        <b/>
        <sz val="11"/>
        <color theme="1"/>
        <rFont val="Calibri"/>
        <family val="2"/>
        <scheme val="minor"/>
      </rPr>
      <t>(t)</t>
    </r>
  </si>
  <si>
    <t>S(t)</t>
  </si>
  <si>
    <r>
      <t>S</t>
    </r>
    <r>
      <rPr>
        <b/>
        <sz val="8"/>
        <rFont val="Arial"/>
        <family val="2"/>
      </rPr>
      <t>P</t>
    </r>
    <r>
      <rPr>
        <b/>
        <sz val="10"/>
        <rFont val="Arial"/>
        <family val="2"/>
      </rPr>
      <t>(t)</t>
    </r>
  </si>
  <si>
    <r>
      <t>S</t>
    </r>
    <r>
      <rPr>
        <b/>
        <sz val="8"/>
        <rFont val="Arial"/>
        <family val="2"/>
      </rPr>
      <t>S</t>
    </r>
    <r>
      <rPr>
        <b/>
        <sz val="10"/>
        <rFont val="Arial"/>
        <family val="2"/>
      </rPr>
      <t>(t)</t>
    </r>
  </si>
  <si>
    <t>Svc Fee Due</t>
  </si>
  <si>
    <t>Svc Fee Paid</t>
  </si>
  <si>
    <t>Svc Fee Shrt</t>
  </si>
  <si>
    <r>
      <t>R</t>
    </r>
    <r>
      <rPr>
        <b/>
        <sz val="8"/>
        <color theme="1"/>
        <rFont val="Calibri (Body)"/>
      </rPr>
      <t>MR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</si>
  <si>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dM</t>
    </r>
    <r>
      <rPr>
        <b/>
        <sz val="11"/>
        <color theme="1"/>
        <rFont val="Calibri"/>
        <family val="2"/>
        <scheme val="minor"/>
      </rPr>
      <t>(t)</t>
    </r>
  </si>
  <si>
    <t>Part 1: Servicing Fee</t>
  </si>
  <si>
    <t>Part 2: Class A Interest</t>
  </si>
  <si>
    <r>
      <t>F</t>
    </r>
    <r>
      <rPr>
        <b/>
        <sz val="8"/>
        <color theme="1"/>
        <rFont val="Calibri (Body)"/>
      </rPr>
      <t>3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</si>
  <si>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AS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</si>
  <si>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AP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</si>
  <si>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</si>
  <si>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4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</si>
  <si>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BS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</si>
  <si>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BP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</si>
  <si>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(t)</t>
    </r>
  </si>
  <si>
    <t>Part 3: Class B Interest</t>
  </si>
  <si>
    <t>Interest Reserve Draw</t>
  </si>
  <si>
    <r>
      <t>R</t>
    </r>
    <r>
      <rPr>
        <b/>
        <sz val="8"/>
        <color theme="1"/>
        <rFont val="Calibri (Body)"/>
      </rPr>
      <t>dR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</si>
  <si>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5</t>
    </r>
    <r>
      <rPr>
        <b/>
        <sz val="11"/>
        <color theme="1"/>
        <rFont val="Calibri"/>
        <family val="2"/>
        <scheme val="minor"/>
      </rPr>
      <t>(t)</t>
    </r>
  </si>
  <si>
    <t>Part 4</t>
  </si>
  <si>
    <r>
      <t>R</t>
    </r>
    <r>
      <rPr>
        <b/>
        <sz val="8"/>
        <color theme="1"/>
        <rFont val="Calibri"/>
        <family val="2"/>
        <scheme val="minor"/>
      </rPr>
      <t>a</t>
    </r>
    <r>
      <rPr>
        <b/>
        <sz val="8"/>
        <color theme="1"/>
        <rFont val="Calibri (Body)"/>
      </rPr>
      <t>M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</si>
  <si>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rM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</si>
  <si>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6</t>
    </r>
    <r>
      <rPr>
        <b/>
        <sz val="11"/>
        <color theme="1"/>
        <rFont val="Calibri"/>
        <family val="2"/>
        <scheme val="minor"/>
      </rPr>
      <t>(t)</t>
    </r>
  </si>
  <si>
    <t>Part 5: Class C Interest</t>
  </si>
  <si>
    <t>Cl C Int Due</t>
  </si>
  <si>
    <r>
      <t>I</t>
    </r>
    <r>
      <rPr>
        <b/>
        <sz val="8"/>
        <color theme="1"/>
        <rFont val="Calibri (Body)"/>
      </rPr>
      <t>C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</si>
  <si>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CP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</si>
  <si>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CS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</si>
  <si>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7</t>
    </r>
    <r>
      <rPr>
        <b/>
        <sz val="11"/>
        <color theme="1"/>
        <rFont val="Calibri"/>
        <family val="2"/>
        <scheme val="minor"/>
      </rPr>
      <t>(t)</t>
    </r>
  </si>
  <si>
    <t>Cl C Int Paid</t>
  </si>
  <si>
    <t>Part 6</t>
  </si>
  <si>
    <t>Interest Res. Contrib.</t>
  </si>
  <si>
    <t>Target Reserve Balance</t>
  </si>
  <si>
    <t>Beginning Interest Reserve Account</t>
  </si>
  <si>
    <t>Beginning Maintenance Reserve Account</t>
  </si>
  <si>
    <t>Target number of months of WAI</t>
  </si>
  <si>
    <r>
      <t>R</t>
    </r>
    <r>
      <rPr>
        <b/>
        <sz val="8"/>
        <color theme="1"/>
        <rFont val="Calibri (Body)"/>
      </rPr>
      <t>rR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</si>
  <si>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aR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</si>
  <si>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eR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</si>
  <si>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8</t>
    </r>
    <r>
      <rPr>
        <b/>
        <sz val="11"/>
        <color theme="1"/>
        <rFont val="Calibri"/>
        <family val="2"/>
        <scheme val="minor"/>
      </rPr>
      <t>(t)</t>
    </r>
  </si>
  <si>
    <t>Part 7: Class A Principal</t>
  </si>
  <si>
    <t>Cl A Prin Due</t>
  </si>
  <si>
    <t>Cl A Prin Paid</t>
  </si>
  <si>
    <t>Cl A Prin Shrt</t>
  </si>
  <si>
    <r>
      <t>P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</si>
  <si>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 (Body)"/>
      </rPr>
      <t>AP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</si>
  <si>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 (Body)"/>
      </rPr>
      <t>AS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</si>
  <si>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9</t>
    </r>
    <r>
      <rPr>
        <b/>
        <sz val="11"/>
        <color theme="1"/>
        <rFont val="Calibri"/>
        <family val="2"/>
        <scheme val="minor"/>
      </rPr>
      <t>(t)</t>
    </r>
  </si>
  <si>
    <t>TAC Schedule of Class A</t>
  </si>
  <si>
    <t>TAC Schedule of Class B</t>
  </si>
  <si>
    <t>Part 8: Class B Principal</t>
  </si>
  <si>
    <r>
      <t>P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</si>
  <si>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"/>
        <family val="2"/>
        <scheme val="minor"/>
      </rPr>
      <t>B</t>
    </r>
    <r>
      <rPr>
        <b/>
        <sz val="8"/>
        <color theme="1"/>
        <rFont val="Calibri (Body)"/>
      </rPr>
      <t>P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</si>
  <si>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"/>
        <family val="2"/>
        <scheme val="minor"/>
      </rPr>
      <t>B</t>
    </r>
    <r>
      <rPr>
        <b/>
        <sz val="8"/>
        <color theme="1"/>
        <rFont val="Calibri (Body)"/>
      </rPr>
      <t>S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</si>
  <si>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10</t>
    </r>
    <r>
      <rPr>
        <b/>
        <sz val="11"/>
        <color theme="1"/>
        <rFont val="Calibri"/>
        <family val="2"/>
        <scheme val="minor"/>
      </rPr>
      <t>(t)</t>
    </r>
  </si>
  <si>
    <t>Cl B Prin Due</t>
  </si>
  <si>
    <t>Cl B Prin Paid</t>
  </si>
  <si>
    <t>Cl B Prin Shrt</t>
  </si>
  <si>
    <t>RS(t)</t>
  </si>
  <si>
    <t>Residual Amount</t>
  </si>
  <si>
    <r>
      <t>F</t>
    </r>
    <r>
      <rPr>
        <b/>
        <sz val="8"/>
        <color theme="1"/>
        <rFont val="Calibri (Body)"/>
      </rPr>
      <t>11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</si>
  <si>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eM</t>
    </r>
    <r>
      <rPr>
        <b/>
        <sz val="11"/>
        <color theme="1"/>
        <rFont val="Calibri"/>
        <family val="2"/>
        <scheme val="minor"/>
      </rPr>
      <t>(t)</t>
    </r>
  </si>
  <si>
    <t>Class A Monthly Payment</t>
  </si>
  <si>
    <t>Class B Monthly Payment</t>
  </si>
  <si>
    <r>
      <t>TAC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(t)</t>
    </r>
  </si>
  <si>
    <r>
      <t>TAC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(t)</t>
    </r>
  </si>
  <si>
    <t>end of</t>
  </si>
  <si>
    <t>Class A Principal Balance</t>
  </si>
  <si>
    <t>Class B Principal Balance</t>
  </si>
  <si>
    <t>Class C principal Balance</t>
  </si>
  <si>
    <t>Part 9: Class C</t>
  </si>
  <si>
    <t>Cl C Prin Paid</t>
  </si>
  <si>
    <t>Cl C Prin Shrt</t>
  </si>
  <si>
    <t>Cl C Prin Due</t>
  </si>
  <si>
    <r>
      <t>P</t>
    </r>
    <r>
      <rPr>
        <b/>
        <sz val="8"/>
        <color theme="1"/>
        <rFont val="Calibri (Body)"/>
      </rPr>
      <t>C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</si>
  <si>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 (Body)"/>
      </rPr>
      <t>CP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</si>
  <si>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"/>
        <family val="2"/>
        <scheme val="minor"/>
      </rPr>
      <t>C</t>
    </r>
    <r>
      <rPr>
        <b/>
        <sz val="8"/>
        <color theme="1"/>
        <rFont val="Calibri (Body)"/>
      </rPr>
      <t>S</t>
    </r>
    <r>
      <rPr>
        <b/>
        <sz val="11"/>
        <color theme="1"/>
        <rFont val="Calibri"/>
        <family val="2"/>
        <scheme val="minor"/>
      </rPr>
      <t>(t)</t>
    </r>
  </si>
  <si>
    <t>Part 10</t>
  </si>
  <si>
    <t># of ships sold</t>
  </si>
  <si>
    <t># of ships older than 30</t>
  </si>
  <si>
    <t># of ships that are not included anymore</t>
  </si>
  <si>
    <r>
      <t>F</t>
    </r>
    <r>
      <rPr>
        <b/>
        <sz val="8"/>
        <color theme="1"/>
        <rFont val="Calibri (Body)"/>
      </rPr>
      <t>12</t>
    </r>
    <r>
      <rPr>
        <b/>
        <sz val="11"/>
        <color theme="1"/>
        <rFont val="Calibri"/>
        <family val="2"/>
        <scheme val="minor"/>
      </rPr>
      <t>(t)</t>
    </r>
  </si>
  <si>
    <t>Delta IRR Class A</t>
  </si>
  <si>
    <t>Delta IRR Class B</t>
  </si>
  <si>
    <t>Cl A S&amp;P Def Ind</t>
  </si>
  <si>
    <t>Cl B S&amp;P Def Ind</t>
  </si>
  <si>
    <t>Monte Carlo Runs</t>
  </si>
  <si>
    <t>Moodys Cl A Rating</t>
  </si>
  <si>
    <t>Moodys Cl B Rating</t>
  </si>
  <si>
    <t>Aaa</t>
  </si>
  <si>
    <t>S&amp;P Cl A Rating</t>
  </si>
  <si>
    <t>S&amp;P Cl B Rating</t>
  </si>
  <si>
    <t>BBB</t>
  </si>
  <si>
    <t>Moodys Cl A DIRR</t>
  </si>
  <si>
    <t>Moodys Cl B DIRR</t>
  </si>
  <si>
    <t>S&amp;P Cl A Def. Rate</t>
  </si>
  <si>
    <t>S&amp;P Cl B Def. Rate</t>
  </si>
  <si>
    <t>Return on Equity</t>
  </si>
  <si>
    <t>Dollar Defaults (%)</t>
  </si>
  <si>
    <t>Average Life (Pool)</t>
  </si>
  <si>
    <t>Class A Average Life</t>
  </si>
  <si>
    <t>Class B Average Life</t>
  </si>
  <si>
    <t>Average Life Parity Chk</t>
  </si>
  <si>
    <t>Revised Parity Check</t>
  </si>
  <si>
    <t xml:space="preserve"> </t>
  </si>
  <si>
    <t>Non-Linear Convergence</t>
  </si>
  <si>
    <t>Class A Relaxation</t>
  </si>
  <si>
    <t>Class B Relaxation</t>
  </si>
  <si>
    <t>Convergence Limit</t>
  </si>
  <si>
    <t>R-Infinity</t>
  </si>
  <si>
    <t>Alpha Parm</t>
  </si>
  <si>
    <t>Beta Parm</t>
  </si>
  <si>
    <t>Delta Parm</t>
  </si>
  <si>
    <t>Convergence Criterion</t>
  </si>
  <si>
    <t>Non-Linear Iteration</t>
  </si>
  <si>
    <t>Convergence Status</t>
  </si>
  <si>
    <t>Converged</t>
  </si>
  <si>
    <t>Monitor</t>
  </si>
  <si>
    <t>S&amp;P Structured Ratings</t>
  </si>
  <si>
    <t>Moody's Structured Ratings</t>
  </si>
  <si>
    <t>Def Rate</t>
  </si>
  <si>
    <t>Letter Grade</t>
  </si>
  <si>
    <t>DIRR</t>
  </si>
  <si>
    <t>AA+</t>
  </si>
  <si>
    <t>Aa1</t>
  </si>
  <si>
    <t>AA</t>
  </si>
  <si>
    <t>Aa2</t>
  </si>
  <si>
    <t>AA-</t>
  </si>
  <si>
    <t>Aa3</t>
  </si>
  <si>
    <t>A+</t>
  </si>
  <si>
    <t>A1</t>
  </si>
  <si>
    <t>A</t>
  </si>
  <si>
    <t>A-</t>
  </si>
  <si>
    <t>A3</t>
  </si>
  <si>
    <t>BBB+</t>
  </si>
  <si>
    <t>Baa1</t>
  </si>
  <si>
    <t>BBB-</t>
  </si>
  <si>
    <t>Baa3</t>
  </si>
  <si>
    <t>BB+</t>
  </si>
  <si>
    <t>Ba1</t>
  </si>
  <si>
    <t>BB</t>
  </si>
  <si>
    <t>Ba2</t>
  </si>
  <si>
    <t>BB-</t>
  </si>
  <si>
    <t>Ba3</t>
  </si>
  <si>
    <t>B+</t>
  </si>
  <si>
    <t>B1</t>
  </si>
  <si>
    <t>B</t>
  </si>
  <si>
    <t>B2</t>
  </si>
  <si>
    <t>B-</t>
  </si>
  <si>
    <t>B3</t>
  </si>
  <si>
    <t>CCC</t>
  </si>
  <si>
    <t>Caa</t>
  </si>
  <si>
    <t>CC</t>
  </si>
  <si>
    <t>Ca</t>
  </si>
  <si>
    <t>MC Scenario:</t>
  </si>
  <si>
    <t>Elapsed Time</t>
  </si>
  <si>
    <r>
      <t>Reserve Account R</t>
    </r>
    <r>
      <rPr>
        <sz val="12"/>
        <color theme="1"/>
        <rFont val="Calibri (Body)"/>
      </rPr>
      <t>PRA</t>
    </r>
  </si>
  <si>
    <r>
      <t>Maintenance Reserve (/ship/year) S</t>
    </r>
    <r>
      <rPr>
        <sz val="12"/>
        <color theme="1"/>
        <rFont val="Calibri (Body)"/>
      </rPr>
      <t>f</t>
    </r>
    <r>
      <rPr>
        <sz val="12"/>
        <color theme="1"/>
        <rFont val="Calibri"/>
        <family val="2"/>
        <scheme val="minor"/>
      </rPr>
      <t xml:space="preserve"> = R</t>
    </r>
    <r>
      <rPr>
        <sz val="12"/>
        <color theme="1"/>
        <rFont val="Calibri (Body)"/>
      </rPr>
      <t>PMR</t>
    </r>
  </si>
  <si>
    <r>
      <t>CI</t>
    </r>
    <r>
      <rPr>
        <b/>
        <sz val="8"/>
        <color theme="1"/>
        <rFont val="Calibri (Body)"/>
      </rPr>
      <t>CP</t>
    </r>
    <r>
      <rPr>
        <b/>
        <sz val="11"/>
        <color theme="1"/>
        <rFont val="Calibri"/>
        <family val="2"/>
        <scheme val="minor"/>
      </rPr>
      <t>(t)</t>
    </r>
  </si>
  <si>
    <t>shoudn't be moved</t>
  </si>
  <si>
    <t>#</t>
  </si>
  <si>
    <t>Duration (/months)</t>
  </si>
  <si>
    <t>Length Unit</t>
  </si>
  <si>
    <t>months</t>
  </si>
  <si>
    <t>Lease Rate Inflation</t>
  </si>
  <si>
    <t>Operational Expenses</t>
  </si>
  <si>
    <t>Releasing Interval</t>
  </si>
  <si>
    <t>Scrap Value Inflation</t>
  </si>
  <si>
    <t>Sales0-8</t>
  </si>
  <si>
    <t>Sales9-13</t>
  </si>
  <si>
    <t>Sales14-19</t>
  </si>
  <si>
    <t>Sales20+</t>
  </si>
  <si>
    <t>Distribution</t>
  </si>
  <si>
    <t>Beta</t>
  </si>
  <si>
    <t>Uniform</t>
  </si>
  <si>
    <t>Useful Life (/yrs)</t>
  </si>
  <si>
    <t>Number of Ships</t>
  </si>
  <si>
    <t>Term</t>
  </si>
  <si>
    <t>Possibility of Sales</t>
  </si>
  <si>
    <t>Interest Rate for delaying</t>
  </si>
  <si>
    <t>Cumulative Interest of Class C</t>
  </si>
  <si>
    <t>Reduction of Yield Calculations</t>
  </si>
  <si>
    <t>Tot Pmt Cl A</t>
  </si>
  <si>
    <t>Tot Pmt Cl B</t>
  </si>
  <si>
    <r>
      <t>F</t>
    </r>
    <r>
      <rPr>
        <b/>
        <sz val="8"/>
        <rFont val="Calibri"/>
        <family val="2"/>
        <scheme val="minor"/>
      </rPr>
      <t>A</t>
    </r>
    <r>
      <rPr>
        <b/>
        <sz val="10"/>
        <rFont val="Calibri"/>
        <family val="2"/>
        <scheme val="minor"/>
      </rPr>
      <t>(t)</t>
    </r>
  </si>
  <si>
    <r>
      <t>F</t>
    </r>
    <r>
      <rPr>
        <b/>
        <sz val="8"/>
        <rFont val="Calibri"/>
        <family val="2"/>
        <scheme val="minor"/>
      </rPr>
      <t>B</t>
    </r>
    <r>
      <rPr>
        <b/>
        <sz val="10"/>
        <rFont val="Calibri"/>
        <family val="2"/>
        <scheme val="minor"/>
      </rPr>
      <t>(t)</t>
    </r>
  </si>
  <si>
    <t>Average Life Calculations</t>
  </si>
  <si>
    <t>Cl A Amort</t>
  </si>
  <si>
    <t>Cl B Amort</t>
  </si>
  <si>
    <t>Equity Contribution</t>
  </si>
  <si>
    <t>Vlookup_ID</t>
  </si>
  <si>
    <t>Lease Term (/months)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</si>
</sst>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8" formatCode="_(* #,##0.0_);_(* \(#,##0.0\);_(* &quot;-&quot;??_);_(@_)"/>
    <numFmt numFmtId="169" formatCode="0.0%"/>
    <numFmt numFmtId="170" formatCode="0.0"/>
    <numFmt numFmtId="176" formatCode="&quot;$&quot;#,##0.00"/>
    <numFmt numFmtId="177" formatCode="&quot;$&quot;#,##0"/>
    <numFmt numFmtId="178" formatCode="0.00&quot; mths&quot;"/>
    <numFmt numFmtId="179" formatCode="0.000%"/>
    <numFmt numFmtId="181" formatCode="0.0000"/>
  </numFmts>
  <fonts count="3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1"/>
      <name val="Calibri (Body)"/>
    </font>
    <font>
      <b/>
      <sz val="10"/>
      <name val="Arial"/>
      <family val="2"/>
    </font>
    <font>
      <b/>
      <sz val="8"/>
      <name val="Arial"/>
      <family val="2"/>
    </font>
    <font>
      <b/>
      <sz val="8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sz val="12"/>
      <color theme="1"/>
      <name val="Calibri (Body)"/>
    </font>
    <font>
      <b/>
      <sz val="8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0" fontId="15" fillId="0" borderId="0"/>
  </cellStyleXfs>
  <cellXfs count="257">
    <xf numFmtId="0" fontId="0" fillId="0" borderId="0" xfId="0"/>
    <xf numFmtId="0" fontId="8" fillId="2" borderId="1" xfId="3" applyFont="1" applyFill="1" applyBorder="1" applyAlignment="1">
      <alignment horizontal="centerContinuous"/>
    </xf>
    <xf numFmtId="0" fontId="0" fillId="0" borderId="0" xfId="0" applyAlignment="1">
      <alignment horizontal="center"/>
    </xf>
    <xf numFmtId="7" fontId="0" fillId="0" borderId="0" xfId="0" applyNumberFormat="1"/>
    <xf numFmtId="0" fontId="0" fillId="0" borderId="0" xfId="0" applyFill="1" applyAlignment="1">
      <alignment horizontal="center"/>
    </xf>
    <xf numFmtId="0" fontId="0" fillId="0" borderId="0" xfId="0" applyBorder="1"/>
    <xf numFmtId="14" fontId="0" fillId="0" borderId="0" xfId="0" applyNumberFormat="1"/>
    <xf numFmtId="10" fontId="0" fillId="0" borderId="0" xfId="4" applyNumberFormat="1" applyFont="1"/>
    <xf numFmtId="10" fontId="0" fillId="0" borderId="0" xfId="0" applyNumberForma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center"/>
    </xf>
    <xf numFmtId="170" fontId="11" fillId="0" borderId="0" xfId="0" applyNumberFormat="1" applyFont="1"/>
    <xf numFmtId="1" fontId="11" fillId="0" borderId="0" xfId="0" applyNumberFormat="1" applyFont="1"/>
    <xf numFmtId="0" fontId="14" fillId="0" borderId="0" xfId="0" applyFont="1" applyAlignment="1">
      <alignment horizontal="center"/>
    </xf>
    <xf numFmtId="2" fontId="10" fillId="0" borderId="0" xfId="0" applyNumberFormat="1" applyFont="1"/>
    <xf numFmtId="0" fontId="18" fillId="0" borderId="0" xfId="0" applyFont="1"/>
    <xf numFmtId="176" fontId="11" fillId="0" borderId="0" xfId="2" applyNumberFormat="1" applyFont="1" applyAlignment="1">
      <alignment horizontal="center"/>
    </xf>
    <xf numFmtId="9" fontId="0" fillId="0" borderId="0" xfId="4" applyNumberFormat="1" applyFont="1"/>
    <xf numFmtId="0" fontId="11" fillId="0" borderId="0" xfId="0" applyFont="1" applyAlignment="1">
      <alignment wrapText="1"/>
    </xf>
    <xf numFmtId="176" fontId="0" fillId="0" borderId="0" xfId="0" applyNumberFormat="1"/>
    <xf numFmtId="177" fontId="0" fillId="0" borderId="0" xfId="0" applyNumberFormat="1"/>
    <xf numFmtId="0" fontId="11" fillId="0" borderId="0" xfId="0" applyFont="1" applyAlignment="1">
      <alignment horizontal="center" wrapText="1"/>
    </xf>
    <xf numFmtId="0" fontId="11" fillId="0" borderId="0" xfId="0" applyFont="1" applyBorder="1" applyAlignment="1">
      <alignment horizontal="center"/>
    </xf>
    <xf numFmtId="177" fontId="11" fillId="0" borderId="0" xfId="0" applyNumberFormat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0" xfId="0" applyFont="1" applyBorder="1" applyAlignment="1">
      <alignment horizontal="center" wrapText="1"/>
    </xf>
    <xf numFmtId="176" fontId="0" fillId="0" borderId="0" xfId="0" applyNumberFormat="1" applyBorder="1"/>
    <xf numFmtId="177" fontId="0" fillId="0" borderId="0" xfId="0" applyNumberFormat="1" applyBorder="1"/>
    <xf numFmtId="0" fontId="11" fillId="0" borderId="16" xfId="0" applyFont="1" applyBorder="1" applyAlignment="1">
      <alignment horizontal="center"/>
    </xf>
    <xf numFmtId="176" fontId="0" fillId="0" borderId="16" xfId="0" applyNumberFormat="1" applyBorder="1"/>
    <xf numFmtId="0" fontId="11" fillId="0" borderId="7" xfId="0" applyFont="1" applyBorder="1" applyAlignment="1">
      <alignment horizontal="center" wrapText="1"/>
    </xf>
    <xf numFmtId="0" fontId="11" fillId="0" borderId="15" xfId="0" applyFont="1" applyBorder="1" applyAlignment="1">
      <alignment horizontal="center" wrapText="1"/>
    </xf>
    <xf numFmtId="177" fontId="11" fillId="0" borderId="7" xfId="0" applyNumberFormat="1" applyFont="1" applyBorder="1" applyAlignment="1">
      <alignment horizontal="center" wrapText="1"/>
    </xf>
    <xf numFmtId="0" fontId="11" fillId="0" borderId="12" xfId="0" applyFont="1" applyBorder="1" applyAlignment="1">
      <alignment horizontal="center" wrapText="1"/>
    </xf>
    <xf numFmtId="0" fontId="11" fillId="0" borderId="0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1" fillId="0" borderId="0" xfId="0" applyFont="1" applyFill="1" applyAlignment="1">
      <alignment horizontal="center"/>
    </xf>
    <xf numFmtId="0" fontId="11" fillId="0" borderId="7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 wrapText="1"/>
    </xf>
    <xf numFmtId="176" fontId="0" fillId="0" borderId="16" xfId="0" applyNumberFormat="1" applyFill="1" applyBorder="1"/>
    <xf numFmtId="0" fontId="11" fillId="0" borderId="16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7" xfId="0" applyFont="1" applyBorder="1" applyAlignment="1">
      <alignment wrapText="1"/>
    </xf>
    <xf numFmtId="176" fontId="0" fillId="0" borderId="9" xfId="0" applyNumberFormat="1" applyBorder="1"/>
    <xf numFmtId="176" fontId="0" fillId="0" borderId="0" xfId="0" applyNumberFormat="1" applyFill="1" applyBorder="1"/>
    <xf numFmtId="176" fontId="0" fillId="0" borderId="0" xfId="0" applyNumberFormat="1" applyFill="1"/>
    <xf numFmtId="176" fontId="0" fillId="0" borderId="9" xfId="0" applyNumberFormat="1" applyFill="1" applyBorder="1"/>
    <xf numFmtId="10" fontId="24" fillId="0" borderId="17" xfId="0" applyNumberFormat="1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4" fillId="0" borderId="14" xfId="0" applyFont="1" applyBorder="1"/>
    <xf numFmtId="0" fontId="23" fillId="0" borderId="12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2" fontId="24" fillId="0" borderId="14" xfId="0" applyNumberFormat="1" applyFont="1" applyBorder="1" applyAlignment="1">
      <alignment horizontal="center"/>
    </xf>
    <xf numFmtId="169" fontId="24" fillId="0" borderId="14" xfId="4" applyNumberFormat="1" applyFont="1" applyBorder="1" applyAlignment="1">
      <alignment horizontal="center"/>
    </xf>
    <xf numFmtId="169" fontId="24" fillId="0" borderId="13" xfId="4" applyNumberFormat="1" applyFont="1" applyBorder="1" applyAlignment="1">
      <alignment horizontal="center"/>
    </xf>
    <xf numFmtId="169" fontId="24" fillId="0" borderId="14" xfId="0" applyNumberFormat="1" applyFont="1" applyBorder="1" applyAlignment="1">
      <alignment horizontal="center"/>
    </xf>
    <xf numFmtId="10" fontId="24" fillId="0" borderId="14" xfId="4" applyNumberFormat="1" applyFont="1" applyBorder="1" applyAlignment="1">
      <alignment horizontal="center"/>
    </xf>
    <xf numFmtId="178" fontId="24" fillId="0" borderId="14" xfId="0" applyNumberFormat="1" applyFont="1" applyBorder="1" applyAlignment="1">
      <alignment horizontal="center"/>
    </xf>
    <xf numFmtId="178" fontId="24" fillId="0" borderId="12" xfId="0" applyNumberFormat="1" applyFont="1" applyBorder="1" applyAlignment="1">
      <alignment horizontal="center"/>
    </xf>
    <xf numFmtId="0" fontId="24" fillId="0" borderId="0" xfId="0" applyFont="1"/>
    <xf numFmtId="0" fontId="25" fillId="0" borderId="0" xfId="0" applyFont="1" applyAlignment="1">
      <alignment horizontal="center"/>
    </xf>
    <xf numFmtId="1" fontId="24" fillId="0" borderId="19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20" xfId="0" applyBorder="1" applyAlignment="1">
      <alignment horizontal="left"/>
    </xf>
    <xf numFmtId="0" fontId="0" fillId="0" borderId="3" xfId="0" applyBorder="1"/>
    <xf numFmtId="0" fontId="0" fillId="0" borderId="2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2" borderId="2" xfId="3" applyFont="1" applyFill="1" applyBorder="1" applyAlignment="1">
      <alignment horizontal="centerContinuous"/>
    </xf>
    <xf numFmtId="14" fontId="9" fillId="2" borderId="3" xfId="3" applyNumberFormat="1" applyFont="1" applyFill="1" applyBorder="1" applyAlignment="1">
      <alignment horizontal="centerContinuous"/>
    </xf>
    <xf numFmtId="0" fontId="0" fillId="2" borderId="22" xfId="0" applyFont="1" applyFill="1" applyBorder="1"/>
    <xf numFmtId="0" fontId="11" fillId="2" borderId="0" xfId="0" applyFont="1" applyFill="1" applyBorder="1" applyAlignment="1">
      <alignment horizontal="center"/>
    </xf>
    <xf numFmtId="0" fontId="26" fillId="2" borderId="0" xfId="3" applyFont="1" applyFill="1" applyBorder="1" applyAlignment="1">
      <alignment horizontal="centerContinuous"/>
    </xf>
    <xf numFmtId="0" fontId="12" fillId="2" borderId="0" xfId="3" applyFont="1" applyFill="1" applyBorder="1" applyAlignment="1">
      <alignment horizontal="centerContinuous"/>
    </xf>
    <xf numFmtId="0" fontId="26" fillId="2" borderId="8" xfId="3" applyFont="1" applyFill="1" applyBorder="1" applyAlignment="1">
      <alignment horizontal="centerContinuous"/>
    </xf>
    <xf numFmtId="0" fontId="0" fillId="2" borderId="22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5" xfId="0" applyFill="1" applyBorder="1"/>
    <xf numFmtId="0" fontId="18" fillId="0" borderId="0" xfId="0" applyFont="1" applyAlignment="1">
      <alignment horizontal="center"/>
    </xf>
    <xf numFmtId="0" fontId="0" fillId="4" borderId="16" xfId="0" applyFont="1" applyFill="1" applyBorder="1"/>
    <xf numFmtId="0" fontId="0" fillId="4" borderId="0" xfId="0" applyFont="1" applyFill="1" applyBorder="1" applyAlignment="1">
      <alignment horizontal="center"/>
    </xf>
    <xf numFmtId="0" fontId="0" fillId="4" borderId="15" xfId="0" applyFont="1" applyFill="1" applyBorder="1"/>
    <xf numFmtId="0" fontId="0" fillId="4" borderId="7" xfId="0" applyFont="1" applyFill="1" applyBorder="1" applyAlignment="1">
      <alignment horizontal="center"/>
    </xf>
    <xf numFmtId="0" fontId="16" fillId="4" borderId="30" xfId="0" applyFont="1" applyFill="1" applyBorder="1" applyAlignment="1">
      <alignment horizontal="center"/>
    </xf>
    <xf numFmtId="0" fontId="16" fillId="4" borderId="31" xfId="0" applyFont="1" applyFill="1" applyBorder="1" applyAlignment="1">
      <alignment horizontal="center"/>
    </xf>
    <xf numFmtId="0" fontId="16" fillId="4" borderId="32" xfId="0" applyFont="1" applyFill="1" applyBorder="1" applyAlignment="1">
      <alignment horizontal="center"/>
    </xf>
    <xf numFmtId="0" fontId="11" fillId="5" borderId="30" xfId="0" applyFont="1" applyFill="1" applyBorder="1" applyAlignment="1">
      <alignment horizontal="center"/>
    </xf>
    <xf numFmtId="0" fontId="11" fillId="5" borderId="31" xfId="0" applyFont="1" applyFill="1" applyBorder="1" applyAlignment="1">
      <alignment horizontal="center"/>
    </xf>
    <xf numFmtId="0" fontId="11" fillId="5" borderId="32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4" fillId="0" borderId="25" xfId="4" applyNumberFormat="1" applyFont="1" applyBorder="1"/>
    <xf numFmtId="177" fontId="4" fillId="0" borderId="18" xfId="4" applyNumberFormat="1" applyFont="1" applyBorder="1"/>
    <xf numFmtId="10" fontId="4" fillId="0" borderId="15" xfId="4" applyNumberFormat="1" applyFont="1" applyBorder="1"/>
    <xf numFmtId="177" fontId="4" fillId="0" borderId="13" xfId="4" applyNumberFormat="1" applyFont="1" applyBorder="1"/>
    <xf numFmtId="10" fontId="7" fillId="0" borderId="0" xfId="4" applyNumberFormat="1" applyFont="1" applyAlignment="1">
      <alignment wrapText="1"/>
    </xf>
    <xf numFmtId="9" fontId="7" fillId="0" borderId="0" xfId="4" applyNumberFormat="1" applyFont="1" applyAlignment="1">
      <alignment wrapText="1"/>
    </xf>
    <xf numFmtId="9" fontId="4" fillId="0" borderId="18" xfId="4" applyNumberFormat="1" applyFont="1" applyBorder="1"/>
    <xf numFmtId="10" fontId="4" fillId="0" borderId="26" xfId="4" applyNumberFormat="1" applyFont="1" applyBorder="1" applyAlignment="1">
      <alignment wrapText="1"/>
    </xf>
    <xf numFmtId="9" fontId="4" fillId="0" borderId="13" xfId="4" applyNumberFormat="1" applyFont="1" applyBorder="1"/>
    <xf numFmtId="10" fontId="4" fillId="0" borderId="18" xfId="4" applyNumberFormat="1" applyFont="1" applyBorder="1"/>
    <xf numFmtId="10" fontId="4" fillId="0" borderId="0" xfId="4" applyNumberFormat="1" applyFont="1"/>
    <xf numFmtId="9" fontId="4" fillId="0" borderId="0" xfId="4" applyNumberFormat="1" applyFont="1"/>
    <xf numFmtId="10" fontId="4" fillId="0" borderId="16" xfId="4" applyNumberFormat="1" applyFont="1" applyBorder="1"/>
    <xf numFmtId="9" fontId="4" fillId="0" borderId="14" xfId="4" applyNumberFormat="1" applyFont="1" applyBorder="1"/>
    <xf numFmtId="177" fontId="4" fillId="0" borderId="14" xfId="4" applyNumberFormat="1" applyFont="1" applyBorder="1"/>
    <xf numFmtId="9" fontId="4" fillId="0" borderId="16" xfId="4" applyNumberFormat="1" applyFont="1" applyBorder="1"/>
    <xf numFmtId="9" fontId="4" fillId="2" borderId="18" xfId="4" applyNumberFormat="1" applyFont="1" applyFill="1" applyBorder="1"/>
    <xf numFmtId="0" fontId="4" fillId="2" borderId="13" xfId="4" applyNumberFormat="1" applyFont="1" applyFill="1" applyBorder="1"/>
    <xf numFmtId="177" fontId="4" fillId="2" borderId="24" xfId="4" applyNumberFormat="1" applyFont="1" applyFill="1" applyBorder="1"/>
    <xf numFmtId="9" fontId="4" fillId="2" borderId="13" xfId="4" applyNumberFormat="1" applyFont="1" applyFill="1" applyBorder="1"/>
    <xf numFmtId="0" fontId="24" fillId="0" borderId="25" xfId="0" applyFont="1" applyBorder="1" applyAlignment="1">
      <alignment horizontal="center"/>
    </xf>
    <xf numFmtId="10" fontId="24" fillId="0" borderId="16" xfId="4" applyNumberFormat="1" applyFont="1" applyBorder="1" applyAlignment="1">
      <alignment horizontal="center"/>
    </xf>
    <xf numFmtId="0" fontId="24" fillId="0" borderId="15" xfId="0" applyFont="1" applyBorder="1" applyAlignment="1">
      <alignment horizontal="center"/>
    </xf>
    <xf numFmtId="10" fontId="4" fillId="2" borderId="18" xfId="4" applyNumberFormat="1" applyFont="1" applyFill="1" applyBorder="1"/>
    <xf numFmtId="9" fontId="4" fillId="2" borderId="14" xfId="4" applyNumberFormat="1" applyFont="1" applyFill="1" applyBorder="1"/>
    <xf numFmtId="0" fontId="4" fillId="2" borderId="18" xfId="4" applyNumberFormat="1" applyFont="1" applyFill="1" applyBorder="1"/>
    <xf numFmtId="0" fontId="4" fillId="2" borderId="14" xfId="4" applyNumberFormat="1" applyFont="1" applyFill="1" applyBorder="1"/>
    <xf numFmtId="0" fontId="24" fillId="2" borderId="18" xfId="0" applyFont="1" applyFill="1" applyBorder="1" applyAlignment="1">
      <alignment horizontal="center"/>
    </xf>
    <xf numFmtId="0" fontId="24" fillId="2" borderId="10" xfId="0" applyFont="1" applyFill="1" applyBorder="1" applyAlignment="1">
      <alignment horizontal="center"/>
    </xf>
    <xf numFmtId="170" fontId="24" fillId="2" borderId="17" xfId="0" applyNumberFormat="1" applyFont="1" applyFill="1" applyBorder="1" applyAlignment="1">
      <alignment horizontal="center"/>
    </xf>
    <xf numFmtId="0" fontId="24" fillId="0" borderId="16" xfId="0" applyFont="1" applyBorder="1" applyAlignment="1">
      <alignment horizontal="center"/>
    </xf>
    <xf numFmtId="170" fontId="24" fillId="2" borderId="9" xfId="0" applyNumberFormat="1" applyFont="1" applyFill="1" applyBorder="1" applyAlignment="1">
      <alignment horizontal="center"/>
    </xf>
    <xf numFmtId="0" fontId="24" fillId="2" borderId="9" xfId="0" applyFont="1" applyFill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2" borderId="0" xfId="0" applyFont="1" applyFill="1" applyBorder="1"/>
    <xf numFmtId="1" fontId="24" fillId="0" borderId="7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11" fillId="0" borderId="13" xfId="0" applyFont="1" applyBorder="1" applyAlignment="1">
      <alignment horizontal="center" wrapText="1"/>
    </xf>
    <xf numFmtId="0" fontId="0" fillId="0" borderId="14" xfId="0" applyBorder="1"/>
    <xf numFmtId="0" fontId="11" fillId="0" borderId="12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0" borderId="0" xfId="0" applyNumberFormat="1"/>
    <xf numFmtId="0" fontId="11" fillId="2" borderId="2" xfId="0" applyFont="1" applyFill="1" applyBorder="1" applyAlignment="1">
      <alignment horizontal="center"/>
    </xf>
    <xf numFmtId="0" fontId="26" fillId="2" borderId="22" xfId="3" applyFont="1" applyFill="1" applyBorder="1" applyAlignment="1">
      <alignment horizontal="centerContinuous"/>
    </xf>
    <xf numFmtId="14" fontId="0" fillId="2" borderId="0" xfId="0" applyNumberFormat="1" applyFill="1" applyBorder="1"/>
    <xf numFmtId="0" fontId="0" fillId="2" borderId="0" xfId="0" applyFill="1" applyBorder="1" applyAlignment="1">
      <alignment horizontal="center"/>
    </xf>
    <xf numFmtId="168" fontId="0" fillId="2" borderId="0" xfId="1" applyNumberFormat="1" applyFont="1" applyFill="1" applyBorder="1"/>
    <xf numFmtId="5" fontId="6" fillId="2" borderId="0" xfId="1" quotePrefix="1" applyNumberFormat="1" applyFill="1" applyBorder="1" applyAlignment="1">
      <alignment horizontal="center"/>
    </xf>
    <xf numFmtId="5" fontId="6" fillId="2" borderId="8" xfId="1" quotePrefix="1" applyNumberFormat="1" applyFill="1" applyBorder="1" applyAlignment="1">
      <alignment horizontal="center"/>
    </xf>
    <xf numFmtId="5" fontId="6" fillId="2" borderId="0" xfId="1" applyNumberFormat="1" applyFill="1" applyBorder="1" applyAlignment="1">
      <alignment horizontal="center"/>
    </xf>
    <xf numFmtId="14" fontId="0" fillId="2" borderId="5" xfId="0" applyNumberFormat="1" applyFill="1" applyBorder="1"/>
    <xf numFmtId="0" fontId="0" fillId="2" borderId="5" xfId="0" applyFill="1" applyBorder="1" applyAlignment="1">
      <alignment horizontal="center"/>
    </xf>
    <xf numFmtId="168" fontId="0" fillId="2" borderId="5" xfId="1" applyNumberFormat="1" applyFont="1" applyFill="1" applyBorder="1"/>
    <xf numFmtId="5" fontId="6" fillId="2" borderId="5" xfId="1" quotePrefix="1" applyNumberFormat="1" applyFill="1" applyBorder="1" applyAlignment="1">
      <alignment horizontal="center"/>
    </xf>
    <xf numFmtId="5" fontId="6" fillId="2" borderId="5" xfId="1" applyNumberFormat="1" applyFill="1" applyBorder="1" applyAlignment="1">
      <alignment horizontal="center"/>
    </xf>
    <xf numFmtId="5" fontId="6" fillId="2" borderId="6" xfId="1" quotePrefix="1" applyNumberFormat="1" applyFill="1" applyBorder="1" applyAlignment="1">
      <alignment horizontal="center"/>
    </xf>
    <xf numFmtId="0" fontId="26" fillId="2" borderId="0" xfId="3" applyFont="1" applyFill="1" applyBorder="1" applyAlignment="1">
      <alignment horizontal="center"/>
    </xf>
    <xf numFmtId="0" fontId="26" fillId="2" borderId="8" xfId="3" applyFont="1" applyFill="1" applyBorder="1" applyAlignment="1">
      <alignment horizontal="center"/>
    </xf>
    <xf numFmtId="0" fontId="0" fillId="2" borderId="1" xfId="0" applyFill="1" applyBorder="1"/>
    <xf numFmtId="0" fontId="0" fillId="2" borderId="3" xfId="0" applyFill="1" applyBorder="1"/>
    <xf numFmtId="0" fontId="0" fillId="2" borderId="8" xfId="0" applyFill="1" applyBorder="1"/>
    <xf numFmtId="0" fontId="6" fillId="2" borderId="8" xfId="1" applyNumberFormat="1" applyFill="1" applyBorder="1" applyAlignment="1">
      <alignment horizontal="center"/>
    </xf>
    <xf numFmtId="9" fontId="0" fillId="2" borderId="8" xfId="0" applyNumberFormat="1" applyFill="1" applyBorder="1"/>
    <xf numFmtId="9" fontId="0" fillId="2" borderId="6" xfId="0" applyNumberFormat="1" applyFill="1" applyBorder="1"/>
    <xf numFmtId="0" fontId="11" fillId="2" borderId="1" xfId="0" applyFont="1" applyFill="1" applyBorder="1"/>
    <xf numFmtId="0" fontId="11" fillId="2" borderId="22" xfId="0" applyFont="1" applyFill="1" applyBorder="1"/>
    <xf numFmtId="0" fontId="11" fillId="2" borderId="4" xfId="0" applyFont="1" applyFill="1" applyBorder="1"/>
    <xf numFmtId="0" fontId="7" fillId="2" borderId="22" xfId="0" applyFont="1" applyFill="1" applyBorder="1" applyAlignment="1">
      <alignment horizontal="left"/>
    </xf>
    <xf numFmtId="0" fontId="7" fillId="2" borderId="22" xfId="0" applyFont="1" applyFill="1" applyBorder="1"/>
    <xf numFmtId="0" fontId="7" fillId="2" borderId="4" xfId="0" applyFont="1" applyFill="1" applyBorder="1"/>
    <xf numFmtId="0" fontId="0" fillId="2" borderId="8" xfId="0" applyFill="1" applyBorder="1" applyAlignment="1">
      <alignment horizontal="center"/>
    </xf>
    <xf numFmtId="10" fontId="7" fillId="2" borderId="0" xfId="4" applyNumberFormat="1" applyFont="1" applyFill="1" applyBorder="1" applyAlignment="1">
      <alignment horizontal="center"/>
    </xf>
    <xf numFmtId="10" fontId="11" fillId="2" borderId="0" xfId="0" applyNumberFormat="1" applyFont="1" applyFill="1" applyBorder="1" applyAlignment="1">
      <alignment horizontal="center"/>
    </xf>
    <xf numFmtId="2" fontId="11" fillId="2" borderId="0" xfId="0" applyNumberFormat="1" applyFont="1" applyFill="1" applyBorder="1" applyAlignment="1">
      <alignment horizontal="center"/>
    </xf>
    <xf numFmtId="44" fontId="11" fillId="2" borderId="0" xfId="2" applyFont="1" applyFill="1" applyBorder="1" applyAlignment="1">
      <alignment horizontal="center"/>
    </xf>
    <xf numFmtId="44" fontId="11" fillId="2" borderId="8" xfId="2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2" fontId="11" fillId="2" borderId="5" xfId="0" applyNumberFormat="1" applyFont="1" applyFill="1" applyBorder="1" applyAlignment="1">
      <alignment horizontal="center"/>
    </xf>
    <xf numFmtId="2" fontId="7" fillId="2" borderId="0" xfId="0" applyNumberFormat="1" applyFont="1" applyFill="1" applyBorder="1" applyAlignment="1">
      <alignment horizontal="center"/>
    </xf>
    <xf numFmtId="2" fontId="7" fillId="2" borderId="5" xfId="0" applyNumberFormat="1" applyFont="1" applyFill="1" applyBorder="1" applyAlignment="1">
      <alignment horizontal="center"/>
    </xf>
    <xf numFmtId="2" fontId="11" fillId="2" borderId="8" xfId="0" applyNumberFormat="1" applyFont="1" applyFill="1" applyBorder="1" applyAlignment="1">
      <alignment horizontal="center"/>
    </xf>
    <xf numFmtId="2" fontId="11" fillId="2" borderId="6" xfId="0" applyNumberFormat="1" applyFont="1" applyFill="1" applyBorder="1" applyAlignment="1">
      <alignment horizontal="center"/>
    </xf>
    <xf numFmtId="0" fontId="0" fillId="2" borderId="2" xfId="0" applyFill="1" applyBorder="1"/>
    <xf numFmtId="0" fontId="0" fillId="2" borderId="21" xfId="0" applyFill="1" applyBorder="1" applyAlignment="1">
      <alignment wrapText="1"/>
    </xf>
    <xf numFmtId="0" fontId="11" fillId="2" borderId="7" xfId="0" applyFont="1" applyFill="1" applyBorder="1" applyAlignment="1">
      <alignment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176" fontId="0" fillId="4" borderId="0" xfId="0" applyNumberFormat="1" applyFill="1" applyAlignment="1">
      <alignment horizontal="center"/>
    </xf>
    <xf numFmtId="0" fontId="0" fillId="5" borderId="0" xfId="0" applyFill="1"/>
    <xf numFmtId="0" fontId="24" fillId="0" borderId="0" xfId="0" applyFont="1" applyBorder="1" applyAlignment="1">
      <alignment horizontal="center"/>
    </xf>
    <xf numFmtId="169" fontId="24" fillId="0" borderId="34" xfId="4" applyNumberFormat="1" applyFont="1" applyFill="1" applyBorder="1" applyAlignment="1">
      <alignment horizontal="center"/>
    </xf>
    <xf numFmtId="10" fontId="3" fillId="0" borderId="15" xfId="4" applyNumberFormat="1" applyFont="1" applyBorder="1"/>
    <xf numFmtId="0" fontId="9" fillId="0" borderId="35" xfId="0" applyFont="1" applyBorder="1" applyAlignment="1">
      <alignment horizontal="center"/>
    </xf>
    <xf numFmtId="4" fontId="11" fillId="0" borderId="26" xfId="0" applyNumberFormat="1" applyFont="1" applyBorder="1" applyAlignment="1">
      <alignment horizontal="center" wrapText="1"/>
    </xf>
    <xf numFmtId="4" fontId="11" fillId="0" borderId="35" xfId="0" applyNumberFormat="1" applyFont="1" applyBorder="1" applyAlignment="1">
      <alignment horizontal="center" wrapText="1"/>
    </xf>
    <xf numFmtId="0" fontId="9" fillId="0" borderId="26" xfId="0" applyFont="1" applyBorder="1" applyAlignment="1">
      <alignment horizontal="center"/>
    </xf>
    <xf numFmtId="0" fontId="30" fillId="0" borderId="0" xfId="0" applyFont="1"/>
    <xf numFmtId="0" fontId="0" fillId="0" borderId="16" xfId="0" applyBorder="1"/>
    <xf numFmtId="0" fontId="30" fillId="0" borderId="9" xfId="0" applyFont="1" applyBorder="1"/>
    <xf numFmtId="0" fontId="0" fillId="0" borderId="9" xfId="0" applyBorder="1"/>
    <xf numFmtId="0" fontId="25" fillId="0" borderId="16" xfId="0" applyFont="1" applyFill="1" applyBorder="1" applyAlignment="1">
      <alignment horizontal="center"/>
    </xf>
    <xf numFmtId="0" fontId="25" fillId="0" borderId="12" xfId="0" applyFont="1" applyFill="1" applyBorder="1" applyAlignment="1">
      <alignment horizontal="center"/>
    </xf>
    <xf numFmtId="10" fontId="24" fillId="0" borderId="14" xfId="0" applyNumberFormat="1" applyFont="1" applyFill="1" applyBorder="1" applyAlignment="1">
      <alignment horizontal="center"/>
    </xf>
    <xf numFmtId="7" fontId="0" fillId="0" borderId="16" xfId="0" applyNumberFormat="1" applyBorder="1"/>
    <xf numFmtId="7" fontId="0" fillId="0" borderId="9" xfId="0" applyNumberFormat="1" applyBorder="1"/>
    <xf numFmtId="179" fontId="0" fillId="0" borderId="0" xfId="4" applyNumberFormat="1" applyFont="1"/>
    <xf numFmtId="0" fontId="0" fillId="0" borderId="17" xfId="0" applyFont="1" applyBorder="1" applyAlignment="1">
      <alignment horizontal="center"/>
    </xf>
    <xf numFmtId="10" fontId="2" fillId="0" borderId="25" xfId="4" applyNumberFormat="1" applyFont="1" applyBorder="1"/>
    <xf numFmtId="0" fontId="31" fillId="0" borderId="18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177" fontId="4" fillId="0" borderId="0" xfId="4" applyNumberFormat="1" applyFont="1" applyBorder="1"/>
    <xf numFmtId="10" fontId="4" fillId="2" borderId="14" xfId="4" applyNumberFormat="1" applyFont="1" applyFill="1" applyBorder="1"/>
    <xf numFmtId="10" fontId="4" fillId="2" borderId="13" xfId="4" applyNumberFormat="1" applyFont="1" applyFill="1" applyBorder="1"/>
    <xf numFmtId="0" fontId="0" fillId="6" borderId="0" xfId="0" applyFill="1"/>
    <xf numFmtId="14" fontId="0" fillId="3" borderId="0" xfId="0" applyNumberFormat="1" applyFill="1"/>
    <xf numFmtId="0" fontId="0" fillId="3" borderId="0" xfId="0" applyFill="1"/>
    <xf numFmtId="0" fontId="11" fillId="3" borderId="0" xfId="0" applyFont="1" applyFill="1"/>
    <xf numFmtId="44" fontId="0" fillId="0" borderId="0" xfId="2" applyFont="1"/>
    <xf numFmtId="0" fontId="11" fillId="2" borderId="36" xfId="0" applyFont="1" applyFill="1" applyBorder="1" applyAlignment="1">
      <alignment horizontal="center"/>
    </xf>
    <xf numFmtId="0" fontId="11" fillId="2" borderId="13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181" fontId="11" fillId="2" borderId="14" xfId="0" applyNumberFormat="1" applyFont="1" applyFill="1" applyBorder="1" applyAlignment="1">
      <alignment horizontal="center"/>
    </xf>
    <xf numFmtId="181" fontId="0" fillId="2" borderId="14" xfId="0" applyNumberFormat="1" applyFill="1" applyBorder="1" applyAlignment="1">
      <alignment horizontal="center"/>
    </xf>
    <xf numFmtId="2" fontId="11" fillId="2" borderId="14" xfId="0" applyNumberFormat="1" applyFont="1" applyFill="1" applyBorder="1" applyAlignment="1">
      <alignment horizontal="center"/>
    </xf>
    <xf numFmtId="2" fontId="11" fillId="2" borderId="37" xfId="0" applyNumberFormat="1" applyFont="1" applyFill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176" fontId="11" fillId="0" borderId="7" xfId="0" applyNumberFormat="1" applyFont="1" applyBorder="1" applyAlignment="1">
      <alignment horizontal="center"/>
    </xf>
    <xf numFmtId="176" fontId="11" fillId="0" borderId="12" xfId="0" applyNumberFormat="1" applyFont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12" xfId="0" applyFont="1" applyFill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</cellXfs>
  <cellStyles count="6">
    <cellStyle name="Comma" xfId="1" builtinId="3"/>
    <cellStyle name="Currency" xfId="2" builtinId="4"/>
    <cellStyle name="Interval" xfId="5"/>
    <cellStyle name="Normal" xfId="0" builtinId="0"/>
    <cellStyle name="Normal 2 2 2" xfId="3"/>
    <cellStyle name="Percent" xfId="4" builtinId="5"/>
  </cellStyles>
  <dxfs count="6">
    <dxf>
      <font>
        <b/>
        <i val="0"/>
        <color rgb="FF00B050"/>
      </font>
    </dxf>
    <dxf>
      <font>
        <b val="0"/>
        <i val="0"/>
        <color rgb="FFED4031"/>
      </font>
    </dxf>
    <dxf>
      <font>
        <b/>
        <i val="0"/>
        <color rgb="FF00B050"/>
      </font>
    </dxf>
    <dxf>
      <font>
        <b val="0"/>
        <i val="0"/>
        <color rgb="FFED4031"/>
      </font>
    </dxf>
    <dxf>
      <font>
        <b/>
        <i val="0"/>
        <color rgb="FF00B05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D40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openxmlformats.org/officeDocument/2006/relationships/customXml" Target="../customXml/item1.xml"/><Relationship Id="rId14" Type="http://schemas.openxmlformats.org/officeDocument/2006/relationships/customXml" Target="../customXml/item2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25400</xdr:rowOff>
        </xdr:from>
        <xdr:to>
          <xdr:col>4</xdr:col>
          <xdr:colOff>736600</xdr:colOff>
          <xdr:row>3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Cash Flows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29</xdr:row>
      <xdr:rowOff>38100</xdr:rowOff>
    </xdr:from>
    <xdr:to>
      <xdr:col>1</xdr:col>
      <xdr:colOff>294640</xdr:colOff>
      <xdr:row>31</xdr:row>
      <xdr:rowOff>25400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027" t="29636" r="15572"/>
        <a:stretch>
          <a:fillRect/>
        </a:stretch>
      </xdr:blipFill>
      <xdr:spPr bwMode="auto">
        <a:xfrm>
          <a:off x="0" y="5918200"/>
          <a:ext cx="117094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CA365"/>
  <sheetViews>
    <sheetView tabSelected="1" workbookViewId="0">
      <selection activeCell="D10" sqref="D10"/>
    </sheetView>
  </sheetViews>
  <sheetFormatPr baseColWidth="10" defaultColWidth="11.5" defaultRowHeight="15" x14ac:dyDescent="0.2"/>
  <cols>
    <col min="1" max="1" width="26.6640625" style="7" customWidth="1"/>
    <col min="2" max="2" width="16" style="18" customWidth="1"/>
    <col min="4" max="4" width="18.1640625" bestFit="1" customWidth="1"/>
    <col min="5" max="5" width="14.6640625" bestFit="1" customWidth="1"/>
    <col min="6" max="6" width="11.1640625" bestFit="1" customWidth="1"/>
    <col min="7" max="7" width="16.6640625" style="20" customWidth="1"/>
    <col min="8" max="8" width="15" bestFit="1" customWidth="1"/>
    <col min="9" max="9" width="14.1640625" bestFit="1" customWidth="1"/>
    <col min="10" max="10" width="15" style="21" bestFit="1" customWidth="1"/>
    <col min="11" max="11" width="14.1640625" style="21" bestFit="1" customWidth="1"/>
    <col min="12" max="12" width="17.6640625" style="21" bestFit="1" customWidth="1"/>
    <col min="13" max="13" width="14.1640625" style="20" bestFit="1" customWidth="1"/>
    <col min="14" max="14" width="11.5" style="20" customWidth="1"/>
    <col min="15" max="15" width="14.6640625" style="20" bestFit="1" customWidth="1"/>
    <col min="16" max="16" width="12.6640625" customWidth="1"/>
    <col min="17" max="19" width="12.6640625" style="20" customWidth="1"/>
    <col min="20" max="20" width="18.33203125" style="20" customWidth="1"/>
    <col min="21" max="21" width="12.6640625" customWidth="1"/>
    <col min="22" max="22" width="12.33203125" style="20" customWidth="1"/>
    <col min="23" max="23" width="17.6640625" style="20" bestFit="1" customWidth="1"/>
    <col min="25" max="26" width="16" style="20" bestFit="1" customWidth="1"/>
    <col min="27" max="27" width="11.33203125" style="20" bestFit="1" customWidth="1"/>
    <col min="28" max="28" width="17.6640625" style="20" bestFit="1" customWidth="1"/>
    <col min="30" max="31" width="14.1640625" style="20" bestFit="1" customWidth="1"/>
    <col min="32" max="32" width="11.5" style="20" bestFit="1" customWidth="1"/>
    <col min="33" max="33" width="17.6640625" style="20" bestFit="1" customWidth="1"/>
    <col min="34" max="34" width="11.5" style="20"/>
    <col min="35" max="35" width="11.5" style="20" bestFit="1" customWidth="1"/>
    <col min="36" max="36" width="17.6640625" style="20" bestFit="1" customWidth="1"/>
    <col min="38" max="38" width="12.6640625" style="53" customWidth="1"/>
    <col min="39" max="39" width="13" style="53" customWidth="1"/>
    <col min="40" max="40" width="12.33203125" style="53" customWidth="1"/>
    <col min="41" max="41" width="16.1640625" style="53" customWidth="1"/>
    <col min="42" max="42" width="11.5" style="20"/>
    <col min="43" max="44" width="17.6640625" style="20" bestFit="1" customWidth="1"/>
    <col min="45" max="45" width="19.6640625" style="20" customWidth="1"/>
    <col min="46" max="46" width="17.6640625" style="20" bestFit="1" customWidth="1"/>
    <col min="48" max="48" width="16" style="20" bestFit="1" customWidth="1"/>
    <col min="49" max="49" width="13.33203125" style="20" bestFit="1" customWidth="1"/>
    <col min="50" max="50" width="16" style="20" bestFit="1" customWidth="1"/>
    <col min="51" max="51" width="17.6640625" style="20" bestFit="1" customWidth="1"/>
    <col min="52" max="52" width="11.5" style="20"/>
    <col min="53" max="54" width="15" style="20" bestFit="1" customWidth="1"/>
    <col min="55" max="55" width="15.33203125" style="20" customWidth="1"/>
    <col min="56" max="56" width="17.6640625" style="20" bestFit="1" customWidth="1"/>
    <col min="58" max="58" width="13.6640625" style="20" bestFit="1" customWidth="1"/>
    <col min="59" max="59" width="13.5" style="20" bestFit="1" customWidth="1"/>
    <col min="60" max="60" width="15" style="20" customWidth="1"/>
    <col min="61" max="61" width="17.6640625" style="20" bestFit="1" customWidth="1"/>
    <col min="62" max="62" width="11.5" style="20"/>
    <col min="63" max="65" width="16.1640625" style="20" bestFit="1" customWidth="1"/>
    <col min="66" max="66" width="17.6640625" style="20" bestFit="1" customWidth="1"/>
    <col min="68" max="68" width="17.6640625" style="20" bestFit="1" customWidth="1"/>
    <col min="69" max="69" width="19.5" style="20" customWidth="1"/>
    <col min="70" max="70" width="11.33203125" style="20" bestFit="1" customWidth="1"/>
    <col min="72" max="72" width="15.1640625" style="20" bestFit="1" customWidth="1"/>
    <col min="73" max="73" width="17.33203125" style="20" customWidth="1"/>
    <col min="75" max="75" width="17.1640625" customWidth="1"/>
    <col min="76" max="76" width="15.5" customWidth="1"/>
  </cols>
  <sheetData>
    <row r="1" spans="1:79" ht="16" x14ac:dyDescent="0.2">
      <c r="A1" s="225" t="s">
        <v>118</v>
      </c>
      <c r="B1" s="114">
        <v>189000000</v>
      </c>
      <c r="F1" s="149"/>
      <c r="G1" s="244" t="s">
        <v>104</v>
      </c>
      <c r="H1" s="246"/>
      <c r="I1" s="246"/>
      <c r="J1" s="246"/>
      <c r="K1" s="246"/>
      <c r="L1" s="246"/>
      <c r="M1" s="247"/>
      <c r="N1" s="247"/>
      <c r="O1" s="248"/>
      <c r="P1" s="23"/>
      <c r="Q1" s="244" t="s">
        <v>128</v>
      </c>
      <c r="R1" s="246"/>
      <c r="S1" s="246"/>
      <c r="T1" s="245"/>
      <c r="U1" s="23"/>
      <c r="V1" s="244" t="s">
        <v>97</v>
      </c>
      <c r="W1" s="245"/>
      <c r="X1" s="11"/>
      <c r="Y1" s="244" t="s">
        <v>129</v>
      </c>
      <c r="Z1" s="246"/>
      <c r="AA1" s="246"/>
      <c r="AB1" s="245"/>
      <c r="AC1" s="11"/>
      <c r="AD1" s="244" t="s">
        <v>138</v>
      </c>
      <c r="AE1" s="246"/>
      <c r="AF1" s="246"/>
      <c r="AG1" s="245"/>
      <c r="AH1" s="11"/>
      <c r="AI1" s="153"/>
      <c r="AJ1" s="152"/>
      <c r="AK1" s="11"/>
      <c r="AL1" s="249" t="s">
        <v>142</v>
      </c>
      <c r="AM1" s="250"/>
      <c r="AN1" s="250"/>
      <c r="AO1" s="251"/>
      <c r="AP1" s="11"/>
      <c r="AQ1" s="244" t="s">
        <v>146</v>
      </c>
      <c r="AR1" s="246"/>
      <c r="AS1" s="246"/>
      <c r="AT1" s="245"/>
      <c r="AV1" s="244" t="s">
        <v>153</v>
      </c>
      <c r="AW1" s="246"/>
      <c r="AX1" s="246"/>
      <c r="AY1" s="245"/>
      <c r="AZ1"/>
      <c r="BA1" s="244" t="s">
        <v>163</v>
      </c>
      <c r="BB1" s="246"/>
      <c r="BC1" s="246"/>
      <c r="BD1" s="245"/>
      <c r="BF1" s="244" t="s">
        <v>173</v>
      </c>
      <c r="BG1" s="246"/>
      <c r="BH1" s="246"/>
      <c r="BI1" s="245"/>
      <c r="BJ1"/>
      <c r="BK1" s="244" t="s">
        <v>193</v>
      </c>
      <c r="BL1" s="246"/>
      <c r="BM1" s="246"/>
      <c r="BN1" s="245"/>
      <c r="BP1" s="244" t="s">
        <v>200</v>
      </c>
      <c r="BQ1" s="246"/>
      <c r="BR1" s="245"/>
      <c r="BT1" s="244" t="s">
        <v>304</v>
      </c>
      <c r="BU1" s="245"/>
      <c r="BW1" s="244" t="s">
        <v>309</v>
      </c>
      <c r="BX1" s="245"/>
    </row>
    <row r="2" spans="1:79" ht="16" x14ac:dyDescent="0.2">
      <c r="A2" s="115" t="s">
        <v>100</v>
      </c>
      <c r="B2" s="116">
        <v>191390000</v>
      </c>
      <c r="F2" s="149" t="s">
        <v>189</v>
      </c>
      <c r="G2" s="29" t="s">
        <v>108</v>
      </c>
      <c r="H2" s="23" t="s">
        <v>187</v>
      </c>
      <c r="I2" s="23" t="s">
        <v>188</v>
      </c>
      <c r="J2" s="24" t="s">
        <v>105</v>
      </c>
      <c r="K2" s="24" t="s">
        <v>106</v>
      </c>
      <c r="L2" s="24" t="s">
        <v>107</v>
      </c>
      <c r="M2" s="23" t="s">
        <v>119</v>
      </c>
      <c r="N2" s="23" t="s">
        <v>126</v>
      </c>
      <c r="O2" s="25" t="s">
        <v>96</v>
      </c>
      <c r="P2" s="23"/>
      <c r="Q2" s="37" t="s">
        <v>120</v>
      </c>
      <c r="R2" s="36" t="s">
        <v>121</v>
      </c>
      <c r="S2" s="36" t="s">
        <v>122</v>
      </c>
      <c r="T2" s="38"/>
      <c r="U2" s="23"/>
      <c r="V2" s="29" t="s">
        <v>127</v>
      </c>
      <c r="W2" s="25" t="s">
        <v>91</v>
      </c>
      <c r="X2" s="11"/>
      <c r="Y2" s="29" t="s">
        <v>133</v>
      </c>
      <c r="Z2" s="23" t="s">
        <v>132</v>
      </c>
      <c r="AA2" s="23" t="s">
        <v>131</v>
      </c>
      <c r="AB2" s="25" t="s">
        <v>130</v>
      </c>
      <c r="AC2" s="11"/>
      <c r="AD2" s="29" t="s">
        <v>137</v>
      </c>
      <c r="AE2" s="23" t="s">
        <v>136</v>
      </c>
      <c r="AF2" s="23" t="s">
        <v>135</v>
      </c>
      <c r="AG2" s="25" t="s">
        <v>134</v>
      </c>
      <c r="AH2" s="11"/>
      <c r="AI2" s="29" t="s">
        <v>140</v>
      </c>
      <c r="AJ2" s="25" t="s">
        <v>141</v>
      </c>
      <c r="AK2" s="11"/>
      <c r="AL2" s="41" t="s">
        <v>144</v>
      </c>
      <c r="AM2" s="35" t="s">
        <v>143</v>
      </c>
      <c r="AN2" s="39" t="s">
        <v>184</v>
      </c>
      <c r="AO2" s="25" t="s">
        <v>145</v>
      </c>
      <c r="AP2" s="11"/>
      <c r="AQ2" s="29" t="s">
        <v>148</v>
      </c>
      <c r="AR2" s="23" t="s">
        <v>149</v>
      </c>
      <c r="AS2" s="23" t="s">
        <v>150</v>
      </c>
      <c r="AT2" s="25" t="s">
        <v>151</v>
      </c>
      <c r="AV2" s="41" t="s">
        <v>159</v>
      </c>
      <c r="AW2" s="35" t="s">
        <v>160</v>
      </c>
      <c r="AX2" s="35" t="s">
        <v>161</v>
      </c>
      <c r="AY2" s="25" t="s">
        <v>162</v>
      </c>
      <c r="AZ2"/>
      <c r="BA2" s="29" t="s">
        <v>167</v>
      </c>
      <c r="BB2" s="23" t="s">
        <v>168</v>
      </c>
      <c r="BC2" s="23" t="s">
        <v>169</v>
      </c>
      <c r="BD2" s="25" t="s">
        <v>170</v>
      </c>
      <c r="BF2" s="29" t="s">
        <v>174</v>
      </c>
      <c r="BG2" s="23" t="s">
        <v>175</v>
      </c>
      <c r="BH2" s="23" t="s">
        <v>176</v>
      </c>
      <c r="BI2" s="25" t="s">
        <v>177</v>
      </c>
      <c r="BJ2"/>
      <c r="BK2" s="47" t="s">
        <v>197</v>
      </c>
      <c r="BL2" s="48" t="s">
        <v>198</v>
      </c>
      <c r="BM2" s="48" t="s">
        <v>199</v>
      </c>
      <c r="BN2" s="49" t="s">
        <v>183</v>
      </c>
      <c r="BP2" s="44" t="s">
        <v>181</v>
      </c>
      <c r="BQ2" s="45" t="s">
        <v>281</v>
      </c>
      <c r="BR2" s="46" t="s">
        <v>204</v>
      </c>
      <c r="BT2" s="213" t="s">
        <v>307</v>
      </c>
      <c r="BU2" s="210" t="s">
        <v>308</v>
      </c>
      <c r="BW2" s="215"/>
      <c r="BX2" s="216"/>
      <c r="BY2" s="214"/>
    </row>
    <row r="3" spans="1:79" s="19" customFormat="1" ht="60" x14ac:dyDescent="0.2">
      <c r="A3" s="117"/>
      <c r="B3" s="118"/>
      <c r="F3" s="150" t="s">
        <v>39</v>
      </c>
      <c r="G3" s="32" t="s">
        <v>86</v>
      </c>
      <c r="H3" s="31" t="s">
        <v>171</v>
      </c>
      <c r="I3" s="31" t="s">
        <v>172</v>
      </c>
      <c r="J3" s="33" t="s">
        <v>190</v>
      </c>
      <c r="K3" s="33" t="s">
        <v>191</v>
      </c>
      <c r="L3" s="33" t="s">
        <v>192</v>
      </c>
      <c r="M3" s="31" t="s">
        <v>156</v>
      </c>
      <c r="N3" s="31" t="s">
        <v>157</v>
      </c>
      <c r="O3" s="34" t="s">
        <v>95</v>
      </c>
      <c r="P3" s="26"/>
      <c r="Q3" s="32" t="s">
        <v>123</v>
      </c>
      <c r="R3" s="31" t="s">
        <v>124</v>
      </c>
      <c r="S3" s="31" t="s">
        <v>125</v>
      </c>
      <c r="T3" s="34" t="s">
        <v>90</v>
      </c>
      <c r="U3" s="26"/>
      <c r="V3" s="32" t="s">
        <v>110</v>
      </c>
      <c r="W3" s="34" t="s">
        <v>111</v>
      </c>
      <c r="X3" s="26"/>
      <c r="Y3" s="32" t="s">
        <v>87</v>
      </c>
      <c r="Z3" s="31" t="s">
        <v>88</v>
      </c>
      <c r="AA3" s="31" t="s">
        <v>89</v>
      </c>
      <c r="AB3" s="34" t="s">
        <v>90</v>
      </c>
      <c r="AC3" s="22"/>
      <c r="AD3" s="32" t="s">
        <v>92</v>
      </c>
      <c r="AE3" s="31" t="s">
        <v>93</v>
      </c>
      <c r="AF3" s="31" t="s">
        <v>94</v>
      </c>
      <c r="AG3" s="34" t="s">
        <v>90</v>
      </c>
      <c r="AH3" s="22"/>
      <c r="AI3" s="32" t="s">
        <v>139</v>
      </c>
      <c r="AJ3" s="34" t="s">
        <v>90</v>
      </c>
      <c r="AK3" s="22"/>
      <c r="AL3" s="42" t="s">
        <v>112</v>
      </c>
      <c r="AM3" s="40" t="s">
        <v>113</v>
      </c>
      <c r="AN3" s="40" t="s">
        <v>109</v>
      </c>
      <c r="AO3" s="34" t="s">
        <v>90</v>
      </c>
      <c r="AP3" s="22"/>
      <c r="AQ3" s="32" t="s">
        <v>147</v>
      </c>
      <c r="AR3" s="31" t="s">
        <v>152</v>
      </c>
      <c r="AS3" s="31" t="s">
        <v>94</v>
      </c>
      <c r="AT3" s="34" t="s">
        <v>90</v>
      </c>
      <c r="AV3" s="32" t="s">
        <v>155</v>
      </c>
      <c r="AW3" s="31" t="s">
        <v>154</v>
      </c>
      <c r="AX3" s="31" t="s">
        <v>115</v>
      </c>
      <c r="AY3" s="34" t="s">
        <v>90</v>
      </c>
      <c r="BA3" s="32" t="s">
        <v>164</v>
      </c>
      <c r="BB3" s="31" t="s">
        <v>165</v>
      </c>
      <c r="BC3" s="31" t="s">
        <v>166</v>
      </c>
      <c r="BD3" s="34" t="s">
        <v>90</v>
      </c>
      <c r="BF3" s="32" t="s">
        <v>178</v>
      </c>
      <c r="BG3" s="31" t="s">
        <v>179</v>
      </c>
      <c r="BH3" s="31" t="s">
        <v>180</v>
      </c>
      <c r="BI3" s="34" t="s">
        <v>90</v>
      </c>
      <c r="BK3" s="32" t="s">
        <v>196</v>
      </c>
      <c r="BL3" s="31" t="s">
        <v>194</v>
      </c>
      <c r="BM3" s="31" t="s">
        <v>195</v>
      </c>
      <c r="BN3" s="34" t="s">
        <v>90</v>
      </c>
      <c r="BP3" s="32" t="s">
        <v>182</v>
      </c>
      <c r="BQ3" s="50" t="s">
        <v>303</v>
      </c>
      <c r="BR3" s="34" t="s">
        <v>95</v>
      </c>
      <c r="BT3" s="211" t="s">
        <v>305</v>
      </c>
      <c r="BU3" s="212" t="s">
        <v>306</v>
      </c>
      <c r="BW3" s="211" t="s">
        <v>310</v>
      </c>
      <c r="BX3" s="212" t="s">
        <v>311</v>
      </c>
    </row>
    <row r="4" spans="1:79" ht="16" x14ac:dyDescent="0.2">
      <c r="A4" s="113" t="s">
        <v>279</v>
      </c>
      <c r="B4" s="129">
        <v>0.01</v>
      </c>
      <c r="F4" s="151">
        <v>0</v>
      </c>
      <c r="G4" s="30">
        <v>0</v>
      </c>
      <c r="H4" s="28">
        <v>147370300</v>
      </c>
      <c r="I4" s="28">
        <v>28708500</v>
      </c>
      <c r="J4" s="28">
        <v>147370300</v>
      </c>
      <c r="K4" s="28">
        <v>28708500</v>
      </c>
      <c r="L4" s="28">
        <v>15311200</v>
      </c>
      <c r="M4" s="27">
        <v>1890000</v>
      </c>
      <c r="N4" s="27">
        <v>500000</v>
      </c>
      <c r="O4" s="51">
        <v>2390000</v>
      </c>
      <c r="P4" s="28"/>
      <c r="Q4" s="30"/>
      <c r="R4" s="27"/>
      <c r="S4" s="27"/>
      <c r="T4" s="51"/>
      <c r="U4" s="28"/>
      <c r="V4" s="30"/>
      <c r="W4" s="51"/>
      <c r="Y4" s="30"/>
      <c r="Z4" s="27"/>
      <c r="AA4" s="27"/>
      <c r="AB4" s="51"/>
      <c r="AD4" s="30"/>
      <c r="AE4" s="27"/>
      <c r="AF4" s="27"/>
      <c r="AG4" s="51"/>
      <c r="AI4" s="30"/>
      <c r="AJ4" s="51"/>
      <c r="AL4" s="43"/>
      <c r="AM4" s="52"/>
      <c r="AN4" s="53">
        <v>500000</v>
      </c>
      <c r="AO4" s="54"/>
      <c r="AQ4" s="30"/>
      <c r="AR4" s="27"/>
      <c r="AS4" s="27"/>
      <c r="AT4" s="51"/>
      <c r="AV4" s="30"/>
      <c r="AW4" s="27"/>
      <c r="AX4" s="27">
        <v>1890000</v>
      </c>
      <c r="AY4" s="51"/>
      <c r="BA4" s="30"/>
      <c r="BB4" s="27"/>
      <c r="BC4" s="27"/>
      <c r="BD4" s="51"/>
      <c r="BF4" s="30"/>
      <c r="BG4" s="27"/>
      <c r="BH4" s="27"/>
      <c r="BI4" s="51"/>
      <c r="BK4" s="30"/>
      <c r="BL4" s="27"/>
      <c r="BM4" s="27"/>
      <c r="BN4" s="51">
        <v>-15311200</v>
      </c>
      <c r="BP4" s="30"/>
      <c r="BR4" s="51"/>
      <c r="BT4" s="30">
        <v>-147370300</v>
      </c>
      <c r="BU4" s="30">
        <v>-28708500</v>
      </c>
      <c r="BW4" s="215"/>
      <c r="BX4" s="217"/>
      <c r="CA4" s="8"/>
    </row>
    <row r="5" spans="1:79" ht="16" x14ac:dyDescent="0.2">
      <c r="A5" s="115" t="s">
        <v>158</v>
      </c>
      <c r="B5" s="130">
        <v>6</v>
      </c>
      <c r="F5" s="151">
        <v>1</v>
      </c>
      <c r="G5" s="30">
        <v>3477750</v>
      </c>
      <c r="H5" s="28">
        <v>145637455.60082632</v>
      </c>
      <c r="I5" s="28">
        <v>28559637.079467595</v>
      </c>
      <c r="J5" s="21">
        <v>147370300</v>
      </c>
      <c r="K5" s="21">
        <v>28708500</v>
      </c>
      <c r="L5" s="21">
        <v>15311200</v>
      </c>
      <c r="M5" s="20">
        <v>1893150</v>
      </c>
      <c r="N5" s="20">
        <v>500833.33333333337</v>
      </c>
      <c r="O5" s="51">
        <v>5871733.333333333</v>
      </c>
      <c r="P5" s="28"/>
      <c r="Q5" s="30">
        <v>41666.666666666664</v>
      </c>
      <c r="R5" s="27">
        <v>41666.666666666664</v>
      </c>
      <c r="S5" s="27">
        <v>0</v>
      </c>
      <c r="T5" s="51">
        <v>5830066.666666666</v>
      </c>
      <c r="U5" s="28"/>
      <c r="V5" s="30">
        <v>0</v>
      </c>
      <c r="W5" s="51">
        <v>5329233.333333333</v>
      </c>
      <c r="Y5" s="30">
        <v>2288899.9470567382</v>
      </c>
      <c r="Z5" s="27">
        <v>2288899.9470567382</v>
      </c>
      <c r="AA5" s="27">
        <v>0</v>
      </c>
      <c r="AB5" s="51">
        <v>3082000.0529432618</v>
      </c>
      <c r="AD5" s="30">
        <v>809989.17448075721</v>
      </c>
      <c r="AE5" s="27">
        <v>809989.17448075721</v>
      </c>
      <c r="AF5" s="27">
        <v>0</v>
      </c>
      <c r="AG5" s="51">
        <v>2272010.8784625046</v>
      </c>
      <c r="AI5" s="30">
        <v>0</v>
      </c>
      <c r="AJ5" s="51">
        <v>2608687.5392235527</v>
      </c>
      <c r="AL5" s="43">
        <v>500000</v>
      </c>
      <c r="AM5" s="52">
        <v>-833.33333333337214</v>
      </c>
      <c r="AN5" s="53">
        <v>500000</v>
      </c>
      <c r="AO5" s="54">
        <v>2609520.8725568862</v>
      </c>
      <c r="AQ5" s="30">
        <v>38278</v>
      </c>
      <c r="AR5" s="27">
        <v>38278</v>
      </c>
      <c r="AS5" s="27">
        <v>0</v>
      </c>
      <c r="AT5" s="51">
        <v>2571242.8725568862</v>
      </c>
      <c r="AV5" s="30">
        <v>4964374.7646586793</v>
      </c>
      <c r="AW5" s="27">
        <v>2571242.8725568862</v>
      </c>
      <c r="AX5" s="27">
        <v>4464392.8725568857</v>
      </c>
      <c r="AY5" s="51">
        <v>0</v>
      </c>
      <c r="BA5" s="30">
        <v>1732844.3991999924</v>
      </c>
      <c r="BB5" s="27">
        <v>0</v>
      </c>
      <c r="BC5" s="27">
        <v>1732844.3991999924</v>
      </c>
      <c r="BD5" s="51">
        <v>0</v>
      </c>
      <c r="BF5" s="30">
        <v>148862.92049999908</v>
      </c>
      <c r="BG5" s="27">
        <v>0</v>
      </c>
      <c r="BH5" s="27">
        <v>148862.92049999908</v>
      </c>
      <c r="BI5" s="51">
        <v>0</v>
      </c>
      <c r="BK5" s="30">
        <v>15311200</v>
      </c>
      <c r="BL5" s="27">
        <v>0</v>
      </c>
      <c r="BM5" s="27">
        <v>15311200</v>
      </c>
      <c r="BN5" s="51">
        <v>0</v>
      </c>
      <c r="BP5" s="30">
        <v>0</v>
      </c>
      <c r="BQ5" s="20">
        <v>0</v>
      </c>
      <c r="BR5" s="51">
        <v>0</v>
      </c>
      <c r="BT5" s="30">
        <v>673465.38400716218</v>
      </c>
      <c r="BU5" s="51">
        <v>153930.41010261761</v>
      </c>
      <c r="BW5" s="221">
        <v>0</v>
      </c>
      <c r="BX5" s="222">
        <v>0</v>
      </c>
      <c r="BY5" s="21"/>
    </row>
    <row r="6" spans="1:79" ht="33" thickBot="1" x14ac:dyDescent="0.25">
      <c r="A6" s="120" t="s">
        <v>280</v>
      </c>
      <c r="B6" s="131">
        <v>20000</v>
      </c>
      <c r="F6" s="151">
        <v>2</v>
      </c>
      <c r="G6" s="30">
        <v>3477750</v>
      </c>
      <c r="H6" s="28">
        <v>143896684.34395939</v>
      </c>
      <c r="I6" s="28">
        <v>28409959.263462294</v>
      </c>
      <c r="J6" s="28">
        <v>145291598.3647573</v>
      </c>
      <c r="K6" s="28">
        <v>28708500</v>
      </c>
      <c r="L6" s="28">
        <v>15311200</v>
      </c>
      <c r="M6" s="27">
        <v>4471833.5273444802</v>
      </c>
      <c r="N6" s="27">
        <v>500833.33333333331</v>
      </c>
      <c r="O6" s="51">
        <v>8450416.8606778141</v>
      </c>
      <c r="P6" s="5"/>
      <c r="Q6" s="30">
        <v>41666.666666666664</v>
      </c>
      <c r="R6" s="27">
        <v>41666.666666666664</v>
      </c>
      <c r="S6" s="27">
        <v>0</v>
      </c>
      <c r="T6" s="51">
        <v>8408750.1940111481</v>
      </c>
      <c r="U6" s="5"/>
      <c r="V6" s="30">
        <v>0</v>
      </c>
      <c r="W6" s="51">
        <v>7907916.860677815</v>
      </c>
      <c r="Y6" s="30">
        <v>2288899.9470567382</v>
      </c>
      <c r="Z6" s="27">
        <v>2288899.9470567382</v>
      </c>
      <c r="AA6" s="27">
        <v>0</v>
      </c>
      <c r="AB6" s="51">
        <v>3927973.8750920924</v>
      </c>
      <c r="AD6" s="30">
        <v>809989.17448075721</v>
      </c>
      <c r="AE6" s="27">
        <v>809989.17448075721</v>
      </c>
      <c r="AF6" s="27">
        <v>0</v>
      </c>
      <c r="AG6" s="51">
        <v>3117984.7006113352</v>
      </c>
      <c r="AI6" s="30">
        <v>0</v>
      </c>
      <c r="AJ6" s="51">
        <v>2608687.5392235545</v>
      </c>
      <c r="AL6" s="43">
        <v>500000</v>
      </c>
      <c r="AM6" s="52">
        <v>-833.33333333331393</v>
      </c>
      <c r="AN6" s="53">
        <v>500000</v>
      </c>
      <c r="AO6" s="54">
        <v>2609520.872556888</v>
      </c>
      <c r="AQ6" s="30">
        <v>38278</v>
      </c>
      <c r="AR6" s="27">
        <v>38278</v>
      </c>
      <c r="AS6" s="27">
        <v>0</v>
      </c>
      <c r="AT6" s="51">
        <v>2571242.872556888</v>
      </c>
      <c r="AV6" s="30">
        <v>4964374.7646586793</v>
      </c>
      <c r="AW6" s="27">
        <v>492541.2373141991</v>
      </c>
      <c r="AX6" s="27">
        <v>4964374.7646586793</v>
      </c>
      <c r="AY6" s="51">
        <v>2078701.6352426889</v>
      </c>
      <c r="BA6" s="30">
        <v>3473615.6559999883</v>
      </c>
      <c r="BB6" s="27">
        <v>2078701.6352426889</v>
      </c>
      <c r="BC6" s="27">
        <v>1394914.0207572994</v>
      </c>
      <c r="BD6" s="51">
        <v>0</v>
      </c>
      <c r="BF6" s="30">
        <v>298540.73649999872</v>
      </c>
      <c r="BG6" s="27">
        <v>0</v>
      </c>
      <c r="BH6" s="27">
        <v>298540.73649999872</v>
      </c>
      <c r="BI6" s="51">
        <v>0</v>
      </c>
      <c r="BK6" s="30">
        <v>15311200</v>
      </c>
      <c r="BL6" s="27">
        <v>0</v>
      </c>
      <c r="BM6" s="27">
        <v>15311200</v>
      </c>
      <c r="BN6" s="51">
        <v>0</v>
      </c>
      <c r="BP6" s="30">
        <v>0</v>
      </c>
      <c r="BQ6" s="20">
        <v>0</v>
      </c>
      <c r="BR6" s="51">
        <v>0</v>
      </c>
      <c r="BT6" s="30">
        <v>2752167.0192498509</v>
      </c>
      <c r="BU6" s="51">
        <v>153930.41010261761</v>
      </c>
      <c r="BW6" s="221">
        <v>2078701.6352427006</v>
      </c>
      <c r="BX6" s="222">
        <v>0</v>
      </c>
    </row>
    <row r="7" spans="1:79" ht="17" thickBot="1" x14ac:dyDescent="0.25">
      <c r="A7" s="113" t="s">
        <v>114</v>
      </c>
      <c r="B7" s="129">
        <v>0.02</v>
      </c>
      <c r="D7" s="133" t="s">
        <v>277</v>
      </c>
      <c r="E7" s="146">
        <v>1000</v>
      </c>
      <c r="F7" s="151">
        <v>3</v>
      </c>
      <c r="G7" s="30">
        <v>3477750</v>
      </c>
      <c r="H7" s="28">
        <v>142147949.96816725</v>
      </c>
      <c r="I7" s="28">
        <v>28259462.091137644</v>
      </c>
      <c r="J7" s="28">
        <v>142645585.53632006</v>
      </c>
      <c r="K7" s="28">
        <v>28708500</v>
      </c>
      <c r="L7" s="28">
        <v>15311200</v>
      </c>
      <c r="M7" s="27">
        <v>4972648.7225997774</v>
      </c>
      <c r="N7" s="27">
        <v>500833.33333333331</v>
      </c>
      <c r="O7" s="51">
        <v>8951232.0559331104</v>
      </c>
      <c r="P7" s="5"/>
      <c r="Q7" s="30">
        <v>41666.666666666664</v>
      </c>
      <c r="R7" s="27">
        <v>41666.666666666664</v>
      </c>
      <c r="S7" s="27">
        <v>0</v>
      </c>
      <c r="T7" s="51">
        <v>8909565.3892664444</v>
      </c>
      <c r="U7" s="5"/>
      <c r="V7" s="30">
        <v>0</v>
      </c>
      <c r="W7" s="51">
        <v>8408732.0559331104</v>
      </c>
      <c r="Y7" s="30">
        <v>2288899.9470567382</v>
      </c>
      <c r="Z7" s="27">
        <v>2288899.9470567382</v>
      </c>
      <c r="AA7" s="27">
        <v>0</v>
      </c>
      <c r="AB7" s="51">
        <v>4273689.598055616</v>
      </c>
      <c r="AD7" s="30">
        <v>809989.17448075721</v>
      </c>
      <c r="AE7" s="27">
        <v>809989.17448075721</v>
      </c>
      <c r="AF7" s="27">
        <v>0</v>
      </c>
      <c r="AG7" s="51">
        <v>3463700.4235748588</v>
      </c>
      <c r="AI7" s="30">
        <v>0</v>
      </c>
      <c r="AJ7" s="51">
        <v>2618186.967500587</v>
      </c>
      <c r="AL7" s="43">
        <v>500000</v>
      </c>
      <c r="AM7" s="52">
        <v>-833.33333333331393</v>
      </c>
      <c r="AN7" s="53">
        <v>500000</v>
      </c>
      <c r="AO7" s="54">
        <v>2619020.3008339205</v>
      </c>
      <c r="AQ7" s="30">
        <v>38278</v>
      </c>
      <c r="AR7" s="27">
        <v>38278</v>
      </c>
      <c r="AS7" s="27">
        <v>0</v>
      </c>
      <c r="AT7" s="51">
        <v>2580742.3008339205</v>
      </c>
      <c r="AV7" s="30">
        <v>4907378.1949964724</v>
      </c>
      <c r="AW7" s="27">
        <v>-65270.527603304945</v>
      </c>
      <c r="AX7" s="27">
        <v>4907378.1949964724</v>
      </c>
      <c r="AY7" s="51">
        <v>2646012.8284372254</v>
      </c>
      <c r="BA7" s="30">
        <v>3143648.3965573013</v>
      </c>
      <c r="BB7" s="27">
        <v>2646012.8284372254</v>
      </c>
      <c r="BC7" s="27">
        <v>497635.56812007586</v>
      </c>
      <c r="BD7" s="51">
        <v>0</v>
      </c>
      <c r="BF7" s="30">
        <v>449037.90890000015</v>
      </c>
      <c r="BG7" s="27">
        <v>0</v>
      </c>
      <c r="BH7" s="27">
        <v>449037.90890000015</v>
      </c>
      <c r="BI7" s="51">
        <v>0</v>
      </c>
      <c r="BK7" s="30">
        <v>15311200</v>
      </c>
      <c r="BL7" s="27">
        <v>0</v>
      </c>
      <c r="BM7" s="27">
        <v>15311200</v>
      </c>
      <c r="BN7" s="51">
        <v>0</v>
      </c>
      <c r="BP7" s="30">
        <v>0</v>
      </c>
      <c r="BQ7" s="20">
        <v>0</v>
      </c>
      <c r="BR7" s="51">
        <v>0</v>
      </c>
      <c r="BT7" s="30">
        <v>3309978.7841673531</v>
      </c>
      <c r="BU7" s="51">
        <v>153930.41010261761</v>
      </c>
      <c r="BW7" s="221">
        <v>2646012.8284372389</v>
      </c>
      <c r="BX7" s="222">
        <v>0</v>
      </c>
    </row>
    <row r="8" spans="1:79" ht="16" x14ac:dyDescent="0.2">
      <c r="A8" s="209" t="s">
        <v>302</v>
      </c>
      <c r="B8" s="132">
        <v>0.02</v>
      </c>
      <c r="D8" s="134" t="s">
        <v>240</v>
      </c>
      <c r="E8" s="147" t="b">
        <v>1</v>
      </c>
      <c r="F8" s="151">
        <v>4</v>
      </c>
      <c r="G8" s="30">
        <v>3353250</v>
      </c>
      <c r="H8" s="28">
        <v>140391216.04634154</v>
      </c>
      <c r="I8" s="28">
        <v>28108141.07722792</v>
      </c>
      <c r="J8" s="28">
        <v>140391216.04629999</v>
      </c>
      <c r="K8" s="28">
        <v>28413804.397571035</v>
      </c>
      <c r="L8" s="28">
        <v>15311200</v>
      </c>
      <c r="M8" s="27">
        <v>4915557.1586547997</v>
      </c>
      <c r="N8" s="27">
        <v>500833.33333333331</v>
      </c>
      <c r="O8" s="51">
        <v>8769640.4919881336</v>
      </c>
      <c r="P8" s="5"/>
      <c r="Q8" s="30">
        <v>41666.666666666664</v>
      </c>
      <c r="R8" s="27">
        <v>41666.666666666664</v>
      </c>
      <c r="S8" s="27">
        <v>0</v>
      </c>
      <c r="T8" s="51">
        <v>8727973.8253214676</v>
      </c>
      <c r="U8" s="5"/>
      <c r="V8" s="30">
        <v>0</v>
      </c>
      <c r="W8" s="51">
        <v>8227140.4919881346</v>
      </c>
      <c r="Y8" s="30">
        <v>2288899.9470567382</v>
      </c>
      <c r="Z8" s="27">
        <v>2288899.9470567382</v>
      </c>
      <c r="AA8" s="27">
        <v>0</v>
      </c>
      <c r="AB8" s="51">
        <v>4495481.5138907451</v>
      </c>
      <c r="AD8" s="30">
        <v>809989.17448075721</v>
      </c>
      <c r="AE8" s="27">
        <v>809989.17448075721</v>
      </c>
      <c r="AF8" s="27">
        <v>0</v>
      </c>
      <c r="AG8" s="51">
        <v>3685492.3394099879</v>
      </c>
      <c r="AI8" s="30">
        <v>0</v>
      </c>
      <c r="AJ8" s="51">
        <v>2505778.942922987</v>
      </c>
      <c r="AL8" s="43">
        <v>500000</v>
      </c>
      <c r="AM8" s="52">
        <v>-833.33333333331393</v>
      </c>
      <c r="AN8" s="53">
        <v>500000</v>
      </c>
      <c r="AO8" s="54">
        <v>2506612.2762563205</v>
      </c>
      <c r="AQ8" s="30">
        <v>38278</v>
      </c>
      <c r="AR8" s="27">
        <v>38278</v>
      </c>
      <c r="AS8" s="27">
        <v>0</v>
      </c>
      <c r="AT8" s="51">
        <v>2468334.2762563205</v>
      </c>
      <c r="AV8" s="30">
        <v>4834826.3424620871</v>
      </c>
      <c r="AW8" s="27">
        <v>-80730.816192712635</v>
      </c>
      <c r="AX8" s="27">
        <v>4834826.3424620871</v>
      </c>
      <c r="AY8" s="51">
        <v>2549065.0924490332</v>
      </c>
      <c r="BA8" s="30">
        <v>2254369.4900200665</v>
      </c>
      <c r="BB8" s="27">
        <v>2254369.4900200665</v>
      </c>
      <c r="BC8" s="27">
        <v>0</v>
      </c>
      <c r="BD8" s="51">
        <v>294695.60242896667</v>
      </c>
      <c r="BF8" s="30">
        <v>600358.92280000076</v>
      </c>
      <c r="BG8" s="27">
        <v>294695.60242896667</v>
      </c>
      <c r="BH8" s="27">
        <v>305663.32037103409</v>
      </c>
      <c r="BI8" s="51">
        <v>0</v>
      </c>
      <c r="BK8" s="30">
        <v>15311200</v>
      </c>
      <c r="BL8" s="27">
        <v>0</v>
      </c>
      <c r="BM8" s="27">
        <v>15311200</v>
      </c>
      <c r="BN8" s="51">
        <v>0</v>
      </c>
      <c r="BP8" s="30">
        <v>0</v>
      </c>
      <c r="BQ8" s="20">
        <v>0</v>
      </c>
      <c r="BR8" s="51">
        <v>0</v>
      </c>
      <c r="BT8" s="30">
        <v>2906243.4703277964</v>
      </c>
      <c r="BU8" s="51">
        <v>448626.01253158425</v>
      </c>
      <c r="BW8" s="221">
        <v>2254369.4900200665</v>
      </c>
      <c r="BX8" s="222">
        <v>294695.60242896527</v>
      </c>
    </row>
    <row r="9" spans="1:79" ht="16" x14ac:dyDescent="0.2">
      <c r="A9" s="113" t="s">
        <v>70</v>
      </c>
      <c r="B9" s="122">
        <v>5.2016763734163057E-2</v>
      </c>
      <c r="D9" s="135" t="s">
        <v>278</v>
      </c>
      <c r="E9" s="148">
        <v>265.00000033993274</v>
      </c>
      <c r="F9" s="151">
        <v>5</v>
      </c>
      <c r="G9" s="30">
        <v>3353250</v>
      </c>
      <c r="H9" s="28">
        <v>138626445.98473904</v>
      </c>
      <c r="I9" s="28">
        <v>27955991.711914454</v>
      </c>
      <c r="J9" s="28">
        <v>138626445.98469999</v>
      </c>
      <c r="K9" s="28">
        <v>27955991.7119</v>
      </c>
      <c r="L9" s="28">
        <v>14974214.178820098</v>
      </c>
      <c r="M9" s="27">
        <v>4842884.3863661904</v>
      </c>
      <c r="N9" s="27">
        <v>500833.33333333331</v>
      </c>
      <c r="O9" s="51">
        <v>8696967.7196995243</v>
      </c>
      <c r="P9" s="5"/>
      <c r="Q9" s="30">
        <v>41666.666666666664</v>
      </c>
      <c r="R9" s="27">
        <v>41666.666666666664</v>
      </c>
      <c r="S9" s="27">
        <v>0</v>
      </c>
      <c r="T9" s="51">
        <v>8655301.0530328583</v>
      </c>
      <c r="U9" s="5"/>
      <c r="V9" s="30">
        <v>0</v>
      </c>
      <c r="W9" s="51">
        <v>8154467.7196995253</v>
      </c>
      <c r="Y9" s="30">
        <v>2288899.9470567382</v>
      </c>
      <c r="Z9" s="27">
        <v>2288899.9470567382</v>
      </c>
      <c r="AA9" s="27">
        <v>0</v>
      </c>
      <c r="AB9" s="51">
        <v>4717643.0829189327</v>
      </c>
      <c r="AD9" s="30">
        <v>809989.17448075721</v>
      </c>
      <c r="AE9" s="27">
        <v>809989.17448075721</v>
      </c>
      <c r="AF9" s="27">
        <v>0</v>
      </c>
      <c r="AG9" s="51">
        <v>3907653.9084381755</v>
      </c>
      <c r="AI9" s="30">
        <v>0</v>
      </c>
      <c r="AJ9" s="51">
        <v>2517661.2641073456</v>
      </c>
      <c r="AL9" s="43">
        <v>500000</v>
      </c>
      <c r="AM9" s="52">
        <v>-833.33333333331393</v>
      </c>
      <c r="AN9" s="53">
        <v>500000</v>
      </c>
      <c r="AO9" s="54">
        <v>2518494.5974406791</v>
      </c>
      <c r="AQ9" s="30">
        <v>38278</v>
      </c>
      <c r="AR9" s="27">
        <v>38278</v>
      </c>
      <c r="AS9" s="27">
        <v>0</v>
      </c>
      <c r="AT9" s="51">
        <v>2480216.5974406791</v>
      </c>
      <c r="AV9" s="30">
        <v>4763532.4153559329</v>
      </c>
      <c r="AW9" s="27">
        <v>-79351.97101025749</v>
      </c>
      <c r="AX9" s="27">
        <v>4763532.4153559329</v>
      </c>
      <c r="AY9" s="51">
        <v>2559568.5684509366</v>
      </c>
      <c r="BA9" s="30">
        <v>1764770.0615999997</v>
      </c>
      <c r="BB9" s="27">
        <v>1764770.0615999997</v>
      </c>
      <c r="BC9" s="27">
        <v>0</v>
      </c>
      <c r="BD9" s="51">
        <v>794798.50685093692</v>
      </c>
      <c r="BF9" s="30">
        <v>457812.6856710352</v>
      </c>
      <c r="BG9" s="27">
        <v>457812.6856710352</v>
      </c>
      <c r="BH9" s="27">
        <v>0</v>
      </c>
      <c r="BI9" s="51">
        <v>336985.82117990172</v>
      </c>
      <c r="BK9" s="30">
        <v>15311200</v>
      </c>
      <c r="BL9" s="27">
        <v>336985.82117990172</v>
      </c>
      <c r="BM9" s="27">
        <v>14974214.178820098</v>
      </c>
      <c r="BN9" s="51">
        <v>0</v>
      </c>
      <c r="BP9" s="30">
        <v>0</v>
      </c>
      <c r="BQ9" s="20">
        <v>0</v>
      </c>
      <c r="BR9" s="51">
        <v>0</v>
      </c>
      <c r="BT9" s="30">
        <v>2406341.8316639401</v>
      </c>
      <c r="BU9" s="51">
        <v>610162.9848330837</v>
      </c>
      <c r="BW9" s="221">
        <v>1764770.0615999997</v>
      </c>
      <c r="BX9" s="222">
        <v>457812.6856710352</v>
      </c>
    </row>
    <row r="10" spans="1:79" ht="16" x14ac:dyDescent="0.2">
      <c r="A10" s="115" t="s">
        <v>98</v>
      </c>
      <c r="B10" s="121"/>
      <c r="F10" s="151">
        <v>6</v>
      </c>
      <c r="G10" s="30">
        <v>3353250</v>
      </c>
      <c r="H10" s="28">
        <v>136853603.02221933</v>
      </c>
      <c r="I10" s="28">
        <v>27803009.460691221</v>
      </c>
      <c r="J10" s="28">
        <v>136853603.02219999</v>
      </c>
      <c r="K10" s="28">
        <v>27803009.460700002</v>
      </c>
      <c r="L10" s="28">
        <v>14337404.499576651</v>
      </c>
      <c r="M10" s="27">
        <v>4771471.6360481931</v>
      </c>
      <c r="N10" s="27">
        <v>500833.33333333331</v>
      </c>
      <c r="O10" s="51">
        <v>8625554.9693815261</v>
      </c>
      <c r="P10" s="5"/>
      <c r="Q10" s="30">
        <v>41666.666666666664</v>
      </c>
      <c r="R10" s="27">
        <v>41666.666666666664</v>
      </c>
      <c r="S10" s="27">
        <v>0</v>
      </c>
      <c r="T10" s="51">
        <v>8583888.3027148601</v>
      </c>
      <c r="U10" s="5"/>
      <c r="V10" s="30">
        <v>0</v>
      </c>
      <c r="W10" s="51">
        <v>8083054.969381527</v>
      </c>
      <c r="Y10" s="30">
        <v>2288899.9470567382</v>
      </c>
      <c r="Z10" s="27">
        <v>2288899.9470567382</v>
      </c>
      <c r="AA10" s="27">
        <v>0</v>
      </c>
      <c r="AB10" s="51">
        <v>5035306.2189872935</v>
      </c>
      <c r="AD10" s="30">
        <v>809989.17448075721</v>
      </c>
      <c r="AE10" s="27">
        <v>809989.17448075721</v>
      </c>
      <c r="AF10" s="27">
        <v>0</v>
      </c>
      <c r="AG10" s="51">
        <v>4225317.0445065368</v>
      </c>
      <c r="AI10" s="30">
        <v>0</v>
      </c>
      <c r="AJ10" s="51">
        <v>2528180.7798584253</v>
      </c>
      <c r="AL10" s="43">
        <v>500000</v>
      </c>
      <c r="AM10" s="52">
        <v>-833.33333333331393</v>
      </c>
      <c r="AN10" s="53">
        <v>500000</v>
      </c>
      <c r="AO10" s="54">
        <v>2529014.1131917587</v>
      </c>
      <c r="AQ10" s="30">
        <v>37435.535447050243</v>
      </c>
      <c r="AR10" s="27">
        <v>37435.535447050243</v>
      </c>
      <c r="AS10" s="27">
        <v>0</v>
      </c>
      <c r="AT10" s="51">
        <v>2491578.5777447084</v>
      </c>
      <c r="AV10" s="30">
        <v>4700415.3208494494</v>
      </c>
      <c r="AW10" s="27">
        <v>-71056.315198743716</v>
      </c>
      <c r="AX10" s="27">
        <v>4700415.3208494494</v>
      </c>
      <c r="AY10" s="51">
        <v>2562634.8929434521</v>
      </c>
      <c r="BA10" s="30">
        <v>1772842.962500006</v>
      </c>
      <c r="BB10" s="27">
        <v>1772842.962500006</v>
      </c>
      <c r="BC10" s="27">
        <v>0</v>
      </c>
      <c r="BD10" s="51">
        <v>789791.93044344615</v>
      </c>
      <c r="BF10" s="30">
        <v>152982.25119999796</v>
      </c>
      <c r="BG10" s="27">
        <v>152982.25119999796</v>
      </c>
      <c r="BH10" s="27">
        <v>0</v>
      </c>
      <c r="BI10" s="51">
        <v>636809.67924344819</v>
      </c>
      <c r="BK10" s="30">
        <v>14974214.178820098</v>
      </c>
      <c r="BL10" s="27">
        <v>636809.67924344819</v>
      </c>
      <c r="BM10" s="27">
        <v>14337404.499576651</v>
      </c>
      <c r="BN10" s="51">
        <v>0</v>
      </c>
      <c r="BP10" s="30">
        <v>0</v>
      </c>
      <c r="BQ10" s="20">
        <v>0</v>
      </c>
      <c r="BR10" s="51">
        <v>0</v>
      </c>
      <c r="BT10" s="30">
        <v>2406349.9356054016</v>
      </c>
      <c r="BU10" s="51">
        <v>302877.83156951034</v>
      </c>
      <c r="BW10" s="221">
        <v>1772842.962500006</v>
      </c>
      <c r="BX10" s="222">
        <v>152982.25119999796</v>
      </c>
    </row>
    <row r="11" spans="1:79" ht="16" x14ac:dyDescent="0.2">
      <c r="A11" s="123"/>
      <c r="B11" s="124"/>
      <c r="F11" s="151">
        <v>7</v>
      </c>
      <c r="G11" s="30">
        <v>3449671.26</v>
      </c>
      <c r="H11" s="28">
        <v>135072650.22947881</v>
      </c>
      <c r="I11" s="28">
        <v>27649189.764229722</v>
      </c>
      <c r="J11" s="28">
        <v>135072650.2295</v>
      </c>
      <c r="K11" s="28">
        <v>27649189.764199998</v>
      </c>
      <c r="L11" s="28">
        <v>13612297.411501408</v>
      </c>
      <c r="M11" s="27">
        <v>4708249.3463841984</v>
      </c>
      <c r="N11" s="27">
        <v>500833.33333333331</v>
      </c>
      <c r="O11" s="51">
        <v>8658753.9397175312</v>
      </c>
      <c r="P11" s="5"/>
      <c r="Q11" s="30">
        <v>41666.666666666664</v>
      </c>
      <c r="R11" s="27">
        <v>41666.666666666664</v>
      </c>
      <c r="S11" s="27">
        <v>0</v>
      </c>
      <c r="T11" s="51">
        <v>8617087.2730508652</v>
      </c>
      <c r="U11" s="5"/>
      <c r="V11" s="30">
        <v>0</v>
      </c>
      <c r="W11" s="51">
        <v>8116253.9397175321</v>
      </c>
      <c r="Y11" s="30">
        <v>2287422.4036005409</v>
      </c>
      <c r="Z11" s="27">
        <v>2287422.4036005409</v>
      </c>
      <c r="AA11" s="27">
        <v>0</v>
      </c>
      <c r="AB11" s="51">
        <v>5275679.1018459285</v>
      </c>
      <c r="AD11" s="30">
        <v>809989.17448075721</v>
      </c>
      <c r="AE11" s="27">
        <v>809989.17448075721</v>
      </c>
      <c r="AF11" s="27">
        <v>0</v>
      </c>
      <c r="AG11" s="51">
        <v>4465689.9273651708</v>
      </c>
      <c r="AI11" s="30">
        <v>0</v>
      </c>
      <c r="AJ11" s="51">
        <v>2633523.9955438077</v>
      </c>
      <c r="AL11" s="43">
        <v>500000</v>
      </c>
      <c r="AM11" s="52">
        <v>-833.33333333331393</v>
      </c>
      <c r="AN11" s="53">
        <v>500000</v>
      </c>
      <c r="AO11" s="54">
        <v>2634357.3288771412</v>
      </c>
      <c r="AQ11" s="30">
        <v>35843.511248941628</v>
      </c>
      <c r="AR11" s="27">
        <v>35843.511248941628</v>
      </c>
      <c r="AS11" s="27">
        <v>0</v>
      </c>
      <c r="AT11" s="51">
        <v>2598513.8176281997</v>
      </c>
      <c r="AV11" s="30">
        <v>4646883.5867371587</v>
      </c>
      <c r="AW11" s="27">
        <v>-61365.759647039697</v>
      </c>
      <c r="AX11" s="27">
        <v>4646883.5867371587</v>
      </c>
      <c r="AY11" s="51">
        <v>2659879.5772752394</v>
      </c>
      <c r="BA11" s="30">
        <v>1780952.7926999927</v>
      </c>
      <c r="BB11" s="27">
        <v>1780952.7926999927</v>
      </c>
      <c r="BC11" s="27">
        <v>0</v>
      </c>
      <c r="BD11" s="51">
        <v>878926.78457524674</v>
      </c>
      <c r="BF11" s="30">
        <v>153819.69650000334</v>
      </c>
      <c r="BG11" s="27">
        <v>153819.69650000334</v>
      </c>
      <c r="BH11" s="27">
        <v>0</v>
      </c>
      <c r="BI11" s="51">
        <v>725107.0880752434</v>
      </c>
      <c r="BK11" s="30">
        <v>14337404.499576651</v>
      </c>
      <c r="BL11" s="27">
        <v>725107.0880752434</v>
      </c>
      <c r="BM11" s="27">
        <v>13612297.411501408</v>
      </c>
      <c r="BN11" s="51">
        <v>0</v>
      </c>
      <c r="BP11" s="30">
        <v>0</v>
      </c>
      <c r="BQ11" s="20">
        <v>0</v>
      </c>
      <c r="BR11" s="51">
        <v>0</v>
      </c>
      <c r="BT11" s="30">
        <v>2406358.0766147953</v>
      </c>
      <c r="BU11" s="51">
        <v>302895.01037472719</v>
      </c>
      <c r="BW11" s="221">
        <v>1780952.7926999927</v>
      </c>
      <c r="BX11" s="222">
        <v>153819.69650000334</v>
      </c>
    </row>
    <row r="12" spans="1:79" ht="16" x14ac:dyDescent="0.2">
      <c r="A12" s="113" t="s">
        <v>99</v>
      </c>
      <c r="B12" s="136">
        <v>5.491770501110628E-2</v>
      </c>
      <c r="D12" s="223"/>
      <c r="F12" s="151">
        <v>8</v>
      </c>
      <c r="G12" s="30">
        <v>3353250</v>
      </c>
      <c r="H12" s="28">
        <v>133283550.50828177</v>
      </c>
      <c r="I12" s="28">
        <v>27494528.038243078</v>
      </c>
      <c r="J12" s="28">
        <v>133283550.50830001</v>
      </c>
      <c r="K12" s="28">
        <v>27494528.038199998</v>
      </c>
      <c r="L12" s="28">
        <v>12981664.178875063</v>
      </c>
      <c r="M12" s="27">
        <v>4654628.3927150536</v>
      </c>
      <c r="N12" s="27">
        <v>500833.33333333331</v>
      </c>
      <c r="O12" s="51">
        <v>8508711.7260483876</v>
      </c>
      <c r="P12" s="5"/>
      <c r="Q12" s="30">
        <v>41666.666666666664</v>
      </c>
      <c r="R12" s="27">
        <v>41666.666666666664</v>
      </c>
      <c r="S12" s="27">
        <v>0</v>
      </c>
      <c r="T12" s="51">
        <v>8467045.0593817215</v>
      </c>
      <c r="U12" s="5"/>
      <c r="V12" s="30">
        <v>0</v>
      </c>
      <c r="W12" s="51">
        <v>7966211.7260483885</v>
      </c>
      <c r="Y12" s="30">
        <v>2285673.5202334658</v>
      </c>
      <c r="Z12" s="27">
        <v>2285673.5202334658</v>
      </c>
      <c r="AA12" s="27">
        <v>0</v>
      </c>
      <c r="AB12" s="51">
        <v>5500702.2144612651</v>
      </c>
      <c r="AD12" s="30">
        <v>809989.17448075721</v>
      </c>
      <c r="AE12" s="27">
        <v>809989.17448075721</v>
      </c>
      <c r="AF12" s="27">
        <v>0</v>
      </c>
      <c r="AG12" s="51">
        <v>4690713.0399805084</v>
      </c>
      <c r="AI12" s="30">
        <v>0</v>
      </c>
      <c r="AJ12" s="51">
        <v>2546066.2424723869</v>
      </c>
      <c r="AL12" s="43">
        <v>500000</v>
      </c>
      <c r="AM12" s="52">
        <v>-833.33333333331393</v>
      </c>
      <c r="AN12" s="53">
        <v>500000</v>
      </c>
      <c r="AO12" s="54">
        <v>2546899.5758057204</v>
      </c>
      <c r="AQ12" s="30">
        <v>34030.743528753519</v>
      </c>
      <c r="AR12" s="27">
        <v>34030.743528753519</v>
      </c>
      <c r="AS12" s="27">
        <v>0</v>
      </c>
      <c r="AT12" s="51">
        <v>2512868.8322769669</v>
      </c>
      <c r="AV12" s="30">
        <v>4593102.5451656859</v>
      </c>
      <c r="AW12" s="27">
        <v>-61525.847549367696</v>
      </c>
      <c r="AX12" s="27">
        <v>4593102.5451656859</v>
      </c>
      <c r="AY12" s="51">
        <v>2574394.6798263346</v>
      </c>
      <c r="BA12" s="30">
        <v>1789099.7211999893</v>
      </c>
      <c r="BB12" s="27">
        <v>1789099.7211999893</v>
      </c>
      <c r="BC12" s="27">
        <v>0</v>
      </c>
      <c r="BD12" s="51">
        <v>785294.95862634527</v>
      </c>
      <c r="BF12" s="30">
        <v>154661.72599999979</v>
      </c>
      <c r="BG12" s="27">
        <v>154661.72599999979</v>
      </c>
      <c r="BH12" s="27">
        <v>0</v>
      </c>
      <c r="BI12" s="51">
        <v>630633.23262634547</v>
      </c>
      <c r="BK12" s="30">
        <v>13612297.411501408</v>
      </c>
      <c r="BL12" s="27">
        <v>630633.23262634547</v>
      </c>
      <c r="BM12" s="27">
        <v>12981664.178875063</v>
      </c>
      <c r="BN12" s="51">
        <v>0</v>
      </c>
      <c r="BP12" s="30">
        <v>0</v>
      </c>
      <c r="BQ12" s="20">
        <v>0</v>
      </c>
      <c r="BR12" s="51">
        <v>0</v>
      </c>
      <c r="BT12" s="30">
        <v>2406366.2549294811</v>
      </c>
      <c r="BU12" s="51">
        <v>302912.28313145577</v>
      </c>
      <c r="BW12" s="221">
        <v>1789099.7211999893</v>
      </c>
      <c r="BX12" s="222">
        <v>154661.72599999979</v>
      </c>
    </row>
    <row r="13" spans="1:79" ht="16" x14ac:dyDescent="0.2">
      <c r="A13" s="125" t="s">
        <v>116</v>
      </c>
      <c r="B13" s="230">
        <v>6.4867539170741478E-2</v>
      </c>
      <c r="D13" s="223"/>
      <c r="F13" s="151">
        <v>9</v>
      </c>
      <c r="G13" s="30">
        <v>3287238.33</v>
      </c>
      <c r="H13" s="28">
        <v>131486266.59068738</v>
      </c>
      <c r="I13" s="28">
        <v>27339019.67334941</v>
      </c>
      <c r="J13" s="28">
        <v>131486266.5907</v>
      </c>
      <c r="K13" s="28">
        <v>27339019.673300002</v>
      </c>
      <c r="L13" s="28">
        <v>12415330.779102376</v>
      </c>
      <c r="M13" s="27">
        <v>4600757.7160742953</v>
      </c>
      <c r="N13" s="27">
        <v>500833.33333333331</v>
      </c>
      <c r="O13" s="51">
        <v>8388829.3794076294</v>
      </c>
      <c r="P13" s="5"/>
      <c r="Q13" s="30">
        <v>41666.666666666664</v>
      </c>
      <c r="R13" s="27">
        <v>41666.666666666664</v>
      </c>
      <c r="S13" s="27">
        <v>0</v>
      </c>
      <c r="T13" s="51">
        <v>8347162.7127409624</v>
      </c>
      <c r="U13" s="5"/>
      <c r="V13" s="30">
        <v>0</v>
      </c>
      <c r="W13" s="51">
        <v>7846329.3794076294</v>
      </c>
      <c r="Y13" s="30">
        <v>2283897.4738691901</v>
      </c>
      <c r="Z13" s="27">
        <v>2283897.4738691901</v>
      </c>
      <c r="AA13" s="27">
        <v>0</v>
      </c>
      <c r="AB13" s="51">
        <v>5541624.6137892175</v>
      </c>
      <c r="AD13" s="30">
        <v>809989.17448075721</v>
      </c>
      <c r="AE13" s="27">
        <v>809989.17448075721</v>
      </c>
      <c r="AF13" s="27">
        <v>0</v>
      </c>
      <c r="AG13" s="51">
        <v>4731635.4393084608</v>
      </c>
      <c r="AI13" s="30">
        <v>0</v>
      </c>
      <c r="AJ13" s="51">
        <v>2489059.8247588929</v>
      </c>
      <c r="AL13" s="43">
        <v>500000</v>
      </c>
      <c r="AM13" s="52">
        <v>-833.33333333331393</v>
      </c>
      <c r="AN13" s="53">
        <v>500000</v>
      </c>
      <c r="AO13" s="54">
        <v>2489893.1580922264</v>
      </c>
      <c r="AQ13" s="30">
        <v>32454.160447187656</v>
      </c>
      <c r="AR13" s="27">
        <v>32454.160447187656</v>
      </c>
      <c r="AS13" s="27">
        <v>0</v>
      </c>
      <c r="AT13" s="51">
        <v>2457438.9976450386</v>
      </c>
      <c r="AV13" s="30">
        <v>4539071.0314466441</v>
      </c>
      <c r="AW13" s="27">
        <v>-61686.684627651237</v>
      </c>
      <c r="AX13" s="27">
        <v>4539071.0314466441</v>
      </c>
      <c r="AY13" s="51">
        <v>2519125.6822726899</v>
      </c>
      <c r="BA13" s="30">
        <v>1797283.9176000059</v>
      </c>
      <c r="BB13" s="27">
        <v>1797283.9176000059</v>
      </c>
      <c r="BC13" s="27">
        <v>0</v>
      </c>
      <c r="BD13" s="51">
        <v>721841.76467268402</v>
      </c>
      <c r="BF13" s="30">
        <v>155508.36489999667</v>
      </c>
      <c r="BG13" s="27">
        <v>155508.36489999667</v>
      </c>
      <c r="BH13" s="27">
        <v>0</v>
      </c>
      <c r="BI13" s="51">
        <v>566333.39977268735</v>
      </c>
      <c r="BK13" s="30">
        <v>12981664.178875063</v>
      </c>
      <c r="BL13" s="27">
        <v>566333.39977268735</v>
      </c>
      <c r="BM13" s="27">
        <v>12415330.779102376</v>
      </c>
      <c r="BN13" s="51">
        <v>0</v>
      </c>
      <c r="BP13" s="30">
        <v>0</v>
      </c>
      <c r="BQ13" s="20">
        <v>0</v>
      </c>
      <c r="BR13" s="51">
        <v>0</v>
      </c>
      <c r="BT13" s="30">
        <v>2406374.4706144887</v>
      </c>
      <c r="BU13" s="51">
        <v>302929.65045995428</v>
      </c>
      <c r="BW13" s="221">
        <v>1797283.9176000059</v>
      </c>
      <c r="BX13" s="222">
        <v>155508.36489999667</v>
      </c>
    </row>
    <row r="14" spans="1:79" ht="16" x14ac:dyDescent="0.2">
      <c r="A14" s="115" t="s">
        <v>117</v>
      </c>
      <c r="B14" s="231">
        <v>0.03</v>
      </c>
      <c r="F14" s="151">
        <v>10</v>
      </c>
      <c r="G14" s="30">
        <v>3173353.93</v>
      </c>
      <c r="H14" s="28">
        <v>129680761.03827347</v>
      </c>
      <c r="I14" s="28">
        <v>27182660.034934465</v>
      </c>
      <c r="J14" s="28">
        <v>129680761.03829999</v>
      </c>
      <c r="K14" s="28">
        <v>27182660.034899998</v>
      </c>
      <c r="L14" s="28">
        <v>11961330.07168681</v>
      </c>
      <c r="M14" s="27">
        <v>4546636.1498323884</v>
      </c>
      <c r="N14" s="27">
        <v>500833.33333333331</v>
      </c>
      <c r="O14" s="51">
        <v>8220823.413165722</v>
      </c>
      <c r="P14" s="5"/>
      <c r="Q14" s="30">
        <v>41666.666666666664</v>
      </c>
      <c r="R14" s="27">
        <v>41666.666666666664</v>
      </c>
      <c r="S14" s="27">
        <v>0</v>
      </c>
      <c r="T14" s="51">
        <v>8179156.7464990551</v>
      </c>
      <c r="U14" s="5"/>
      <c r="V14" s="30">
        <v>0</v>
      </c>
      <c r="W14" s="51">
        <v>7678323.413165722</v>
      </c>
      <c r="Y14" s="30">
        <v>2283897.4738691901</v>
      </c>
      <c r="Z14" s="27">
        <v>2283897.4738691901</v>
      </c>
      <c r="AA14" s="27">
        <v>0</v>
      </c>
      <c r="AB14" s="51">
        <v>5590656.1402919311</v>
      </c>
      <c r="AD14" s="30">
        <v>809989.17448075721</v>
      </c>
      <c r="AE14" s="27">
        <v>809989.17448075721</v>
      </c>
      <c r="AF14" s="27">
        <v>0</v>
      </c>
      <c r="AG14" s="51">
        <v>4780666.9658111744</v>
      </c>
      <c r="AI14" s="30">
        <v>0</v>
      </c>
      <c r="AJ14" s="51">
        <v>2384222.6174282301</v>
      </c>
      <c r="AL14" s="43">
        <v>500000</v>
      </c>
      <c r="AM14" s="52">
        <v>-833.33333333331393</v>
      </c>
      <c r="AN14" s="53">
        <v>500000</v>
      </c>
      <c r="AO14" s="54">
        <v>2385055.9507615636</v>
      </c>
      <c r="AQ14" s="30">
        <v>31038.326947755937</v>
      </c>
      <c r="AR14" s="27">
        <v>31038.326947755937</v>
      </c>
      <c r="AS14" s="27">
        <v>0</v>
      </c>
      <c r="AT14" s="51">
        <v>2354017.6238138075</v>
      </c>
      <c r="AV14" s="30">
        <v>4484787.8754306193</v>
      </c>
      <c r="AW14" s="27">
        <v>-61848.274401769042</v>
      </c>
      <c r="AX14" s="27">
        <v>4484787.8754306193</v>
      </c>
      <c r="AY14" s="51">
        <v>2415865.8982155765</v>
      </c>
      <c r="BA14" s="30">
        <v>1805505.5524000078</v>
      </c>
      <c r="BB14" s="27">
        <v>1805505.5524000078</v>
      </c>
      <c r="BC14" s="27">
        <v>0</v>
      </c>
      <c r="BD14" s="51">
        <v>610360.3458155687</v>
      </c>
      <c r="BF14" s="30">
        <v>156359.63840000331</v>
      </c>
      <c r="BG14" s="27">
        <v>156359.63840000331</v>
      </c>
      <c r="BH14" s="27">
        <v>0</v>
      </c>
      <c r="BI14" s="51">
        <v>454000.70741556538</v>
      </c>
      <c r="BK14" s="30">
        <v>12415330.779102376</v>
      </c>
      <c r="BL14" s="27">
        <v>454000.70741556538</v>
      </c>
      <c r="BM14" s="27">
        <v>11961330.07168681</v>
      </c>
      <c r="BN14" s="51">
        <v>0</v>
      </c>
      <c r="BP14" s="30">
        <v>0</v>
      </c>
      <c r="BQ14" s="20">
        <v>0</v>
      </c>
      <c r="BR14" s="51">
        <v>0</v>
      </c>
      <c r="BT14" s="30">
        <v>2406382.7238597516</v>
      </c>
      <c r="BU14" s="51">
        <v>302947.11284536275</v>
      </c>
      <c r="BW14" s="221">
        <v>1805505.5524000078</v>
      </c>
      <c r="BX14" s="222">
        <v>156359.63840000331</v>
      </c>
    </row>
    <row r="15" spans="1:79" ht="16" x14ac:dyDescent="0.2">
      <c r="A15" s="113" t="s">
        <v>73</v>
      </c>
      <c r="B15" s="129">
        <v>0.77</v>
      </c>
      <c r="F15" s="151">
        <v>11</v>
      </c>
      <c r="G15" s="30">
        <v>3162896.48</v>
      </c>
      <c r="H15" s="28">
        <v>127866996.24135661</v>
      </c>
      <c r="I15" s="28">
        <v>27025444.463013504</v>
      </c>
      <c r="J15" s="28">
        <v>127866996.2414</v>
      </c>
      <c r="K15" s="28">
        <v>27025444.463</v>
      </c>
      <c r="L15" s="28">
        <v>11516515.315505924</v>
      </c>
      <c r="M15" s="27">
        <v>4492262.5218896708</v>
      </c>
      <c r="N15" s="27">
        <v>500833.33333333331</v>
      </c>
      <c r="O15" s="51">
        <v>8155992.3352230042</v>
      </c>
      <c r="P15" s="5"/>
      <c r="Q15" s="30">
        <v>41666.666666666664</v>
      </c>
      <c r="R15" s="27">
        <v>41666.666666666664</v>
      </c>
      <c r="S15" s="27">
        <v>0</v>
      </c>
      <c r="T15" s="51">
        <v>8114325.6685563372</v>
      </c>
      <c r="U15" s="5"/>
      <c r="V15" s="30">
        <v>0</v>
      </c>
      <c r="W15" s="51">
        <v>7613492.3352230042</v>
      </c>
      <c r="Y15" s="30">
        <v>2283897.4738691901</v>
      </c>
      <c r="Z15" s="27">
        <v>2283897.4738691901</v>
      </c>
      <c r="AA15" s="27">
        <v>0</v>
      </c>
      <c r="AB15" s="51">
        <v>5411769.3860054817</v>
      </c>
      <c r="AD15" s="30">
        <v>809989.17448075721</v>
      </c>
      <c r="AE15" s="27">
        <v>809989.17448075721</v>
      </c>
      <c r="AF15" s="27">
        <v>0</v>
      </c>
      <c r="AG15" s="51">
        <v>4601780.211524725</v>
      </c>
      <c r="AI15" s="30">
        <v>0</v>
      </c>
      <c r="AJ15" s="51">
        <v>2382854.4964195834</v>
      </c>
      <c r="AL15" s="43">
        <v>500000</v>
      </c>
      <c r="AM15" s="52">
        <v>-833.33333333331393</v>
      </c>
      <c r="AN15" s="53">
        <v>500000</v>
      </c>
      <c r="AO15" s="54">
        <v>2383687.8297529169</v>
      </c>
      <c r="AQ15" s="30">
        <v>29903.325179217023</v>
      </c>
      <c r="AR15" s="27">
        <v>29903.325179217023</v>
      </c>
      <c r="AS15" s="27">
        <v>0</v>
      </c>
      <c r="AT15" s="51">
        <v>2353784.5045737</v>
      </c>
      <c r="AV15" s="30">
        <v>4430251.9014824964</v>
      </c>
      <c r="AW15" s="27">
        <v>-62010.620407174341</v>
      </c>
      <c r="AX15" s="27">
        <v>4430251.9014824964</v>
      </c>
      <c r="AY15" s="51">
        <v>2415795.1249808744</v>
      </c>
      <c r="BA15" s="30">
        <v>1813764.7968999892</v>
      </c>
      <c r="BB15" s="27">
        <v>1813764.7968999892</v>
      </c>
      <c r="BC15" s="27">
        <v>0</v>
      </c>
      <c r="BD15" s="51">
        <v>602030.32808088511</v>
      </c>
      <c r="BF15" s="30">
        <v>157215.57189999893</v>
      </c>
      <c r="BG15" s="27">
        <v>157215.57189999893</v>
      </c>
      <c r="BH15" s="27">
        <v>0</v>
      </c>
      <c r="BI15" s="51">
        <v>444814.75618088618</v>
      </c>
      <c r="BK15" s="30">
        <v>11961330.07168681</v>
      </c>
      <c r="BL15" s="27">
        <v>444814.75618088618</v>
      </c>
      <c r="BM15" s="27">
        <v>11516515.315505924</v>
      </c>
      <c r="BN15" s="51">
        <v>0</v>
      </c>
      <c r="BP15" s="30">
        <v>0</v>
      </c>
      <c r="BQ15" s="20">
        <v>0</v>
      </c>
      <c r="BR15" s="51">
        <v>0</v>
      </c>
      <c r="BT15" s="30">
        <v>2406391.0148760653</v>
      </c>
      <c r="BU15" s="51">
        <v>302964.67083767214</v>
      </c>
      <c r="BW15" s="221">
        <v>1813764.7968999892</v>
      </c>
      <c r="BX15" s="222">
        <v>157215.57189999893</v>
      </c>
    </row>
    <row r="16" spans="1:79" ht="16" x14ac:dyDescent="0.2">
      <c r="A16" s="125" t="s">
        <v>74</v>
      </c>
      <c r="B16" s="137">
        <v>0.15</v>
      </c>
      <c r="F16" s="151">
        <v>12</v>
      </c>
      <c r="G16" s="30">
        <v>3107174.15</v>
      </c>
      <c r="H16" s="28">
        <v>126044934.41820882</v>
      </c>
      <c r="I16" s="28">
        <v>26867368.272092402</v>
      </c>
      <c r="J16" s="28">
        <v>126044934.4182</v>
      </c>
      <c r="K16" s="28">
        <v>26867368.272100002</v>
      </c>
      <c r="L16" s="28">
        <v>11126173.729771659</v>
      </c>
      <c r="M16" s="27">
        <v>4437635.6546516335</v>
      </c>
      <c r="N16" s="27">
        <v>500833.33333333331</v>
      </c>
      <c r="O16" s="51">
        <v>8045643.1379849669</v>
      </c>
      <c r="P16" s="5"/>
      <c r="Q16" s="30">
        <v>41666.666666666664</v>
      </c>
      <c r="R16" s="27">
        <v>41666.666666666664</v>
      </c>
      <c r="S16" s="27">
        <v>0</v>
      </c>
      <c r="T16" s="51">
        <v>8003976.4713182999</v>
      </c>
      <c r="U16" s="5"/>
      <c r="V16" s="30">
        <v>0</v>
      </c>
      <c r="W16" s="51">
        <v>7503143.1379849669</v>
      </c>
      <c r="Y16" s="30">
        <v>2283897.4738691901</v>
      </c>
      <c r="Z16" s="27">
        <v>2283897.4738691901</v>
      </c>
      <c r="AA16" s="27">
        <v>0</v>
      </c>
      <c r="AB16" s="51">
        <v>5519848.5920887012</v>
      </c>
      <c r="AD16" s="30">
        <v>809989.17448075721</v>
      </c>
      <c r="AE16" s="27">
        <v>809989.17448075721</v>
      </c>
      <c r="AF16" s="27">
        <v>0</v>
      </c>
      <c r="AG16" s="51">
        <v>4709859.4176079445</v>
      </c>
      <c r="AI16" s="30">
        <v>0</v>
      </c>
      <c r="AJ16" s="51">
        <v>2336263.8285911521</v>
      </c>
      <c r="AL16" s="43">
        <v>500000</v>
      </c>
      <c r="AM16" s="52">
        <v>-833.33333333331393</v>
      </c>
      <c r="AN16" s="53">
        <v>500000</v>
      </c>
      <c r="AO16" s="54">
        <v>2337097.1619244856</v>
      </c>
      <c r="AQ16" s="30">
        <v>28791.288288764808</v>
      </c>
      <c r="AR16" s="27">
        <v>28791.288288764808</v>
      </c>
      <c r="AS16" s="27">
        <v>0</v>
      </c>
      <c r="AT16" s="51">
        <v>2308305.8736357209</v>
      </c>
      <c r="AV16" s="30">
        <v>4375461.9284530887</v>
      </c>
      <c r="AW16" s="27">
        <v>-62173.726198544726</v>
      </c>
      <c r="AX16" s="27">
        <v>4375461.9284530887</v>
      </c>
      <c r="AY16" s="51">
        <v>2370479.5998342657</v>
      </c>
      <c r="BA16" s="30">
        <v>1822061.8232000023</v>
      </c>
      <c r="BB16" s="27">
        <v>1822061.8232000023</v>
      </c>
      <c r="BC16" s="27">
        <v>0</v>
      </c>
      <c r="BD16" s="51">
        <v>548417.77663426334</v>
      </c>
      <c r="BF16" s="30">
        <v>158076.19089999795</v>
      </c>
      <c r="BG16" s="27">
        <v>158076.19089999795</v>
      </c>
      <c r="BH16" s="27">
        <v>0</v>
      </c>
      <c r="BI16" s="51">
        <v>390341.58573426539</v>
      </c>
      <c r="BK16" s="30">
        <v>11516515.315505924</v>
      </c>
      <c r="BL16" s="27">
        <v>390341.58573426539</v>
      </c>
      <c r="BM16" s="27">
        <v>11126173.729771659</v>
      </c>
      <c r="BN16" s="51">
        <v>0</v>
      </c>
      <c r="BP16" s="30">
        <v>0</v>
      </c>
      <c r="BQ16" s="20">
        <v>0</v>
      </c>
      <c r="BR16" s="51">
        <v>0</v>
      </c>
      <c r="BT16" s="30">
        <v>2406399.3438914632</v>
      </c>
      <c r="BU16" s="51">
        <v>302982.32495071832</v>
      </c>
      <c r="BW16" s="221">
        <v>1822061.8232000023</v>
      </c>
      <c r="BX16" s="222">
        <v>158076.19089999795</v>
      </c>
    </row>
    <row r="17" spans="1:76" ht="16" x14ac:dyDescent="0.2">
      <c r="A17" s="115" t="s">
        <v>75</v>
      </c>
      <c r="B17" s="132">
        <v>0.08</v>
      </c>
      <c r="F17" s="151">
        <v>13</v>
      </c>
      <c r="G17" s="30">
        <v>3349612.55</v>
      </c>
      <c r="H17" s="28">
        <v>124214537.6142704</v>
      </c>
      <c r="I17" s="28">
        <v>26708426.751028016</v>
      </c>
      <c r="J17" s="28">
        <v>124214537.6143</v>
      </c>
      <c r="K17" s="28">
        <v>26708426.750999998</v>
      </c>
      <c r="L17" s="28">
        <v>10492280.138691895</v>
      </c>
      <c r="M17" s="27">
        <v>4382754.3650005106</v>
      </c>
      <c r="N17" s="27">
        <v>500833.33333333331</v>
      </c>
      <c r="O17" s="51">
        <v>8233200.2483338434</v>
      </c>
      <c r="P17" s="5"/>
      <c r="Q17" s="30">
        <v>41666.666666666664</v>
      </c>
      <c r="R17" s="27">
        <v>41666.666666666664</v>
      </c>
      <c r="S17" s="27">
        <v>0</v>
      </c>
      <c r="T17" s="51">
        <v>8191533.5816671764</v>
      </c>
      <c r="U17" s="5"/>
      <c r="V17" s="30">
        <v>0</v>
      </c>
      <c r="W17" s="51">
        <v>7690700.2483338434</v>
      </c>
      <c r="Y17" s="30">
        <v>2282337.9502409943</v>
      </c>
      <c r="Z17" s="27">
        <v>2282337.9502409943</v>
      </c>
      <c r="AA17" s="27">
        <v>0</v>
      </c>
      <c r="AB17" s="51">
        <v>5521683.7080981899</v>
      </c>
      <c r="AD17" s="30">
        <v>809989.17448075721</v>
      </c>
      <c r="AE17" s="27">
        <v>809989.17448075721</v>
      </c>
      <c r="AF17" s="27">
        <v>0</v>
      </c>
      <c r="AG17" s="51">
        <v>4711694.5336174332</v>
      </c>
      <c r="AI17" s="30">
        <v>0</v>
      </c>
      <c r="AJ17" s="51">
        <v>2587876.4217243362</v>
      </c>
      <c r="AL17" s="43">
        <v>500000</v>
      </c>
      <c r="AM17" s="52">
        <v>-833.33333333331393</v>
      </c>
      <c r="AN17" s="53">
        <v>500000</v>
      </c>
      <c r="AO17" s="54">
        <v>2588709.7550576697</v>
      </c>
      <c r="AQ17" s="30">
        <v>27815.434324429145</v>
      </c>
      <c r="AR17" s="27">
        <v>27815.434324429145</v>
      </c>
      <c r="AS17" s="27">
        <v>0</v>
      </c>
      <c r="AT17" s="51">
        <v>2560894.3207332403</v>
      </c>
      <c r="AV17" s="30">
        <v>4320416.7696539806</v>
      </c>
      <c r="AW17" s="27">
        <v>-62337.595346529968</v>
      </c>
      <c r="AX17" s="27">
        <v>4320416.7696539806</v>
      </c>
      <c r="AY17" s="51">
        <v>2623231.9160797703</v>
      </c>
      <c r="BA17" s="30">
        <v>1830396.8039000034</v>
      </c>
      <c r="BB17" s="27">
        <v>1830396.8039000034</v>
      </c>
      <c r="BC17" s="27">
        <v>0</v>
      </c>
      <c r="BD17" s="51">
        <v>792835.11217976687</v>
      </c>
      <c r="BF17" s="30">
        <v>158941.52110000327</v>
      </c>
      <c r="BG17" s="27">
        <v>158941.52110000327</v>
      </c>
      <c r="BH17" s="27">
        <v>0</v>
      </c>
      <c r="BI17" s="51">
        <v>633893.5910797636</v>
      </c>
      <c r="BK17" s="30">
        <v>11126173.729771659</v>
      </c>
      <c r="BL17" s="27">
        <v>633893.5910797636</v>
      </c>
      <c r="BM17" s="27">
        <v>10492280.138691895</v>
      </c>
      <c r="BN17" s="51">
        <v>0</v>
      </c>
      <c r="BP17" s="30">
        <v>0</v>
      </c>
      <c r="BQ17" s="20">
        <v>0</v>
      </c>
      <c r="BR17" s="51">
        <v>0</v>
      </c>
      <c r="BT17" s="30">
        <v>2406407.7108474048</v>
      </c>
      <c r="BU17" s="51">
        <v>303000.07576159865</v>
      </c>
      <c r="BW17" s="221">
        <v>1830396.8039000034</v>
      </c>
      <c r="BX17" s="222">
        <v>158941.52110000327</v>
      </c>
    </row>
    <row r="18" spans="1:76" ht="16" x14ac:dyDescent="0.2">
      <c r="A18" s="113" t="s">
        <v>101</v>
      </c>
      <c r="B18" s="114">
        <v>147370300</v>
      </c>
      <c r="F18" s="151">
        <v>14</v>
      </c>
      <c r="G18" s="30">
        <v>3252802.27</v>
      </c>
      <c r="H18" s="28">
        <v>122375767.70135926</v>
      </c>
      <c r="I18" s="28">
        <v>26548615.162887786</v>
      </c>
      <c r="J18" s="28">
        <v>122375767.7014</v>
      </c>
      <c r="K18" s="28">
        <v>26548615.162900001</v>
      </c>
      <c r="L18" s="28">
        <v>9953473.7107455079</v>
      </c>
      <c r="M18" s="27">
        <v>4327617.4642700702</v>
      </c>
      <c r="N18" s="27">
        <v>500833.33333333331</v>
      </c>
      <c r="O18" s="51">
        <v>8081253.0676034037</v>
      </c>
      <c r="P18" s="5"/>
      <c r="Q18" s="30">
        <v>41666.666666666664</v>
      </c>
      <c r="R18" s="27">
        <v>41666.666666666664</v>
      </c>
      <c r="S18" s="27">
        <v>0</v>
      </c>
      <c r="T18" s="51">
        <v>8039586.4009367367</v>
      </c>
      <c r="U18" s="5"/>
      <c r="V18" s="30">
        <v>0</v>
      </c>
      <c r="W18" s="51">
        <v>7538753.0676034037</v>
      </c>
      <c r="Y18" s="30">
        <v>2280869.2446784074</v>
      </c>
      <c r="Z18" s="27">
        <v>2280869.2446784074</v>
      </c>
      <c r="AA18" s="27">
        <v>0</v>
      </c>
      <c r="AB18" s="51">
        <v>5588571.4247714132</v>
      </c>
      <c r="AD18" s="30">
        <v>809989.17448075721</v>
      </c>
      <c r="AE18" s="27">
        <v>809989.17448075721</v>
      </c>
      <c r="AF18" s="27">
        <v>0</v>
      </c>
      <c r="AG18" s="51">
        <v>4778582.2502906565</v>
      </c>
      <c r="AI18" s="30">
        <v>0</v>
      </c>
      <c r="AJ18" s="51">
        <v>2500283.0645271018</v>
      </c>
      <c r="AL18" s="43">
        <v>500000</v>
      </c>
      <c r="AM18" s="52">
        <v>-833.33333333331393</v>
      </c>
      <c r="AN18" s="53">
        <v>500000</v>
      </c>
      <c r="AO18" s="54">
        <v>2501116.3978604353</v>
      </c>
      <c r="AQ18" s="30">
        <v>26230.700346729736</v>
      </c>
      <c r="AR18" s="27">
        <v>26230.700346729736</v>
      </c>
      <c r="AS18" s="27">
        <v>0</v>
      </c>
      <c r="AT18" s="51">
        <v>2474885.6975137056</v>
      </c>
      <c r="AV18" s="30">
        <v>4265115.2328373911</v>
      </c>
      <c r="AW18" s="27">
        <v>-62502.231432679109</v>
      </c>
      <c r="AX18" s="27">
        <v>4265115.2328373911</v>
      </c>
      <c r="AY18" s="51">
        <v>2537387.9289463847</v>
      </c>
      <c r="BA18" s="30">
        <v>1838769.9129000008</v>
      </c>
      <c r="BB18" s="27">
        <v>1838769.9129000008</v>
      </c>
      <c r="BC18" s="27">
        <v>0</v>
      </c>
      <c r="BD18" s="51">
        <v>698618.01604638388</v>
      </c>
      <c r="BF18" s="30">
        <v>159811.58809999749</v>
      </c>
      <c r="BG18" s="27">
        <v>159811.58809999749</v>
      </c>
      <c r="BH18" s="27">
        <v>0</v>
      </c>
      <c r="BI18" s="51">
        <v>538806.42794638639</v>
      </c>
      <c r="BK18" s="30">
        <v>10492280.138691895</v>
      </c>
      <c r="BL18" s="27">
        <v>538806.42794638639</v>
      </c>
      <c r="BM18" s="27">
        <v>9953473.7107455079</v>
      </c>
      <c r="BN18" s="51">
        <v>0</v>
      </c>
      <c r="BP18" s="30">
        <v>0</v>
      </c>
      <c r="BQ18" s="20">
        <v>0</v>
      </c>
      <c r="BR18" s="51">
        <v>0</v>
      </c>
      <c r="BT18" s="30">
        <v>2406416.1161966394</v>
      </c>
      <c r="BU18" s="51">
        <v>303017.92360959057</v>
      </c>
      <c r="BW18" s="221">
        <v>1838769.9129000008</v>
      </c>
      <c r="BX18" s="222">
        <v>159811.58809999749</v>
      </c>
    </row>
    <row r="19" spans="1:76" ht="16" x14ac:dyDescent="0.2">
      <c r="A19" s="125" t="s">
        <v>102</v>
      </c>
      <c r="B19" s="127">
        <v>28708500</v>
      </c>
      <c r="F19" s="151">
        <v>15</v>
      </c>
      <c r="G19" s="30">
        <v>3359710.17</v>
      </c>
      <c r="H19" s="28">
        <v>120528586.37687699</v>
      </c>
      <c r="I19" s="28">
        <v>26387928.74480854</v>
      </c>
      <c r="J19" s="28">
        <v>120528586.3769</v>
      </c>
      <c r="K19" s="28">
        <v>26387928.744800001</v>
      </c>
      <c r="L19" s="28">
        <v>9306273.3495879415</v>
      </c>
      <c r="M19" s="27">
        <v>4272223.7582254531</v>
      </c>
      <c r="N19" s="27">
        <v>500833.33333333331</v>
      </c>
      <c r="O19" s="51">
        <v>8132767.261558786</v>
      </c>
      <c r="P19" s="5"/>
      <c r="Q19" s="30">
        <v>41666.666666666664</v>
      </c>
      <c r="R19" s="27">
        <v>41666.666666666664</v>
      </c>
      <c r="S19" s="27">
        <v>0</v>
      </c>
      <c r="T19" s="51">
        <v>8091100.5948921191</v>
      </c>
      <c r="U19" s="5"/>
      <c r="V19" s="30">
        <v>0</v>
      </c>
      <c r="W19" s="51">
        <v>7590267.261558786</v>
      </c>
      <c r="Y19" s="30">
        <v>2278481.1835774016</v>
      </c>
      <c r="Z19" s="27">
        <v>2278481.1835774016</v>
      </c>
      <c r="AA19" s="27">
        <v>0</v>
      </c>
      <c r="AB19" s="51">
        <v>5728183.8037963398</v>
      </c>
      <c r="AD19" s="30">
        <v>809989.17448075721</v>
      </c>
      <c r="AE19" s="27">
        <v>809989.17448075721</v>
      </c>
      <c r="AF19" s="27">
        <v>0</v>
      </c>
      <c r="AG19" s="51">
        <v>4918194.629315583</v>
      </c>
      <c r="AI19" s="30">
        <v>0</v>
      </c>
      <c r="AJ19" s="51">
        <v>2616450.8166393759</v>
      </c>
      <c r="AL19" s="43">
        <v>500000</v>
      </c>
      <c r="AM19" s="52">
        <v>-833.33333333331393</v>
      </c>
      <c r="AN19" s="53">
        <v>500000</v>
      </c>
      <c r="AO19" s="54">
        <v>2617284.1499727094</v>
      </c>
      <c r="AQ19" s="30">
        <v>24883.684276863769</v>
      </c>
      <c r="AR19" s="27">
        <v>24883.684276863769</v>
      </c>
      <c r="AS19" s="27">
        <v>0</v>
      </c>
      <c r="AT19" s="51">
        <v>2592400.4656958454</v>
      </c>
      <c r="AV19" s="30">
        <v>4209556.1201637387</v>
      </c>
      <c r="AW19" s="27">
        <v>-62667.638061714359</v>
      </c>
      <c r="AX19" s="27">
        <v>4209556.1201637387</v>
      </c>
      <c r="AY19" s="51">
        <v>2655068.1037575598</v>
      </c>
      <c r="BA19" s="30">
        <v>1847181.3244999945</v>
      </c>
      <c r="BB19" s="27">
        <v>1847181.3244999945</v>
      </c>
      <c r="BC19" s="27">
        <v>0</v>
      </c>
      <c r="BD19" s="51">
        <v>807886.77925756527</v>
      </c>
      <c r="BF19" s="30">
        <v>160686.41809999943</v>
      </c>
      <c r="BG19" s="27">
        <v>160686.41809999943</v>
      </c>
      <c r="BH19" s="27">
        <v>0</v>
      </c>
      <c r="BI19" s="51">
        <v>647200.36115756584</v>
      </c>
      <c r="BK19" s="30">
        <v>9953473.7107455079</v>
      </c>
      <c r="BL19" s="27">
        <v>647200.36115756584</v>
      </c>
      <c r="BM19" s="27">
        <v>9306273.3495879415</v>
      </c>
      <c r="BN19" s="51">
        <v>0</v>
      </c>
      <c r="BP19" s="30">
        <v>0</v>
      </c>
      <c r="BQ19" s="20">
        <v>0</v>
      </c>
      <c r="BR19" s="51">
        <v>0</v>
      </c>
      <c r="BT19" s="30">
        <v>2406424.5599972056</v>
      </c>
      <c r="BU19" s="51">
        <v>303035.86929674499</v>
      </c>
      <c r="BW19" s="221">
        <v>1847181.3244999945</v>
      </c>
      <c r="BX19" s="222">
        <v>160686.41809999943</v>
      </c>
    </row>
    <row r="20" spans="1:76" ht="16" x14ac:dyDescent="0.2">
      <c r="A20" s="115" t="s">
        <v>103</v>
      </c>
      <c r="B20" s="116">
        <v>15311200</v>
      </c>
      <c r="F20" s="151">
        <v>16</v>
      </c>
      <c r="G20" s="30">
        <v>3367233.13</v>
      </c>
      <c r="H20" s="28">
        <v>118672955.16301073</v>
      </c>
      <c r="I20" s="28">
        <v>26226362.707854558</v>
      </c>
      <c r="J20" s="28">
        <v>118672955.163</v>
      </c>
      <c r="K20" s="28">
        <v>26226362.707899999</v>
      </c>
      <c r="L20" s="28">
        <v>8649792.3729311749</v>
      </c>
      <c r="M20" s="27">
        <v>4216572.047030678</v>
      </c>
      <c r="N20" s="27">
        <v>500833.33333333331</v>
      </c>
      <c r="O20" s="51">
        <v>8084638.5103640109</v>
      </c>
      <c r="P20" s="5"/>
      <c r="Q20" s="30">
        <v>41666.666666666664</v>
      </c>
      <c r="R20" s="27">
        <v>41666.666666666664</v>
      </c>
      <c r="S20" s="27">
        <v>0</v>
      </c>
      <c r="T20" s="51">
        <v>8042971.843697344</v>
      </c>
      <c r="U20" s="5"/>
      <c r="V20" s="30">
        <v>0</v>
      </c>
      <c r="W20" s="51">
        <v>7542138.5103640109</v>
      </c>
      <c r="Y20" s="30">
        <v>2274044.4340953087</v>
      </c>
      <c r="Z20" s="27">
        <v>2274044.4340953087</v>
      </c>
      <c r="AA20" s="27">
        <v>0</v>
      </c>
      <c r="AB20" s="51">
        <v>5912207.8894111905</v>
      </c>
      <c r="AD20" s="30">
        <v>809989.17448075721</v>
      </c>
      <c r="AE20" s="27">
        <v>809989.17448075721</v>
      </c>
      <c r="AF20" s="27">
        <v>0</v>
      </c>
      <c r="AG20" s="51">
        <v>5102218.7149304338</v>
      </c>
      <c r="AI20" s="30">
        <v>0</v>
      </c>
      <c r="AJ20" s="51">
        <v>2633276.7586381035</v>
      </c>
      <c r="AL20" s="43">
        <v>500000</v>
      </c>
      <c r="AM20" s="52">
        <v>-833.33333333331393</v>
      </c>
      <c r="AN20" s="53">
        <v>500000</v>
      </c>
      <c r="AO20" s="54">
        <v>2634110.091971437</v>
      </c>
      <c r="AQ20" s="30">
        <v>23265.683373969852</v>
      </c>
      <c r="AR20" s="27">
        <v>23265.683373969852</v>
      </c>
      <c r="AS20" s="27">
        <v>0</v>
      </c>
      <c r="AT20" s="51">
        <v>2610844.408597467</v>
      </c>
      <c r="AV20" s="30">
        <v>4153738.228171377</v>
      </c>
      <c r="AW20" s="27">
        <v>-62833.818859301042</v>
      </c>
      <c r="AX20" s="27">
        <v>4153738.228171377</v>
      </c>
      <c r="AY20" s="51">
        <v>2673678.227456768</v>
      </c>
      <c r="BA20" s="30">
        <v>1855631.2138999999</v>
      </c>
      <c r="BB20" s="27">
        <v>1855631.2138999999</v>
      </c>
      <c r="BC20" s="27">
        <v>0</v>
      </c>
      <c r="BD20" s="51">
        <v>818047.01355676819</v>
      </c>
      <c r="BF20" s="30">
        <v>161566.03690000251</v>
      </c>
      <c r="BG20" s="27">
        <v>161566.03690000251</v>
      </c>
      <c r="BH20" s="27">
        <v>0</v>
      </c>
      <c r="BI20" s="51">
        <v>656480.97665676568</v>
      </c>
      <c r="BK20" s="30">
        <v>9306273.3495879415</v>
      </c>
      <c r="BL20" s="27">
        <v>656480.97665676568</v>
      </c>
      <c r="BM20" s="27">
        <v>8649792.3729311749</v>
      </c>
      <c r="BN20" s="51">
        <v>0</v>
      </c>
      <c r="BP20" s="30">
        <v>0</v>
      </c>
      <c r="BQ20" s="20">
        <v>0</v>
      </c>
      <c r="BR20" s="51">
        <v>0</v>
      </c>
      <c r="BT20" s="30">
        <v>2406433.0424106251</v>
      </c>
      <c r="BU20" s="51">
        <v>303053.91308460693</v>
      </c>
      <c r="BW20" s="221">
        <v>1855631.2138999999</v>
      </c>
      <c r="BX20" s="222">
        <v>161566.03690000251</v>
      </c>
    </row>
    <row r="21" spans="1:76" ht="16" x14ac:dyDescent="0.2">
      <c r="A21" s="113" t="s">
        <v>76</v>
      </c>
      <c r="B21" s="138">
        <v>72</v>
      </c>
      <c r="F21" s="151">
        <v>17</v>
      </c>
      <c r="G21" s="30">
        <v>3185614.33</v>
      </c>
      <c r="H21" s="28">
        <v>116808835.40593173</v>
      </c>
      <c r="I21" s="28">
        <v>26063912.236874864</v>
      </c>
      <c r="J21" s="28">
        <v>116808835.4059</v>
      </c>
      <c r="K21" s="28">
        <v>26063912.236900002</v>
      </c>
      <c r="L21" s="28">
        <v>8173148.6991374157</v>
      </c>
      <c r="M21" s="27">
        <v>4160661.1252183295</v>
      </c>
      <c r="N21" s="27">
        <v>500833.33333333331</v>
      </c>
      <c r="O21" s="51">
        <v>7847108.788551663</v>
      </c>
      <c r="P21" s="5"/>
      <c r="Q21" s="30">
        <v>41666.666666666664</v>
      </c>
      <c r="R21" s="27">
        <v>41666.666666666664</v>
      </c>
      <c r="S21" s="27">
        <v>0</v>
      </c>
      <c r="T21" s="51">
        <v>7805442.1218849961</v>
      </c>
      <c r="U21" s="5"/>
      <c r="V21" s="30">
        <v>0</v>
      </c>
      <c r="W21" s="51">
        <v>7304608.788551663</v>
      </c>
      <c r="Y21" s="30">
        <v>2266869.4098775317</v>
      </c>
      <c r="Z21" s="27">
        <v>2266869.4098775317</v>
      </c>
      <c r="AA21" s="27">
        <v>0</v>
      </c>
      <c r="AB21" s="51">
        <v>5764574.3046764433</v>
      </c>
      <c r="AD21" s="30">
        <v>809989.17448075721</v>
      </c>
      <c r="AE21" s="27">
        <v>809989.17448075721</v>
      </c>
      <c r="AF21" s="27">
        <v>0</v>
      </c>
      <c r="AG21" s="51">
        <v>4954585.1301956866</v>
      </c>
      <c r="AI21" s="30">
        <v>0</v>
      </c>
      <c r="AJ21" s="51">
        <v>2461004.2720392034</v>
      </c>
      <c r="AL21" s="43">
        <v>500000</v>
      </c>
      <c r="AM21" s="52">
        <v>-833.33333333331393</v>
      </c>
      <c r="AN21" s="53">
        <v>500000</v>
      </c>
      <c r="AO21" s="54">
        <v>2461837.6053725369</v>
      </c>
      <c r="AQ21" s="30">
        <v>21624.480932327937</v>
      </c>
      <c r="AR21" s="27">
        <v>21624.480932327937</v>
      </c>
      <c r="AS21" s="27">
        <v>0</v>
      </c>
      <c r="AT21" s="51">
        <v>2440213.124440209</v>
      </c>
      <c r="AV21" s="30">
        <v>4097660.3477647817</v>
      </c>
      <c r="AW21" s="27">
        <v>-63000.777453547809</v>
      </c>
      <c r="AX21" s="27">
        <v>4097660.3477647817</v>
      </c>
      <c r="AY21" s="51">
        <v>2503213.9018937568</v>
      </c>
      <c r="BA21" s="30">
        <v>1864119.757100001</v>
      </c>
      <c r="BB21" s="27">
        <v>1864119.757100001</v>
      </c>
      <c r="BC21" s="27">
        <v>0</v>
      </c>
      <c r="BD21" s="51">
        <v>639094.14479375584</v>
      </c>
      <c r="BF21" s="30">
        <v>162450.47099999711</v>
      </c>
      <c r="BG21" s="27">
        <v>162450.47099999711</v>
      </c>
      <c r="BH21" s="27">
        <v>0</v>
      </c>
      <c r="BI21" s="51">
        <v>476643.67379375873</v>
      </c>
      <c r="BK21" s="30">
        <v>8649792.3729311749</v>
      </c>
      <c r="BL21" s="27">
        <v>476643.67379375873</v>
      </c>
      <c r="BM21" s="27">
        <v>8173148.6991374157</v>
      </c>
      <c r="BN21" s="51">
        <v>0</v>
      </c>
      <c r="BP21" s="30">
        <v>0</v>
      </c>
      <c r="BQ21" s="20">
        <v>0</v>
      </c>
      <c r="BR21" s="51">
        <v>0</v>
      </c>
      <c r="BT21" s="30">
        <v>2406441.5635977453</v>
      </c>
      <c r="BU21" s="51">
        <v>303072.05579638295</v>
      </c>
      <c r="BW21" s="221">
        <v>1864119.757100001</v>
      </c>
      <c r="BX21" s="222">
        <v>162450.47099999711</v>
      </c>
    </row>
    <row r="22" spans="1:76" ht="16" x14ac:dyDescent="0.2">
      <c r="A22" s="125" t="s">
        <v>77</v>
      </c>
      <c r="B22" s="139">
        <v>132</v>
      </c>
      <c r="F22" s="151">
        <v>18</v>
      </c>
      <c r="G22" s="30">
        <v>3109883.45</v>
      </c>
      <c r="H22" s="28">
        <v>114936188.27499005</v>
      </c>
      <c r="I22" s="28">
        <v>25900572.490359675</v>
      </c>
      <c r="J22" s="28">
        <v>114936188.27500001</v>
      </c>
      <c r="K22" s="28">
        <v>25900572.490400001</v>
      </c>
      <c r="L22" s="28">
        <v>7770903.358139311</v>
      </c>
      <c r="M22" s="27">
        <v>4104489.7816777229</v>
      </c>
      <c r="N22" s="27">
        <v>500833.33333333331</v>
      </c>
      <c r="O22" s="51">
        <v>7715206.5650110561</v>
      </c>
      <c r="P22" s="5"/>
      <c r="Q22" s="30">
        <v>41666.666666666664</v>
      </c>
      <c r="R22" s="27">
        <v>41666.666666666664</v>
      </c>
      <c r="S22" s="27">
        <v>0</v>
      </c>
      <c r="T22" s="51">
        <v>7673539.8983443892</v>
      </c>
      <c r="U22" s="5"/>
      <c r="V22" s="30">
        <v>0</v>
      </c>
      <c r="W22" s="51">
        <v>7172706.5650110561</v>
      </c>
      <c r="Y22" s="30">
        <v>2262107.492701957</v>
      </c>
      <c r="Z22" s="27">
        <v>2262107.492701957</v>
      </c>
      <c r="AA22" s="27">
        <v>0</v>
      </c>
      <c r="AB22" s="51">
        <v>5479966.2868076321</v>
      </c>
      <c r="AD22" s="30">
        <v>809989.17448075721</v>
      </c>
      <c r="AE22" s="27">
        <v>809989.17448075721</v>
      </c>
      <c r="AF22" s="27">
        <v>0</v>
      </c>
      <c r="AG22" s="51">
        <v>4669977.1123268753</v>
      </c>
      <c r="AI22" s="30">
        <v>0</v>
      </c>
      <c r="AJ22" s="51">
        <v>2394663.239304984</v>
      </c>
      <c r="AL22" s="43">
        <v>500000</v>
      </c>
      <c r="AM22" s="52">
        <v>-833.33333333331393</v>
      </c>
      <c r="AN22" s="53">
        <v>500000</v>
      </c>
      <c r="AO22" s="54">
        <v>2395496.5726383175</v>
      </c>
      <c r="AQ22" s="30">
        <v>20432.871747843539</v>
      </c>
      <c r="AR22" s="27">
        <v>20432.871747843539</v>
      </c>
      <c r="AS22" s="27">
        <v>0</v>
      </c>
      <c r="AT22" s="51">
        <v>2375063.700890474</v>
      </c>
      <c r="AV22" s="30">
        <v>4041321.2641700963</v>
      </c>
      <c r="AW22" s="27">
        <v>-63168.517507626675</v>
      </c>
      <c r="AX22" s="27">
        <v>4041321.2641700963</v>
      </c>
      <c r="AY22" s="51">
        <v>2438232.2183981007</v>
      </c>
      <c r="BA22" s="30">
        <v>1872647.1308999956</v>
      </c>
      <c r="BB22" s="27">
        <v>1872647.1308999956</v>
      </c>
      <c r="BC22" s="27">
        <v>0</v>
      </c>
      <c r="BD22" s="51">
        <v>565585.08749810513</v>
      </c>
      <c r="BF22" s="30">
        <v>163339.74650000036</v>
      </c>
      <c r="BG22" s="27">
        <v>163339.74650000036</v>
      </c>
      <c r="BH22" s="27">
        <v>0</v>
      </c>
      <c r="BI22" s="51">
        <v>402245.34099810477</v>
      </c>
      <c r="BK22" s="30">
        <v>8173148.6991374157</v>
      </c>
      <c r="BL22" s="27">
        <v>402245.34099810477</v>
      </c>
      <c r="BM22" s="27">
        <v>7770903.358139311</v>
      </c>
      <c r="BN22" s="51">
        <v>0</v>
      </c>
      <c r="BP22" s="30">
        <v>0</v>
      </c>
      <c r="BQ22" s="20">
        <v>0</v>
      </c>
      <c r="BR22" s="51">
        <v>0</v>
      </c>
      <c r="BT22" s="30">
        <v>2406450.1237151278</v>
      </c>
      <c r="BU22" s="51">
        <v>303090.29771321773</v>
      </c>
      <c r="BW22" s="221">
        <v>1872647.1308999956</v>
      </c>
      <c r="BX22" s="222">
        <v>163339.74650000036</v>
      </c>
    </row>
    <row r="23" spans="1:76" ht="16" x14ac:dyDescent="0.2">
      <c r="A23" s="115" t="s">
        <v>78</v>
      </c>
      <c r="B23" s="121"/>
      <c r="F23" s="151">
        <v>19</v>
      </c>
      <c r="G23" s="30">
        <v>3120515.93</v>
      </c>
      <c r="H23" s="28">
        <v>113054974.76190603</v>
      </c>
      <c r="I23" s="28">
        <v>25736338.60029617</v>
      </c>
      <c r="J23" s="28">
        <v>113054974.76189999</v>
      </c>
      <c r="K23" s="28">
        <v>25736338.600299999</v>
      </c>
      <c r="L23" s="28">
        <v>7356878.339871373</v>
      </c>
      <c r="M23" s="27">
        <v>4048056.7996103796</v>
      </c>
      <c r="N23" s="27">
        <v>500833.33333333331</v>
      </c>
      <c r="O23" s="51">
        <v>7669406.0629437128</v>
      </c>
      <c r="P23" s="5"/>
      <c r="Q23" s="30">
        <v>41666.666666666664</v>
      </c>
      <c r="R23" s="27">
        <v>41666.666666666664</v>
      </c>
      <c r="S23" s="27">
        <v>0</v>
      </c>
      <c r="T23" s="51">
        <v>7627739.3962770458</v>
      </c>
      <c r="U23" s="5"/>
      <c r="V23" s="30">
        <v>0</v>
      </c>
      <c r="W23" s="51">
        <v>7126906.0629437128</v>
      </c>
      <c r="Y23" s="30">
        <v>2261886.3180267205</v>
      </c>
      <c r="Z23" s="27">
        <v>2261886.3180267205</v>
      </c>
      <c r="AA23" s="27">
        <v>0</v>
      </c>
      <c r="AB23" s="51">
        <v>5482352.9512059921</v>
      </c>
      <c r="AD23" s="30">
        <v>809989.17448075721</v>
      </c>
      <c r="AE23" s="27">
        <v>809989.17448075721</v>
      </c>
      <c r="AF23" s="27">
        <v>0</v>
      </c>
      <c r="AG23" s="51">
        <v>4672363.7767252345</v>
      </c>
      <c r="AI23" s="30">
        <v>0</v>
      </c>
      <c r="AJ23" s="51">
        <v>2414729.3038456556</v>
      </c>
      <c r="AL23" s="43">
        <v>500000</v>
      </c>
      <c r="AM23" s="52">
        <v>-833.33333333331393</v>
      </c>
      <c r="AN23" s="53">
        <v>500000</v>
      </c>
      <c r="AO23" s="54">
        <v>2415562.6371789891</v>
      </c>
      <c r="AQ23" s="30">
        <v>19427.258395348275</v>
      </c>
      <c r="AR23" s="27">
        <v>19427.258395348275</v>
      </c>
      <c r="AS23" s="27">
        <v>0</v>
      </c>
      <c r="AT23" s="51">
        <v>2396135.3787836409</v>
      </c>
      <c r="AV23" s="30">
        <v>3984719.7569260667</v>
      </c>
      <c r="AW23" s="27">
        <v>-63337.04268431291</v>
      </c>
      <c r="AX23" s="27">
        <v>3984719.7569260667</v>
      </c>
      <c r="AY23" s="51">
        <v>2459472.4214679538</v>
      </c>
      <c r="BA23" s="30">
        <v>1881213.5131000131</v>
      </c>
      <c r="BB23" s="27">
        <v>1881213.5131000131</v>
      </c>
      <c r="BC23" s="27">
        <v>0</v>
      </c>
      <c r="BD23" s="51">
        <v>578258.90836794069</v>
      </c>
      <c r="BF23" s="30">
        <v>164233.89010000229</v>
      </c>
      <c r="BG23" s="27">
        <v>164233.89010000229</v>
      </c>
      <c r="BH23" s="27">
        <v>0</v>
      </c>
      <c r="BI23" s="51">
        <v>414025.0182679384</v>
      </c>
      <c r="BK23" s="30">
        <v>7770903.358139311</v>
      </c>
      <c r="BL23" s="27">
        <v>414025.0182679384</v>
      </c>
      <c r="BM23" s="27">
        <v>7356878.339871373</v>
      </c>
      <c r="BN23" s="51">
        <v>0</v>
      </c>
      <c r="BP23" s="30">
        <v>0</v>
      </c>
      <c r="BQ23" s="20">
        <v>0</v>
      </c>
      <c r="BR23" s="51">
        <v>0</v>
      </c>
      <c r="BT23" s="30">
        <v>2406458.7231114088</v>
      </c>
      <c r="BU23" s="51">
        <v>303108.63957628451</v>
      </c>
      <c r="BW23" s="221">
        <v>1881213.5131000131</v>
      </c>
      <c r="BX23" s="222">
        <v>164233.89010000229</v>
      </c>
    </row>
    <row r="24" spans="1:76" ht="16" x14ac:dyDescent="0.2">
      <c r="A24" s="113" t="s">
        <v>185</v>
      </c>
      <c r="B24" s="114">
        <v>2406606.5879769395</v>
      </c>
      <c r="E24" s="236"/>
      <c r="F24" s="151">
        <v>20</v>
      </c>
      <c r="G24" s="30">
        <v>3275311.39</v>
      </c>
      <c r="H24" s="28">
        <v>111165155.6799574</v>
      </c>
      <c r="I24" s="28">
        <v>25571205.672023349</v>
      </c>
      <c r="J24" s="28">
        <v>111165155.68000001</v>
      </c>
      <c r="K24" s="28">
        <v>25571205.671999998</v>
      </c>
      <c r="L24" s="28">
        <v>6786880.5658769645</v>
      </c>
      <c r="M24" s="27">
        <v>3991360.9565209434</v>
      </c>
      <c r="N24" s="27">
        <v>500833.33333333331</v>
      </c>
      <c r="O24" s="51">
        <v>7767505.6798542766</v>
      </c>
      <c r="P24" s="5"/>
      <c r="Q24" s="30">
        <v>41666.666666666664</v>
      </c>
      <c r="R24" s="27">
        <v>41666.666666666664</v>
      </c>
      <c r="S24" s="27">
        <v>0</v>
      </c>
      <c r="T24" s="51">
        <v>7725839.0131876096</v>
      </c>
      <c r="U24" s="5"/>
      <c r="V24" s="30">
        <v>0</v>
      </c>
      <c r="W24" s="51">
        <v>7225005.6798542766</v>
      </c>
      <c r="Y24" s="30">
        <v>2261748.5931621296</v>
      </c>
      <c r="Z24" s="27">
        <v>2261748.5931621296</v>
      </c>
      <c r="AA24" s="27">
        <v>0</v>
      </c>
      <c r="AB24" s="51">
        <v>5729264.2667944925</v>
      </c>
      <c r="AD24" s="30">
        <v>809989.17448075721</v>
      </c>
      <c r="AE24" s="27">
        <v>809989.17448075721</v>
      </c>
      <c r="AF24" s="27">
        <v>0</v>
      </c>
      <c r="AG24" s="51">
        <v>4919275.0923137348</v>
      </c>
      <c r="AI24" s="30">
        <v>0</v>
      </c>
      <c r="AJ24" s="51">
        <v>2579002.2900271141</v>
      </c>
      <c r="AL24" s="43">
        <v>500000</v>
      </c>
      <c r="AM24" s="52">
        <v>-833.33333333331393</v>
      </c>
      <c r="AN24" s="53">
        <v>500000</v>
      </c>
      <c r="AO24" s="54">
        <v>2579835.6233604476</v>
      </c>
      <c r="AQ24" s="30">
        <v>18392.195849678432</v>
      </c>
      <c r="AR24" s="27">
        <v>18392.195849678432</v>
      </c>
      <c r="AS24" s="27">
        <v>0</v>
      </c>
      <c r="AT24" s="51">
        <v>2561443.4275107691</v>
      </c>
      <c r="AV24" s="30">
        <v>3927854.5998373176</v>
      </c>
      <c r="AW24" s="27">
        <v>-63506.35668362584</v>
      </c>
      <c r="AX24" s="27">
        <v>3927854.5998373176</v>
      </c>
      <c r="AY24" s="51">
        <v>2624949.7841943949</v>
      </c>
      <c r="BA24" s="30">
        <v>1889819.0818999857</v>
      </c>
      <c r="BB24" s="27">
        <v>1889819.0818999857</v>
      </c>
      <c r="BC24" s="27">
        <v>0</v>
      </c>
      <c r="BD24" s="51">
        <v>735130.70229440928</v>
      </c>
      <c r="BF24" s="30">
        <v>165132.92830000073</v>
      </c>
      <c r="BG24" s="27">
        <v>165132.92830000073</v>
      </c>
      <c r="BH24" s="27">
        <v>0</v>
      </c>
      <c r="BI24" s="51">
        <v>569997.77399440855</v>
      </c>
      <c r="BK24" s="30">
        <v>7356878.339871373</v>
      </c>
      <c r="BL24" s="27">
        <v>569997.77399440855</v>
      </c>
      <c r="BM24" s="27">
        <v>6786880.5658769645</v>
      </c>
      <c r="BN24" s="51">
        <v>0</v>
      </c>
      <c r="BP24" s="30">
        <v>0</v>
      </c>
      <c r="BQ24" s="20">
        <v>0</v>
      </c>
      <c r="BR24" s="51">
        <v>0</v>
      </c>
      <c r="BT24" s="30">
        <v>2406467.3617226025</v>
      </c>
      <c r="BU24" s="51">
        <v>303127.08178360341</v>
      </c>
      <c r="BW24" s="221">
        <v>1889819.0818999857</v>
      </c>
      <c r="BX24" s="222">
        <v>165132.92830000073</v>
      </c>
    </row>
    <row r="25" spans="1:76" ht="16" x14ac:dyDescent="0.2">
      <c r="A25" s="115" t="s">
        <v>186</v>
      </c>
      <c r="B25" s="116">
        <v>304016.68181627494</v>
      </c>
      <c r="F25" s="151">
        <v>21</v>
      </c>
      <c r="G25" s="30">
        <v>3402722.93</v>
      </c>
      <c r="H25" s="28">
        <v>109266691.66316314</v>
      </c>
      <c r="I25" s="28">
        <v>25405168.784086209</v>
      </c>
      <c r="J25" s="28">
        <v>109266691.66320001</v>
      </c>
      <c r="K25" s="28">
        <v>25405168.7841</v>
      </c>
      <c r="L25" s="28">
        <v>6087903.3722860673</v>
      </c>
      <c r="M25" s="27">
        <v>3934401.0241703796</v>
      </c>
      <c r="N25" s="27">
        <v>500833.33333333331</v>
      </c>
      <c r="O25" s="51">
        <v>7837957.2875037128</v>
      </c>
      <c r="P25" s="5"/>
      <c r="Q25" s="30">
        <v>41666.666666666664</v>
      </c>
      <c r="R25" s="27">
        <v>41666.666666666664</v>
      </c>
      <c r="S25" s="27">
        <v>0</v>
      </c>
      <c r="T25" s="51">
        <v>7796290.6208370458</v>
      </c>
      <c r="U25" s="5"/>
      <c r="V25" s="30">
        <v>0</v>
      </c>
      <c r="W25" s="51">
        <v>7295457.2875037128</v>
      </c>
      <c r="Y25" s="30">
        <v>2257896.6542659425</v>
      </c>
      <c r="Z25" s="27">
        <v>2257896.6542659425</v>
      </c>
      <c r="AA25" s="27">
        <v>0</v>
      </c>
      <c r="AB25" s="51">
        <v>5607246.9806850608</v>
      </c>
      <c r="AD25" s="30">
        <v>809989.17448075721</v>
      </c>
      <c r="AE25" s="27">
        <v>809989.17448075721</v>
      </c>
      <c r="AF25" s="27">
        <v>0</v>
      </c>
      <c r="AG25" s="51">
        <v>4797257.8062043041</v>
      </c>
      <c r="AI25" s="30">
        <v>0</v>
      </c>
      <c r="AJ25" s="51">
        <v>2715935.5031716968</v>
      </c>
      <c r="AL25" s="43">
        <v>500000</v>
      </c>
      <c r="AM25" s="52">
        <v>-833.33333333331393</v>
      </c>
      <c r="AN25" s="53">
        <v>500000</v>
      </c>
      <c r="AO25" s="54">
        <v>2716768.8365050303</v>
      </c>
      <c r="AQ25" s="30">
        <v>16967.201414692412</v>
      </c>
      <c r="AR25" s="27">
        <v>16967.201414692412</v>
      </c>
      <c r="AS25" s="27">
        <v>0</v>
      </c>
      <c r="AT25" s="51">
        <v>2699801.6350903381</v>
      </c>
      <c r="AV25" s="30">
        <v>3870724.5609698207</v>
      </c>
      <c r="AW25" s="27">
        <v>-63676.463200558908</v>
      </c>
      <c r="AX25" s="27">
        <v>3870724.5609698207</v>
      </c>
      <c r="AY25" s="51">
        <v>2763478.098290897</v>
      </c>
      <c r="BA25" s="30">
        <v>1898464.0168000013</v>
      </c>
      <c r="BB25" s="27">
        <v>1898464.0168000013</v>
      </c>
      <c r="BC25" s="27">
        <v>0</v>
      </c>
      <c r="BD25" s="51">
        <v>865014.08149089571</v>
      </c>
      <c r="BF25" s="30">
        <v>166036.88789999858</v>
      </c>
      <c r="BG25" s="27">
        <v>166036.88789999858</v>
      </c>
      <c r="BH25" s="27">
        <v>0</v>
      </c>
      <c r="BI25" s="51">
        <v>698977.19359089714</v>
      </c>
      <c r="BK25" s="30">
        <v>6786880.5658769645</v>
      </c>
      <c r="BL25" s="27">
        <v>698977.19359089714</v>
      </c>
      <c r="BM25" s="27">
        <v>6087903.3722860673</v>
      </c>
      <c r="BN25" s="51">
        <v>0</v>
      </c>
      <c r="BP25" s="30">
        <v>0</v>
      </c>
      <c r="BQ25" s="20">
        <v>0</v>
      </c>
      <c r="BR25" s="51">
        <v>0</v>
      </c>
      <c r="BT25" s="30">
        <v>2406476.039970526</v>
      </c>
      <c r="BU25" s="51">
        <v>303145.6248911107</v>
      </c>
      <c r="BW25" s="221">
        <v>1898464.0168000013</v>
      </c>
      <c r="BX25" s="222">
        <v>166036.88789999858</v>
      </c>
    </row>
    <row r="26" spans="1:76" ht="16" x14ac:dyDescent="0.2">
      <c r="A26" s="123"/>
      <c r="B26" s="124"/>
      <c r="F26" s="151">
        <v>22</v>
      </c>
      <c r="G26" s="30">
        <v>3431952.53</v>
      </c>
      <c r="H26" s="28">
        <v>107359543.16546337</v>
      </c>
      <c r="I26" s="28">
        <v>25238222.988089021</v>
      </c>
      <c r="J26" s="28">
        <v>107359543.1655</v>
      </c>
      <c r="K26" s="28">
        <v>25238222.9881</v>
      </c>
      <c r="L26" s="28">
        <v>5357805.5955518782</v>
      </c>
      <c r="M26" s="27">
        <v>3877175.7685714369</v>
      </c>
      <c r="N26" s="27">
        <v>500833.33333333331</v>
      </c>
      <c r="O26" s="51">
        <v>7809961.6319047697</v>
      </c>
      <c r="P26" s="5"/>
      <c r="Q26" s="30">
        <v>41666.666666666664</v>
      </c>
      <c r="R26" s="27">
        <v>41666.666666666664</v>
      </c>
      <c r="S26" s="27">
        <v>0</v>
      </c>
      <c r="T26" s="51">
        <v>7768294.9652381027</v>
      </c>
      <c r="U26" s="5"/>
      <c r="V26" s="30">
        <v>0</v>
      </c>
      <c r="W26" s="51">
        <v>7267461.6319047697</v>
      </c>
      <c r="Y26" s="30">
        <v>2256060.7625078959</v>
      </c>
      <c r="Z26" s="27">
        <v>2256060.7625078959</v>
      </c>
      <c r="AA26" s="27">
        <v>0</v>
      </c>
      <c r="AB26" s="51">
        <v>5798370.3775088908</v>
      </c>
      <c r="AD26" s="30">
        <v>809989.17448075721</v>
      </c>
      <c r="AE26" s="27">
        <v>809989.17448075721</v>
      </c>
      <c r="AF26" s="27">
        <v>0</v>
      </c>
      <c r="AG26" s="51">
        <v>4988381.2030281331</v>
      </c>
      <c r="AI26" s="30">
        <v>0</v>
      </c>
      <c r="AJ26" s="51">
        <v>2754731.129565734</v>
      </c>
      <c r="AL26" s="43">
        <v>500000</v>
      </c>
      <c r="AM26" s="52">
        <v>-833.33333333331393</v>
      </c>
      <c r="AN26" s="53">
        <v>500000</v>
      </c>
      <c r="AO26" s="54">
        <v>2755564.4628990674</v>
      </c>
      <c r="AQ26" s="30">
        <v>15219.758430715168</v>
      </c>
      <c r="AR26" s="27">
        <v>15219.758430715168</v>
      </c>
      <c r="AS26" s="27">
        <v>0</v>
      </c>
      <c r="AT26" s="51">
        <v>2740344.7044683523</v>
      </c>
      <c r="AV26" s="30">
        <v>3813328.4026055946</v>
      </c>
      <c r="AW26" s="27">
        <v>-63847.365965842269</v>
      </c>
      <c r="AX26" s="27">
        <v>3813328.4026055946</v>
      </c>
      <c r="AY26" s="51">
        <v>2804192.0704341945</v>
      </c>
      <c r="BA26" s="30">
        <v>1907148.4977000058</v>
      </c>
      <c r="BB26" s="27">
        <v>1907148.4977000058</v>
      </c>
      <c r="BC26" s="27">
        <v>0</v>
      </c>
      <c r="BD26" s="51">
        <v>897043.57273418875</v>
      </c>
      <c r="BF26" s="30">
        <v>166945.79600000009</v>
      </c>
      <c r="BG26" s="27">
        <v>166945.79600000009</v>
      </c>
      <c r="BH26" s="27">
        <v>0</v>
      </c>
      <c r="BI26" s="51">
        <v>730097.77673418866</v>
      </c>
      <c r="BK26" s="30">
        <v>6087903.3722860673</v>
      </c>
      <c r="BL26" s="27">
        <v>730097.77673418866</v>
      </c>
      <c r="BM26" s="27">
        <v>5357805.5955518782</v>
      </c>
      <c r="BN26" s="51">
        <v>0</v>
      </c>
      <c r="BP26" s="30">
        <v>0</v>
      </c>
      <c r="BQ26" s="20">
        <v>0</v>
      </c>
      <c r="BR26" s="51">
        <v>0</v>
      </c>
      <c r="BT26" s="30">
        <v>2406484.7578565581</v>
      </c>
      <c r="BU26" s="51">
        <v>303164.26961104677</v>
      </c>
      <c r="BW26" s="221">
        <v>1907148.4977000058</v>
      </c>
      <c r="BX26" s="222">
        <v>166945.79600000009</v>
      </c>
    </row>
    <row r="27" spans="1:76" ht="16" x14ac:dyDescent="0.2">
      <c r="A27" s="123"/>
      <c r="B27" s="124"/>
      <c r="F27" s="151">
        <v>23</v>
      </c>
      <c r="G27" s="30">
        <v>2817739.63</v>
      </c>
      <c r="H27" s="28">
        <v>105443670.4598957</v>
      </c>
      <c r="I27" s="28">
        <v>25070363.30854791</v>
      </c>
      <c r="J27" s="28">
        <v>105443670.45990001</v>
      </c>
      <c r="K27" s="28">
        <v>25070363.308499999</v>
      </c>
      <c r="L27" s="28">
        <v>5239951.2762232535</v>
      </c>
      <c r="M27" s="27">
        <v>3819683.9499432705</v>
      </c>
      <c r="N27" s="27">
        <v>500833.33333333331</v>
      </c>
      <c r="O27" s="51">
        <v>7138256.9132766034</v>
      </c>
      <c r="P27" s="5"/>
      <c r="Q27" s="30">
        <v>41666.666666666664</v>
      </c>
      <c r="R27" s="27">
        <v>41666.666666666664</v>
      </c>
      <c r="S27" s="27">
        <v>0</v>
      </c>
      <c r="T27" s="51">
        <v>7096590.2466099365</v>
      </c>
      <c r="U27" s="5"/>
      <c r="V27" s="30">
        <v>0</v>
      </c>
      <c r="W27" s="51">
        <v>6595756.9132766034</v>
      </c>
      <c r="Y27" s="30">
        <v>2251377.5363762416</v>
      </c>
      <c r="Z27" s="27">
        <v>2251377.5363762416</v>
      </c>
      <c r="AA27" s="27">
        <v>0</v>
      </c>
      <c r="AB27" s="51">
        <v>5239204.4683059314</v>
      </c>
      <c r="AD27" s="30">
        <v>809989.17448075721</v>
      </c>
      <c r="AE27" s="27">
        <v>809989.17448075721</v>
      </c>
      <c r="AF27" s="27">
        <v>0</v>
      </c>
      <c r="AG27" s="51">
        <v>4429215.2938251738</v>
      </c>
      <c r="AI27" s="30">
        <v>0</v>
      </c>
      <c r="AJ27" s="51">
        <v>2150128.8164629843</v>
      </c>
      <c r="AL27" s="43">
        <v>500000</v>
      </c>
      <c r="AM27" s="52">
        <v>-833.33333333331393</v>
      </c>
      <c r="AN27" s="53">
        <v>500000</v>
      </c>
      <c r="AO27" s="54">
        <v>2150962.1497963178</v>
      </c>
      <c r="AQ27" s="30">
        <v>13394.513988879695</v>
      </c>
      <c r="AR27" s="27">
        <v>13394.513988879695</v>
      </c>
      <c r="AS27" s="27">
        <v>0</v>
      </c>
      <c r="AT27" s="51">
        <v>2137567.6358074383</v>
      </c>
      <c r="AV27" s="30">
        <v>3755664.8812220898</v>
      </c>
      <c r="AW27" s="27">
        <v>-64019.068721180782</v>
      </c>
      <c r="AX27" s="27">
        <v>3755664.8812220898</v>
      </c>
      <c r="AY27" s="51">
        <v>2201586.7045286191</v>
      </c>
      <c r="BA27" s="30">
        <v>1915872.7055999935</v>
      </c>
      <c r="BB27" s="27">
        <v>1915872.7055999935</v>
      </c>
      <c r="BC27" s="27">
        <v>0</v>
      </c>
      <c r="BD27" s="51">
        <v>285713.9989286256</v>
      </c>
      <c r="BF27" s="30">
        <v>167859.67960000038</v>
      </c>
      <c r="BG27" s="27">
        <v>167859.67960000038</v>
      </c>
      <c r="BH27" s="27">
        <v>0</v>
      </c>
      <c r="BI27" s="51">
        <v>117854.31932862522</v>
      </c>
      <c r="BK27" s="30">
        <v>5357805.5955518782</v>
      </c>
      <c r="BL27" s="27">
        <v>117854.31932862522</v>
      </c>
      <c r="BM27" s="27">
        <v>5239951.2762232535</v>
      </c>
      <c r="BN27" s="51">
        <v>0</v>
      </c>
      <c r="BP27" s="30">
        <v>0</v>
      </c>
      <c r="BQ27" s="20">
        <v>0</v>
      </c>
      <c r="BR27" s="51">
        <v>0</v>
      </c>
      <c r="BT27" s="30">
        <v>2406493.5156600052</v>
      </c>
      <c r="BU27" s="51">
        <v>303183.01641033683</v>
      </c>
      <c r="BW27" s="221">
        <v>1915872.7055999935</v>
      </c>
      <c r="BX27" s="222">
        <v>167859.67960000038</v>
      </c>
    </row>
    <row r="28" spans="1:76" ht="16" x14ac:dyDescent="0.2">
      <c r="A28" s="123"/>
      <c r="B28" s="124"/>
      <c r="F28" s="151">
        <v>24</v>
      </c>
      <c r="G28" s="30">
        <v>79894638</v>
      </c>
      <c r="H28" s="28">
        <v>103519033.63776766</v>
      </c>
      <c r="I28" s="28">
        <v>24901584.742742501</v>
      </c>
      <c r="J28" s="28">
        <v>103519033.63779999</v>
      </c>
      <c r="K28" s="28">
        <v>24901584.742699999</v>
      </c>
      <c r="L28" s="28">
        <v>0</v>
      </c>
      <c r="M28" s="27">
        <v>3761924.3226907933</v>
      </c>
      <c r="N28" s="27">
        <v>500833.33333333331</v>
      </c>
      <c r="O28" s="51">
        <v>84157395.656024128</v>
      </c>
      <c r="P28" s="5"/>
      <c r="Q28" s="30">
        <v>35000</v>
      </c>
      <c r="R28" s="27">
        <v>35000</v>
      </c>
      <c r="S28" s="27">
        <v>0</v>
      </c>
      <c r="T28" s="51">
        <v>84122395.656024128</v>
      </c>
      <c r="U28" s="5"/>
      <c r="V28" s="30">
        <v>0</v>
      </c>
      <c r="W28" s="51">
        <v>83621562.3226908</v>
      </c>
      <c r="Y28" s="30">
        <v>2251377.5363762416</v>
      </c>
      <c r="Z28" s="27">
        <v>2251377.5363762416</v>
      </c>
      <c r="AA28" s="27">
        <v>0</v>
      </c>
      <c r="AB28" s="51">
        <v>28519669.971327577</v>
      </c>
      <c r="AD28" s="30">
        <v>809989.17448075721</v>
      </c>
      <c r="AE28" s="27">
        <v>809989.17448075721</v>
      </c>
      <c r="AF28" s="27">
        <v>0</v>
      </c>
      <c r="AG28" s="51">
        <v>27709680.796846818</v>
      </c>
      <c r="AI28" s="30">
        <v>0</v>
      </c>
      <c r="AJ28" s="51">
        <v>79243349.208755791</v>
      </c>
      <c r="AL28" s="43">
        <v>420000</v>
      </c>
      <c r="AM28" s="52">
        <v>-80833.333333333314</v>
      </c>
      <c r="AN28" s="53">
        <v>420000</v>
      </c>
      <c r="AO28" s="54">
        <v>79324182.54208912</v>
      </c>
      <c r="AQ28" s="30">
        <v>13099.878190558133</v>
      </c>
      <c r="AR28" s="27">
        <v>13099.878190558133</v>
      </c>
      <c r="AS28" s="27">
        <v>0</v>
      </c>
      <c r="AT28" s="51">
        <v>79311082.663898557</v>
      </c>
      <c r="AV28" s="30">
        <v>3697732.7474652436</v>
      </c>
      <c r="AW28" s="27">
        <v>-64191.57522554975</v>
      </c>
      <c r="AX28" s="27">
        <v>3697732.7474652436</v>
      </c>
      <c r="AY28" s="51">
        <v>79375274.239124104</v>
      </c>
      <c r="BA28" s="30">
        <v>1924636.8221000135</v>
      </c>
      <c r="BB28" s="27">
        <v>1924636.8221000135</v>
      </c>
      <c r="BC28" s="27">
        <v>0</v>
      </c>
      <c r="BD28" s="51">
        <v>77450637.417024091</v>
      </c>
      <c r="BF28" s="30">
        <v>168778.56579999998</v>
      </c>
      <c r="BG28" s="27">
        <v>168778.56579999998</v>
      </c>
      <c r="BH28" s="27">
        <v>0</v>
      </c>
      <c r="BI28" s="51">
        <v>77281858.851224095</v>
      </c>
      <c r="BK28" s="30">
        <v>5239951.2762232535</v>
      </c>
      <c r="BL28" s="27">
        <v>5239951.2762232535</v>
      </c>
      <c r="BM28" s="27">
        <v>0</v>
      </c>
      <c r="BN28" s="51">
        <v>72041907.575000837</v>
      </c>
      <c r="BP28" s="30">
        <v>72041907.575000837</v>
      </c>
      <c r="BQ28" s="20">
        <v>72041907.575000837</v>
      </c>
      <c r="BR28" s="51">
        <v>0</v>
      </c>
      <c r="BT28" s="30">
        <v>2406502.3134330786</v>
      </c>
      <c r="BU28" s="51">
        <v>303201.86571114208</v>
      </c>
      <c r="BW28" s="221">
        <v>1924636.8221000135</v>
      </c>
      <c r="BX28" s="222">
        <v>168778.56579999998</v>
      </c>
    </row>
    <row r="29" spans="1:76" ht="16" x14ac:dyDescent="0.2">
      <c r="A29" s="123"/>
      <c r="B29" s="124"/>
      <c r="F29" s="151">
        <v>25</v>
      </c>
      <c r="G29" s="30">
        <v>2632597.61</v>
      </c>
      <c r="H29" s="28">
        <v>101585592.60782535</v>
      </c>
      <c r="I29" s="28">
        <v>24731882.260566898</v>
      </c>
      <c r="J29" s="28">
        <v>101585592.60780001</v>
      </c>
      <c r="K29" s="28">
        <v>24778951.731140412</v>
      </c>
      <c r="L29" s="28">
        <v>0</v>
      </c>
      <c r="M29" s="27">
        <v>3703895.6353776855</v>
      </c>
      <c r="N29" s="27">
        <v>420700</v>
      </c>
      <c r="O29" s="51">
        <v>6757193.2453776859</v>
      </c>
      <c r="P29" s="5"/>
      <c r="Q29" s="30">
        <v>35000</v>
      </c>
      <c r="R29" s="27">
        <v>35000</v>
      </c>
      <c r="S29" s="27">
        <v>0</v>
      </c>
      <c r="T29" s="51">
        <v>6722193.2453776859</v>
      </c>
      <c r="U29" s="5"/>
      <c r="V29" s="30">
        <v>0</v>
      </c>
      <c r="W29" s="51">
        <v>6301493.2453776859</v>
      </c>
      <c r="Y29" s="30">
        <v>1889908.7767987018</v>
      </c>
      <c r="Z29" s="27">
        <v>1889908.7767987018</v>
      </c>
      <c r="AA29" s="27">
        <v>0</v>
      </c>
      <c r="AB29" s="51">
        <v>5139713.2637599176</v>
      </c>
      <c r="AD29" s="30">
        <v>809989.17448075721</v>
      </c>
      <c r="AE29" s="27">
        <v>809989.17448075721</v>
      </c>
      <c r="AF29" s="27">
        <v>0</v>
      </c>
      <c r="AG29" s="51">
        <v>4329724.0892791599</v>
      </c>
      <c r="AI29" s="30">
        <v>0</v>
      </c>
      <c r="AJ29" s="51">
        <v>1991009.1523116985</v>
      </c>
      <c r="AL29" s="43">
        <v>420000</v>
      </c>
      <c r="AM29" s="52">
        <v>-700</v>
      </c>
      <c r="AN29" s="53">
        <v>420000</v>
      </c>
      <c r="AO29" s="54">
        <v>1991709.1523116985</v>
      </c>
      <c r="AQ29" s="30">
        <v>0</v>
      </c>
      <c r="AR29" s="27">
        <v>0</v>
      </c>
      <c r="AS29" s="27">
        <v>0</v>
      </c>
      <c r="AT29" s="51">
        <v>1991709.1523116985</v>
      </c>
      <c r="AV29" s="30">
        <v>3639530.7461298099</v>
      </c>
      <c r="AW29" s="27">
        <v>-64364.889247875661</v>
      </c>
      <c r="AX29" s="27">
        <v>3639530.7461298099</v>
      </c>
      <c r="AY29" s="51">
        <v>2056074.0415595742</v>
      </c>
      <c r="BA29" s="30">
        <v>1933441.0299999863</v>
      </c>
      <c r="BB29" s="27">
        <v>1933441.0299999863</v>
      </c>
      <c r="BC29" s="27">
        <v>0</v>
      </c>
      <c r="BD29" s="51">
        <v>122633.0115595879</v>
      </c>
      <c r="BF29" s="30">
        <v>169702.48209999874</v>
      </c>
      <c r="BG29" s="27">
        <v>122633.0115595879</v>
      </c>
      <c r="BH29" s="27">
        <v>47069.470540410839</v>
      </c>
      <c r="BI29" s="51">
        <v>0</v>
      </c>
      <c r="BK29" s="30">
        <v>0</v>
      </c>
      <c r="BL29" s="27">
        <v>0</v>
      </c>
      <c r="BM29" s="27">
        <v>0</v>
      </c>
      <c r="BN29" s="51">
        <v>0</v>
      </c>
      <c r="BP29" s="30">
        <v>0</v>
      </c>
      <c r="BQ29" s="20">
        <v>72041907.575000837</v>
      </c>
      <c r="BR29" s="51">
        <v>0</v>
      </c>
      <c r="BT29" s="30">
        <v>2406511.1515979697</v>
      </c>
      <c r="BU29" s="51">
        <v>256151.34764990598</v>
      </c>
      <c r="BW29" s="221">
        <v>1933441.0299999863</v>
      </c>
      <c r="BX29" s="222">
        <v>122633.01155958697</v>
      </c>
    </row>
    <row r="30" spans="1:76" ht="16" x14ac:dyDescent="0.2">
      <c r="A30" s="113" t="s">
        <v>79</v>
      </c>
      <c r="B30" s="119" t="s">
        <v>82</v>
      </c>
      <c r="F30" s="151">
        <v>26</v>
      </c>
      <c r="G30" s="30">
        <v>2353238.9900000002</v>
      </c>
      <c r="H30" s="28">
        <v>99643307.095418349</v>
      </c>
      <c r="I30" s="28">
        <v>24561250.804379702</v>
      </c>
      <c r="J30" s="28">
        <v>99800724.192319006</v>
      </c>
      <c r="K30" s="28">
        <v>24778951.731140412</v>
      </c>
      <c r="L30" s="28">
        <v>0</v>
      </c>
      <c r="M30" s="27">
        <v>3645596.630706693</v>
      </c>
      <c r="N30" s="27">
        <v>420700</v>
      </c>
      <c r="O30" s="51">
        <v>6419535.6207066933</v>
      </c>
      <c r="P30" s="5"/>
      <c r="Q30" s="30">
        <v>35000</v>
      </c>
      <c r="R30" s="27">
        <v>35000</v>
      </c>
      <c r="S30" s="27">
        <v>0</v>
      </c>
      <c r="T30" s="51">
        <v>6384535.6207066933</v>
      </c>
      <c r="U30" s="5"/>
      <c r="V30" s="30">
        <v>0</v>
      </c>
      <c r="W30" s="51">
        <v>5963835.6207066933</v>
      </c>
      <c r="Y30" s="30">
        <v>1889908.7767987018</v>
      </c>
      <c r="Z30" s="27">
        <v>1889908.7767987018</v>
      </c>
      <c r="AA30" s="27">
        <v>0</v>
      </c>
      <c r="AB30" s="51">
        <v>5018330.7175603462</v>
      </c>
      <c r="AD30" s="30">
        <v>809989.17448075721</v>
      </c>
      <c r="AE30" s="27">
        <v>809989.17448075721</v>
      </c>
      <c r="AF30" s="27">
        <v>0</v>
      </c>
      <c r="AG30" s="51">
        <v>4208341.5430795886</v>
      </c>
      <c r="AI30" s="30">
        <v>0</v>
      </c>
      <c r="AJ30" s="51">
        <v>1721143.6749677593</v>
      </c>
      <c r="AL30" s="43">
        <v>420000</v>
      </c>
      <c r="AM30" s="52">
        <v>-700</v>
      </c>
      <c r="AN30" s="53">
        <v>420000</v>
      </c>
      <c r="AO30" s="54">
        <v>1721843.6749677593</v>
      </c>
      <c r="AQ30" s="30">
        <v>0</v>
      </c>
      <c r="AR30" s="27">
        <v>0</v>
      </c>
      <c r="AS30" s="27">
        <v>0</v>
      </c>
      <c r="AT30" s="51">
        <v>1721843.6749677593</v>
      </c>
      <c r="AV30" s="30">
        <v>3582571.8901934465</v>
      </c>
      <c r="AW30" s="27">
        <v>-63024.740513246506</v>
      </c>
      <c r="AX30" s="27">
        <v>3582571.8901934465</v>
      </c>
      <c r="AY30" s="51">
        <v>1784868.4154810058</v>
      </c>
      <c r="BA30" s="30">
        <v>1942285.5124000013</v>
      </c>
      <c r="BB30" s="27">
        <v>1784868.4154810058</v>
      </c>
      <c r="BC30" s="27">
        <v>157417.09691899549</v>
      </c>
      <c r="BD30" s="51">
        <v>0</v>
      </c>
      <c r="BF30" s="30">
        <v>217700.92674041167</v>
      </c>
      <c r="BG30" s="27">
        <v>0</v>
      </c>
      <c r="BH30" s="27">
        <v>217700.92674041167</v>
      </c>
      <c r="BI30" s="51">
        <v>0</v>
      </c>
      <c r="BK30" s="30">
        <v>0</v>
      </c>
      <c r="BL30" s="27">
        <v>0</v>
      </c>
      <c r="BM30" s="27">
        <v>0</v>
      </c>
      <c r="BN30" s="51">
        <v>0</v>
      </c>
      <c r="BP30" s="30">
        <v>0</v>
      </c>
      <c r="BQ30" s="20">
        <v>72041907.575000837</v>
      </c>
      <c r="BR30" s="51">
        <v>0</v>
      </c>
      <c r="BT30" s="30">
        <v>2249102.9331226689</v>
      </c>
      <c r="BU30" s="51">
        <v>132860.79739057808</v>
      </c>
      <c r="BW30" s="221">
        <v>1784868.4154810011</v>
      </c>
      <c r="BX30" s="222">
        <v>0</v>
      </c>
    </row>
    <row r="31" spans="1:76" ht="16" x14ac:dyDescent="0.2">
      <c r="A31" s="125" t="s">
        <v>80</v>
      </c>
      <c r="B31" s="126" t="s">
        <v>83</v>
      </c>
      <c r="F31" s="151">
        <v>27</v>
      </c>
      <c r="G31" s="30">
        <v>2580596.11</v>
      </c>
      <c r="H31" s="28">
        <v>97692136.641660735</v>
      </c>
      <c r="I31" s="28">
        <v>24389685.28885334</v>
      </c>
      <c r="J31" s="28">
        <v>97788455.935271785</v>
      </c>
      <c r="K31" s="28">
        <v>24778951.731140412</v>
      </c>
      <c r="L31" s="28">
        <v>0</v>
      </c>
      <c r="M31" s="27">
        <v>3588542.8433437687</v>
      </c>
      <c r="N31" s="27">
        <v>420700</v>
      </c>
      <c r="O31" s="51">
        <v>6589838.9533437686</v>
      </c>
      <c r="P31" s="5"/>
      <c r="Q31" s="30">
        <v>35000</v>
      </c>
      <c r="R31" s="27">
        <v>35000</v>
      </c>
      <c r="S31" s="27">
        <v>0</v>
      </c>
      <c r="T31" s="51">
        <v>6554838.9533437686</v>
      </c>
      <c r="U31" s="5"/>
      <c r="V31" s="30">
        <v>0</v>
      </c>
      <c r="W31" s="51">
        <v>6134138.9533437686</v>
      </c>
      <c r="Y31" s="30">
        <v>1889908.7767987018</v>
      </c>
      <c r="Z31" s="27">
        <v>1889908.7767987018</v>
      </c>
      <c r="AA31" s="27">
        <v>0</v>
      </c>
      <c r="AB31" s="51">
        <v>4560871.8617651993</v>
      </c>
      <c r="AD31" s="30">
        <v>809989.17448075721</v>
      </c>
      <c r="AE31" s="27">
        <v>809989.17448075721</v>
      </c>
      <c r="AF31" s="27">
        <v>0</v>
      </c>
      <c r="AG31" s="51">
        <v>3750882.6872844421</v>
      </c>
      <c r="AI31" s="30">
        <v>0</v>
      </c>
      <c r="AJ31" s="51">
        <v>1956657.4391004923</v>
      </c>
      <c r="AL31" s="43">
        <v>420000</v>
      </c>
      <c r="AM31" s="52">
        <v>-700</v>
      </c>
      <c r="AN31" s="53">
        <v>420000</v>
      </c>
      <c r="AO31" s="54">
        <v>1957357.4391004923</v>
      </c>
      <c r="AQ31" s="30">
        <v>0</v>
      </c>
      <c r="AR31" s="27">
        <v>0</v>
      </c>
      <c r="AS31" s="27">
        <v>0</v>
      </c>
      <c r="AT31" s="51">
        <v>1957357.4391004923</v>
      </c>
      <c r="AV31" s="30">
        <v>3533632.0253970455</v>
      </c>
      <c r="AW31" s="27">
        <v>-54910.817946723197</v>
      </c>
      <c r="AX31" s="27">
        <v>3533632.0253970455</v>
      </c>
      <c r="AY31" s="51">
        <v>2012268.2570472155</v>
      </c>
      <c r="BA31" s="30">
        <v>2108587.5506190062</v>
      </c>
      <c r="BB31" s="27">
        <v>2012268.2570472155</v>
      </c>
      <c r="BC31" s="27">
        <v>96319.29357179068</v>
      </c>
      <c r="BD31" s="51">
        <v>0</v>
      </c>
      <c r="BF31" s="30">
        <v>389266.44224041328</v>
      </c>
      <c r="BG31" s="27">
        <v>0</v>
      </c>
      <c r="BH31" s="27">
        <v>389266.44224041328</v>
      </c>
      <c r="BI31" s="51">
        <v>0</v>
      </c>
      <c r="BK31" s="30">
        <v>0</v>
      </c>
      <c r="BL31" s="27">
        <v>0</v>
      </c>
      <c r="BM31" s="27">
        <v>0</v>
      </c>
      <c r="BN31" s="51">
        <v>0</v>
      </c>
      <c r="BP31" s="30">
        <v>0</v>
      </c>
      <c r="BQ31" s="20">
        <v>72041907.575000837</v>
      </c>
      <c r="BR31" s="51">
        <v>0</v>
      </c>
      <c r="BT31" s="30">
        <v>2468346.1305561452</v>
      </c>
      <c r="BU31" s="51">
        <v>132860.79739057808</v>
      </c>
      <c r="BW31" s="221">
        <v>2012268.2570472211</v>
      </c>
      <c r="BX31" s="222">
        <v>0</v>
      </c>
    </row>
    <row r="32" spans="1:76" ht="16" x14ac:dyDescent="0.2">
      <c r="A32" s="115" t="s">
        <v>81</v>
      </c>
      <c r="B32" s="121"/>
      <c r="F32" s="151">
        <v>28</v>
      </c>
      <c r="G32" s="30">
        <v>2609595.02</v>
      </c>
      <c r="H32" s="28">
        <v>95732040.602588236</v>
      </c>
      <c r="I32" s="28">
        <v>24217180.600822452</v>
      </c>
      <c r="J32" s="28">
        <v>95732040.602599993</v>
      </c>
      <c r="K32" s="28">
        <v>24778750.48054428</v>
      </c>
      <c r="L32" s="28">
        <v>0</v>
      </c>
      <c r="M32" s="27">
        <v>3539521.4121060404</v>
      </c>
      <c r="N32" s="27">
        <v>420700</v>
      </c>
      <c r="O32" s="51">
        <v>6569816.4321060404</v>
      </c>
      <c r="P32" s="5"/>
      <c r="Q32" s="30">
        <v>35000</v>
      </c>
      <c r="R32" s="27">
        <v>35000</v>
      </c>
      <c r="S32" s="27">
        <v>0</v>
      </c>
      <c r="T32" s="51">
        <v>6534816.4321060404</v>
      </c>
      <c r="U32" s="5"/>
      <c r="V32" s="30">
        <v>0</v>
      </c>
      <c r="W32" s="51">
        <v>6114116.4321060404</v>
      </c>
      <c r="Y32" s="30">
        <v>1889908.7767987018</v>
      </c>
      <c r="Z32" s="27">
        <v>1889908.7767987018</v>
      </c>
      <c r="AA32" s="27">
        <v>0</v>
      </c>
      <c r="AB32" s="51">
        <v>4667250.3235050002</v>
      </c>
      <c r="AD32" s="30">
        <v>809989.17448075721</v>
      </c>
      <c r="AE32" s="27">
        <v>809989.17448075721</v>
      </c>
      <c r="AF32" s="27">
        <v>0</v>
      </c>
      <c r="AG32" s="51">
        <v>3857261.149024243</v>
      </c>
      <c r="AI32" s="30">
        <v>0</v>
      </c>
      <c r="AJ32" s="51">
        <v>1994852.1844516979</v>
      </c>
      <c r="AL32" s="43">
        <v>420000</v>
      </c>
      <c r="AM32" s="52">
        <v>-700</v>
      </c>
      <c r="AN32" s="53">
        <v>420000</v>
      </c>
      <c r="AO32" s="54">
        <v>1995552.1844516979</v>
      </c>
      <c r="AQ32" s="30">
        <v>0</v>
      </c>
      <c r="AR32" s="27">
        <v>0</v>
      </c>
      <c r="AS32" s="27">
        <v>0</v>
      </c>
      <c r="AT32" s="51">
        <v>1995552.1844516979</v>
      </c>
      <c r="AV32" s="30">
        <v>3478457.0132898139</v>
      </c>
      <c r="AW32" s="27">
        <v>-61064.398816226516</v>
      </c>
      <c r="AX32" s="27">
        <v>3478457.0132898139</v>
      </c>
      <c r="AY32" s="51">
        <v>2056616.5832679244</v>
      </c>
      <c r="BA32" s="30">
        <v>2056415.3326717913</v>
      </c>
      <c r="BB32" s="27">
        <v>2056415.3326717913</v>
      </c>
      <c r="BC32" s="27">
        <v>0</v>
      </c>
      <c r="BD32" s="51">
        <v>201.25059613306075</v>
      </c>
      <c r="BF32" s="30">
        <v>561771.13034041226</v>
      </c>
      <c r="BG32" s="27">
        <v>201.25059613306075</v>
      </c>
      <c r="BH32" s="27">
        <v>561569.8797442792</v>
      </c>
      <c r="BI32" s="51">
        <v>0</v>
      </c>
      <c r="BK32" s="30">
        <v>0</v>
      </c>
      <c r="BL32" s="27">
        <v>0</v>
      </c>
      <c r="BM32" s="27">
        <v>0</v>
      </c>
      <c r="BN32" s="51">
        <v>0</v>
      </c>
      <c r="BP32" s="30">
        <v>0</v>
      </c>
      <c r="BQ32" s="20">
        <v>72041907.575000837</v>
      </c>
      <c r="BR32" s="51">
        <v>0</v>
      </c>
      <c r="BT32" s="30">
        <v>2503297.3708295156</v>
      </c>
      <c r="BU32" s="51">
        <v>133062.04798671114</v>
      </c>
      <c r="BW32" s="221">
        <v>2056415.3326717913</v>
      </c>
      <c r="BX32" s="222">
        <v>201.25059613212943</v>
      </c>
    </row>
    <row r="33" spans="1:76" ht="16" x14ac:dyDescent="0.2">
      <c r="A33" s="123" t="s">
        <v>84</v>
      </c>
      <c r="B33" s="128"/>
      <c r="F33" s="151">
        <v>29</v>
      </c>
      <c r="G33" s="30">
        <v>2429242.19</v>
      </c>
      <c r="H33" s="28">
        <v>93762978.148311898</v>
      </c>
      <c r="I33" s="28">
        <v>24043731.599131547</v>
      </c>
      <c r="J33" s="28">
        <v>93845253.189280704</v>
      </c>
      <c r="K33" s="28">
        <v>24778750.48054428</v>
      </c>
      <c r="L33" s="28">
        <v>0</v>
      </c>
      <c r="M33" s="27">
        <v>3484254.4416452968</v>
      </c>
      <c r="N33" s="27">
        <v>420700</v>
      </c>
      <c r="O33" s="51">
        <v>6334196.6316452967</v>
      </c>
      <c r="P33" s="5"/>
      <c r="Q33" s="30">
        <v>35000</v>
      </c>
      <c r="R33" s="27">
        <v>35000</v>
      </c>
      <c r="S33" s="27">
        <v>0</v>
      </c>
      <c r="T33" s="51">
        <v>6299196.6316452967</v>
      </c>
      <c r="U33" s="5"/>
      <c r="V33" s="30">
        <v>0</v>
      </c>
      <c r="W33" s="51">
        <v>5878496.6316452967</v>
      </c>
      <c r="Y33" s="30">
        <v>1888353.642124549</v>
      </c>
      <c r="Z33" s="27">
        <v>1888353.642124549</v>
      </c>
      <c r="AA33" s="27">
        <v>0</v>
      </c>
      <c r="AB33" s="51">
        <v>4926049.7167317998</v>
      </c>
      <c r="AD33" s="30">
        <v>809989.17448075721</v>
      </c>
      <c r="AE33" s="27">
        <v>809989.17448075721</v>
      </c>
      <c r="AF33" s="27">
        <v>0</v>
      </c>
      <c r="AG33" s="51">
        <v>4116060.5422510426</v>
      </c>
      <c r="AI33" s="30">
        <v>0</v>
      </c>
      <c r="AJ33" s="51">
        <v>1823898.0159534267</v>
      </c>
      <c r="AL33" s="43">
        <v>420000</v>
      </c>
      <c r="AM33" s="52">
        <v>-700</v>
      </c>
      <c r="AN33" s="53">
        <v>420000</v>
      </c>
      <c r="AO33" s="54">
        <v>1824598.0159534267</v>
      </c>
      <c r="AQ33" s="30">
        <v>0</v>
      </c>
      <c r="AR33" s="27">
        <v>0</v>
      </c>
      <c r="AS33" s="27">
        <v>0</v>
      </c>
      <c r="AT33" s="51">
        <v>1824598.0159534267</v>
      </c>
      <c r="AV33" s="30">
        <v>3422065.0442794403</v>
      </c>
      <c r="AW33" s="27">
        <v>-62189.39736585645</v>
      </c>
      <c r="AX33" s="27">
        <v>3422065.0442794403</v>
      </c>
      <c r="AY33" s="51">
        <v>1886787.4133192832</v>
      </c>
      <c r="BA33" s="30">
        <v>1969062.4542999864</v>
      </c>
      <c r="BB33" s="27">
        <v>1886787.4133192832</v>
      </c>
      <c r="BC33" s="27">
        <v>82275.040980703197</v>
      </c>
      <c r="BD33" s="51">
        <v>0</v>
      </c>
      <c r="BF33" s="30">
        <v>735018.8814442791</v>
      </c>
      <c r="BG33" s="27">
        <v>0</v>
      </c>
      <c r="BH33" s="27">
        <v>735018.8814442791</v>
      </c>
      <c r="BI33" s="51">
        <v>0</v>
      </c>
      <c r="BK33" s="30">
        <v>0</v>
      </c>
      <c r="BL33" s="27">
        <v>0</v>
      </c>
      <c r="BM33" s="27">
        <v>0</v>
      </c>
      <c r="BN33" s="51">
        <v>0</v>
      </c>
      <c r="BP33" s="30">
        <v>0</v>
      </c>
      <c r="BQ33" s="20">
        <v>72041907.575000837</v>
      </c>
      <c r="BR33" s="51">
        <v>0</v>
      </c>
      <c r="BT33" s="30">
        <v>2324271.8690489605</v>
      </c>
      <c r="BU33" s="51">
        <v>132859.71831689621</v>
      </c>
      <c r="BW33" s="221">
        <v>1886787.4133192897</v>
      </c>
      <c r="BX33" s="222">
        <v>0</v>
      </c>
    </row>
    <row r="34" spans="1:76" ht="16" x14ac:dyDescent="0.2">
      <c r="A34" s="123" t="s">
        <v>85</v>
      </c>
      <c r="B34" s="128"/>
      <c r="F34" s="151">
        <v>30</v>
      </c>
      <c r="G34" s="30">
        <v>2549304.52</v>
      </c>
      <c r="H34" s="28">
        <v>91784908.262167096</v>
      </c>
      <c r="I34" s="28">
        <v>23869333.114481755</v>
      </c>
      <c r="J34" s="28">
        <v>91834532.585668296</v>
      </c>
      <c r="K34" s="28">
        <v>24778750.48054428</v>
      </c>
      <c r="L34" s="28">
        <v>0</v>
      </c>
      <c r="M34" s="27">
        <v>3427768.4860199061</v>
      </c>
      <c r="N34" s="27">
        <v>420700</v>
      </c>
      <c r="O34" s="51">
        <v>6397773.0060199061</v>
      </c>
      <c r="P34" s="5"/>
      <c r="Q34" s="30">
        <v>35000</v>
      </c>
      <c r="R34" s="27">
        <v>35000</v>
      </c>
      <c r="S34" s="27">
        <v>0</v>
      </c>
      <c r="T34" s="51">
        <v>6362773.0060199061</v>
      </c>
      <c r="U34" s="5"/>
      <c r="V34" s="30">
        <v>0</v>
      </c>
      <c r="W34" s="51">
        <v>5942073.0060199061</v>
      </c>
      <c r="Y34" s="30">
        <v>1882876.190150633</v>
      </c>
      <c r="Z34" s="27">
        <v>1882876.190150633</v>
      </c>
      <c r="AA34" s="27">
        <v>0</v>
      </c>
      <c r="AB34" s="51">
        <v>4929637.5383572374</v>
      </c>
      <c r="AD34" s="30">
        <v>809989.17448075721</v>
      </c>
      <c r="AE34" s="27">
        <v>809989.17448075721</v>
      </c>
      <c r="AF34" s="27">
        <v>0</v>
      </c>
      <c r="AG34" s="51">
        <v>4119648.3638764801</v>
      </c>
      <c r="AI34" s="30">
        <v>0</v>
      </c>
      <c r="AJ34" s="51">
        <v>1952582.7482275008</v>
      </c>
      <c r="AL34" s="43">
        <v>420000</v>
      </c>
      <c r="AM34" s="52">
        <v>-700</v>
      </c>
      <c r="AN34" s="53">
        <v>420000</v>
      </c>
      <c r="AO34" s="54">
        <v>1953282.7482275008</v>
      </c>
      <c r="AQ34" s="30">
        <v>0</v>
      </c>
      <c r="AR34" s="27">
        <v>0</v>
      </c>
      <c r="AS34" s="27">
        <v>0</v>
      </c>
      <c r="AT34" s="51">
        <v>1953282.7482275008</v>
      </c>
      <c r="AV34" s="30">
        <v>3370330.6306349966</v>
      </c>
      <c r="AW34" s="27">
        <v>-57437.855384909548</v>
      </c>
      <c r="AX34" s="27">
        <v>3370330.6306349966</v>
      </c>
      <c r="AY34" s="51">
        <v>2010720.6036124104</v>
      </c>
      <c r="BA34" s="30">
        <v>2060344.9270807058</v>
      </c>
      <c r="BB34" s="27">
        <v>2010720.6036124104</v>
      </c>
      <c r="BC34" s="27">
        <v>49624.323468295392</v>
      </c>
      <c r="BD34" s="51">
        <v>0</v>
      </c>
      <c r="BF34" s="30">
        <v>909417.36604427919</v>
      </c>
      <c r="BG34" s="27">
        <v>0</v>
      </c>
      <c r="BH34" s="27">
        <v>909417.36604427919</v>
      </c>
      <c r="BI34" s="51">
        <v>0</v>
      </c>
      <c r="BK34" s="30">
        <v>0</v>
      </c>
      <c r="BL34" s="27">
        <v>0</v>
      </c>
      <c r="BM34" s="27">
        <v>0</v>
      </c>
      <c r="BN34" s="51">
        <v>0</v>
      </c>
      <c r="BP34" s="30">
        <v>0</v>
      </c>
      <c r="BQ34" s="20">
        <v>72041907.575000837</v>
      </c>
      <c r="BR34" s="51">
        <v>0</v>
      </c>
      <c r="BT34" s="30">
        <v>2439582.6570680137</v>
      </c>
      <c r="BU34" s="51">
        <v>132859.71831689621</v>
      </c>
      <c r="BW34" s="221">
        <v>2010720.603612408</v>
      </c>
      <c r="BX34" s="222">
        <v>0</v>
      </c>
    </row>
    <row r="35" spans="1:76" x14ac:dyDescent="0.2">
      <c r="F35" s="151">
        <v>31</v>
      </c>
      <c r="G35" s="30">
        <v>2323687.9900000002</v>
      </c>
      <c r="H35" s="28">
        <v>89797789.739859626</v>
      </c>
      <c r="I35" s="28">
        <v>23693979.949276783</v>
      </c>
      <c r="J35" s="28">
        <v>90036927.810456604</v>
      </c>
      <c r="K35" s="28">
        <v>24778750.48054428</v>
      </c>
      <c r="L35" s="28">
        <v>0</v>
      </c>
      <c r="M35" s="27">
        <v>3375947.8483527214</v>
      </c>
      <c r="N35" s="27">
        <v>420700</v>
      </c>
      <c r="O35" s="51">
        <v>6120335.8383527212</v>
      </c>
      <c r="P35" s="5"/>
      <c r="Q35" s="30">
        <v>35000</v>
      </c>
      <c r="R35" s="27">
        <v>35000</v>
      </c>
      <c r="S35" s="27">
        <v>0</v>
      </c>
      <c r="T35" s="51">
        <v>6085335.8383527212</v>
      </c>
      <c r="U35" s="5"/>
      <c r="V35" s="30">
        <v>0</v>
      </c>
      <c r="W35" s="51">
        <v>5664635.8383527212</v>
      </c>
      <c r="Y35" s="30">
        <v>1877440.43289833</v>
      </c>
      <c r="Z35" s="27">
        <v>1877440.43289833</v>
      </c>
      <c r="AA35" s="27">
        <v>0</v>
      </c>
      <c r="AB35" s="51">
        <v>4793550.6825355981</v>
      </c>
      <c r="AD35" s="30">
        <v>809989.17448075721</v>
      </c>
      <c r="AE35" s="27">
        <v>809989.17448075721</v>
      </c>
      <c r="AF35" s="27">
        <v>0</v>
      </c>
      <c r="AG35" s="51">
        <v>3983561.5080548408</v>
      </c>
      <c r="AI35" s="30">
        <v>0</v>
      </c>
      <c r="AJ35" s="51">
        <v>1736154.9809798528</v>
      </c>
      <c r="AL35" s="43">
        <v>420000</v>
      </c>
      <c r="AM35" s="52">
        <v>-700</v>
      </c>
      <c r="AN35" s="53">
        <v>420000</v>
      </c>
      <c r="AO35" s="54">
        <v>1736854.9809798528</v>
      </c>
      <c r="AQ35" s="30">
        <v>0</v>
      </c>
      <c r="AR35" s="27">
        <v>0</v>
      </c>
      <c r="AS35" s="27">
        <v>0</v>
      </c>
      <c r="AT35" s="51">
        <v>1736854.9809798528</v>
      </c>
      <c r="AV35" s="30">
        <v>3315198.0541208847</v>
      </c>
      <c r="AW35" s="27">
        <v>-60749.794231836684</v>
      </c>
      <c r="AX35" s="27">
        <v>3315198.0541208847</v>
      </c>
      <c r="AY35" s="51">
        <v>1797604.7752116895</v>
      </c>
      <c r="BA35" s="30">
        <v>2036742.8457683027</v>
      </c>
      <c r="BB35" s="27">
        <v>1797604.7752116895</v>
      </c>
      <c r="BC35" s="27">
        <v>239138.07055661315</v>
      </c>
      <c r="BD35" s="51">
        <v>0</v>
      </c>
      <c r="BF35" s="30">
        <v>1084770.5312442817</v>
      </c>
      <c r="BG35" s="27">
        <v>0</v>
      </c>
      <c r="BH35" s="27">
        <v>1084770.5312442817</v>
      </c>
      <c r="BI35" s="51">
        <v>0</v>
      </c>
      <c r="BK35" s="30">
        <v>0</v>
      </c>
      <c r="BL35" s="27">
        <v>0</v>
      </c>
      <c r="BM35" s="27">
        <v>0</v>
      </c>
      <c r="BN35" s="51">
        <v>0</v>
      </c>
      <c r="BP35" s="30">
        <v>0</v>
      </c>
      <c r="BQ35" s="20">
        <v>72041907.575000837</v>
      </c>
      <c r="BR35" s="51">
        <v>0</v>
      </c>
      <c r="BT35" s="30">
        <v>2217278.065914941</v>
      </c>
      <c r="BU35" s="51">
        <v>132859.71831689621</v>
      </c>
      <c r="BW35" s="221">
        <v>1797604.7752116919</v>
      </c>
      <c r="BX35" s="222">
        <v>0</v>
      </c>
    </row>
    <row r="36" spans="1:76" x14ac:dyDescent="0.2">
      <c r="F36" s="151">
        <v>32</v>
      </c>
      <c r="G36" s="30">
        <v>2350095.25</v>
      </c>
      <c r="H36" s="28">
        <v>87801581.188607037</v>
      </c>
      <c r="I36" s="28">
        <v>23517666.877467986</v>
      </c>
      <c r="J36" s="28">
        <v>88210636.304525748</v>
      </c>
      <c r="K36" s="28">
        <v>24778750.48054428</v>
      </c>
      <c r="L36" s="28">
        <v>0</v>
      </c>
      <c r="M36" s="27">
        <v>3320723.3842110862</v>
      </c>
      <c r="N36" s="27">
        <v>420700</v>
      </c>
      <c r="O36" s="51">
        <v>6091518.6342110857</v>
      </c>
      <c r="P36" s="5"/>
      <c r="Q36" s="30">
        <v>35000</v>
      </c>
      <c r="R36" s="27">
        <v>35000</v>
      </c>
      <c r="S36" s="27">
        <v>0</v>
      </c>
      <c r="T36" s="51">
        <v>6056518.6342110857</v>
      </c>
      <c r="U36" s="5"/>
      <c r="V36" s="30">
        <v>0</v>
      </c>
      <c r="W36" s="51">
        <v>5635818.6342110857</v>
      </c>
      <c r="Y36" s="30">
        <v>1874215.9071718289</v>
      </c>
      <c r="Z36" s="27">
        <v>1874215.9071718289</v>
      </c>
      <c r="AA36" s="27">
        <v>0</v>
      </c>
      <c r="AB36" s="51">
        <v>4711496.0913522542</v>
      </c>
      <c r="AD36" s="30">
        <v>809989.17448075721</v>
      </c>
      <c r="AE36" s="27">
        <v>809989.17448075721</v>
      </c>
      <c r="AF36" s="27">
        <v>0</v>
      </c>
      <c r="AG36" s="51">
        <v>3901506.9168714969</v>
      </c>
      <c r="AI36" s="30">
        <v>0</v>
      </c>
      <c r="AJ36" s="51">
        <v>1770777.0888171108</v>
      </c>
      <c r="AL36" s="43">
        <v>420000</v>
      </c>
      <c r="AM36" s="52">
        <v>-700</v>
      </c>
      <c r="AN36" s="53">
        <v>420000</v>
      </c>
      <c r="AO36" s="54">
        <v>1771477.0888171108</v>
      </c>
      <c r="AQ36" s="30">
        <v>0</v>
      </c>
      <c r="AR36" s="27">
        <v>0</v>
      </c>
      <c r="AS36" s="27">
        <v>0</v>
      </c>
      <c r="AT36" s="51">
        <v>1771477.0888171108</v>
      </c>
      <c r="AV36" s="30">
        <v>3265908.9670973374</v>
      </c>
      <c r="AW36" s="27">
        <v>-54814.417113748845</v>
      </c>
      <c r="AX36" s="27">
        <v>3265908.9670973374</v>
      </c>
      <c r="AY36" s="51">
        <v>1826291.5059308596</v>
      </c>
      <c r="BA36" s="30">
        <v>2235346.6218566</v>
      </c>
      <c r="BB36" s="27">
        <v>1826291.5059308596</v>
      </c>
      <c r="BC36" s="27">
        <v>409055.11592574045</v>
      </c>
      <c r="BD36" s="51">
        <v>0</v>
      </c>
      <c r="BF36" s="30">
        <v>1261083.6030442789</v>
      </c>
      <c r="BG36" s="27">
        <v>0</v>
      </c>
      <c r="BH36" s="27">
        <v>1261083.6030442789</v>
      </c>
      <c r="BI36" s="51">
        <v>0</v>
      </c>
      <c r="BK36" s="30">
        <v>0</v>
      </c>
      <c r="BL36" s="27">
        <v>0</v>
      </c>
      <c r="BM36" s="27">
        <v>0</v>
      </c>
      <c r="BN36" s="51">
        <v>0</v>
      </c>
      <c r="BP36" s="30">
        <v>0</v>
      </c>
      <c r="BQ36" s="20">
        <v>72041907.575000837</v>
      </c>
      <c r="BR36" s="51">
        <v>0</v>
      </c>
      <c r="BT36" s="30">
        <v>2237749.948796853</v>
      </c>
      <c r="BU36" s="51">
        <v>132859.71831689621</v>
      </c>
      <c r="BW36" s="221">
        <v>1826291.5059308559</v>
      </c>
      <c r="BX36" s="222">
        <v>0</v>
      </c>
    </row>
    <row r="37" spans="1:76" ht="16" x14ac:dyDescent="0.2">
      <c r="A37" s="224" t="s">
        <v>205</v>
      </c>
      <c r="B37" s="55">
        <v>7.9080077276985627E-5</v>
      </c>
      <c r="F37" s="151">
        <v>33</v>
      </c>
      <c r="G37" s="30">
        <v>2348830.5</v>
      </c>
      <c r="H37" s="28">
        <v>85796241.026276603</v>
      </c>
      <c r="I37" s="28">
        <v>23340388.644398648</v>
      </c>
      <c r="J37" s="28">
        <v>86376559.183730558</v>
      </c>
      <c r="K37" s="28">
        <v>24778750.48054428</v>
      </c>
      <c r="L37" s="28">
        <v>0</v>
      </c>
      <c r="M37" s="27">
        <v>3271352.1487091663</v>
      </c>
      <c r="N37" s="27">
        <v>420700</v>
      </c>
      <c r="O37" s="51">
        <v>6040882.6487091668</v>
      </c>
      <c r="P37" s="5"/>
      <c r="Q37" s="30">
        <v>35000</v>
      </c>
      <c r="R37" s="27">
        <v>35000</v>
      </c>
      <c r="S37" s="27">
        <v>0</v>
      </c>
      <c r="T37" s="51">
        <v>6005882.6487091668</v>
      </c>
      <c r="U37" s="5"/>
      <c r="V37" s="30">
        <v>0</v>
      </c>
      <c r="W37" s="51">
        <v>5585182.6487091668</v>
      </c>
      <c r="Y37" s="30">
        <v>1872363.5668410102</v>
      </c>
      <c r="Z37" s="27">
        <v>1872363.5668410102</v>
      </c>
      <c r="AA37" s="27">
        <v>0</v>
      </c>
      <c r="AB37" s="51">
        <v>4563883.4858500538</v>
      </c>
      <c r="AD37" s="30">
        <v>809989.17448075721</v>
      </c>
      <c r="AE37" s="27">
        <v>809989.17448075721</v>
      </c>
      <c r="AF37" s="27">
        <v>0</v>
      </c>
      <c r="AG37" s="51">
        <v>3753894.3113692966</v>
      </c>
      <c r="AI37" s="30">
        <v>0</v>
      </c>
      <c r="AJ37" s="51">
        <v>1777858.2817265759</v>
      </c>
      <c r="AL37" s="43">
        <v>420000</v>
      </c>
      <c r="AM37" s="52">
        <v>-700</v>
      </c>
      <c r="AN37" s="53">
        <v>420000</v>
      </c>
      <c r="AO37" s="54">
        <v>1778558.2817265759</v>
      </c>
      <c r="AQ37" s="30">
        <v>0</v>
      </c>
      <c r="AR37" s="27">
        <v>0</v>
      </c>
      <c r="AS37" s="27">
        <v>0</v>
      </c>
      <c r="AT37" s="51">
        <v>1778558.2817265759</v>
      </c>
      <c r="AV37" s="30">
        <v>3215833.3096405468</v>
      </c>
      <c r="AW37" s="27">
        <v>-55518.839068619534</v>
      </c>
      <c r="AX37" s="27">
        <v>3215833.3096405468</v>
      </c>
      <c r="AY37" s="51">
        <v>1834077.1207951955</v>
      </c>
      <c r="BA37" s="30">
        <v>2414395.2782257497</v>
      </c>
      <c r="BB37" s="27">
        <v>1834077.1207951955</v>
      </c>
      <c r="BC37" s="27">
        <v>580318.15743055427</v>
      </c>
      <c r="BD37" s="51">
        <v>0</v>
      </c>
      <c r="BF37" s="30">
        <v>1438361.8361442797</v>
      </c>
      <c r="BG37" s="27">
        <v>0</v>
      </c>
      <c r="BH37" s="27">
        <v>1438361.8361442797</v>
      </c>
      <c r="BI37" s="51">
        <v>0</v>
      </c>
      <c r="BK37" s="30">
        <v>0</v>
      </c>
      <c r="BL37" s="27">
        <v>0</v>
      </c>
      <c r="BM37" s="27">
        <v>0</v>
      </c>
      <c r="BN37" s="51">
        <v>0</v>
      </c>
      <c r="BP37" s="30">
        <v>0</v>
      </c>
      <c r="BQ37" s="20">
        <v>72041907.575000837</v>
      </c>
      <c r="BR37" s="51">
        <v>0</v>
      </c>
      <c r="BT37" s="30">
        <v>2237189.6207517236</v>
      </c>
      <c r="BU37" s="51">
        <v>132859.71831689621</v>
      </c>
      <c r="BW37" s="221">
        <v>1834077.1207951903</v>
      </c>
      <c r="BX37" s="222">
        <v>0</v>
      </c>
    </row>
    <row r="38" spans="1:76" ht="16" x14ac:dyDescent="0.2">
      <c r="A38" s="56" t="s">
        <v>206</v>
      </c>
      <c r="B38" s="55">
        <v>5.2544810951013488E-4</v>
      </c>
      <c r="F38" s="151">
        <v>34</v>
      </c>
      <c r="G38" s="30">
        <v>2350688.64</v>
      </c>
      <c r="H38" s="28">
        <v>83781727.480518922</v>
      </c>
      <c r="I38" s="28">
        <v>23162139.966647368</v>
      </c>
      <c r="J38" s="28">
        <v>84532112.383880496</v>
      </c>
      <c r="K38" s="28">
        <v>24778750.48054428</v>
      </c>
      <c r="L38" s="28">
        <v>0</v>
      </c>
      <c r="M38" s="27">
        <v>3221193.0318232812</v>
      </c>
      <c r="N38" s="27">
        <v>420700</v>
      </c>
      <c r="O38" s="51">
        <v>5992581.6718232818</v>
      </c>
      <c r="P38" s="5"/>
      <c r="Q38" s="30">
        <v>35000</v>
      </c>
      <c r="R38" s="27">
        <v>35000</v>
      </c>
      <c r="S38" s="27">
        <v>0</v>
      </c>
      <c r="T38" s="51">
        <v>5957581.6718232818</v>
      </c>
      <c r="U38" s="5"/>
      <c r="V38" s="30">
        <v>0</v>
      </c>
      <c r="W38" s="51">
        <v>5536881.6718232818</v>
      </c>
      <c r="Y38" s="30">
        <v>1872363.5668410102</v>
      </c>
      <c r="Z38" s="27">
        <v>1872363.5668410102</v>
      </c>
      <c r="AA38" s="27">
        <v>0</v>
      </c>
      <c r="AB38" s="51">
        <v>4542307.0996391531</v>
      </c>
      <c r="AD38" s="30">
        <v>809989.17448075721</v>
      </c>
      <c r="AE38" s="27">
        <v>809989.17448075721</v>
      </c>
      <c r="AF38" s="27">
        <v>0</v>
      </c>
      <c r="AG38" s="51">
        <v>3732317.9251583959</v>
      </c>
      <c r="AI38" s="30">
        <v>0</v>
      </c>
      <c r="AJ38" s="51">
        <v>1788097.9440038269</v>
      </c>
      <c r="AL38" s="43">
        <v>420000</v>
      </c>
      <c r="AM38" s="52">
        <v>-700</v>
      </c>
      <c r="AN38" s="53">
        <v>420000</v>
      </c>
      <c r="AO38" s="54">
        <v>1788797.9440038269</v>
      </c>
      <c r="AQ38" s="30">
        <v>0</v>
      </c>
      <c r="AR38" s="27">
        <v>0</v>
      </c>
      <c r="AS38" s="27">
        <v>0</v>
      </c>
      <c r="AT38" s="51">
        <v>1788797.9440038269</v>
      </c>
      <c r="AV38" s="30">
        <v>3165544.1759770438</v>
      </c>
      <c r="AW38" s="27">
        <v>-55648.855846237391</v>
      </c>
      <c r="AX38" s="27">
        <v>3165544.1759770438</v>
      </c>
      <c r="AY38" s="51">
        <v>1844446.7998500643</v>
      </c>
      <c r="BA38" s="30">
        <v>2594831.7032305598</v>
      </c>
      <c r="BB38" s="27">
        <v>1844446.7998500643</v>
      </c>
      <c r="BC38" s="27">
        <v>750384.9033804955</v>
      </c>
      <c r="BD38" s="51">
        <v>0</v>
      </c>
      <c r="BF38" s="30">
        <v>1616610.5139442794</v>
      </c>
      <c r="BG38" s="27">
        <v>0</v>
      </c>
      <c r="BH38" s="27">
        <v>1616610.5139442794</v>
      </c>
      <c r="BI38" s="51">
        <v>0</v>
      </c>
      <c r="BK38" s="30">
        <v>0</v>
      </c>
      <c r="BL38" s="27">
        <v>0</v>
      </c>
      <c r="BM38" s="27">
        <v>0</v>
      </c>
      <c r="BN38" s="51">
        <v>0</v>
      </c>
      <c r="BP38" s="30">
        <v>0</v>
      </c>
      <c r="BQ38" s="20">
        <v>72041907.575000837</v>
      </c>
      <c r="BR38" s="51">
        <v>0</v>
      </c>
      <c r="BT38" s="30">
        <v>2239177.7775293421</v>
      </c>
      <c r="BU38" s="51">
        <v>132859.71831689621</v>
      </c>
      <c r="BW38" s="221">
        <v>1844446.7998500615</v>
      </c>
      <c r="BX38" s="222">
        <v>0</v>
      </c>
    </row>
    <row r="39" spans="1:76" ht="16" x14ac:dyDescent="0.2">
      <c r="A39" s="56" t="s">
        <v>207</v>
      </c>
      <c r="B39" s="57" t="b">
        <v>0</v>
      </c>
      <c r="F39" s="151">
        <v>35</v>
      </c>
      <c r="G39" s="30">
        <v>2112577.9300000002</v>
      </c>
      <c r="H39" s="28">
        <v>81757998.587898105</v>
      </c>
      <c r="I39" s="28">
        <v>22982915.531870563</v>
      </c>
      <c r="J39" s="28">
        <v>82917146.869260743</v>
      </c>
      <c r="K39" s="28">
        <v>24778750.48054428</v>
      </c>
      <c r="L39" s="28">
        <v>0</v>
      </c>
      <c r="M39" s="27">
        <v>3170820.0829370054</v>
      </c>
      <c r="N39" s="27">
        <v>420700</v>
      </c>
      <c r="O39" s="51">
        <v>5704098.0129370056</v>
      </c>
      <c r="P39" s="5"/>
      <c r="Q39" s="30">
        <v>35000</v>
      </c>
      <c r="R39" s="27">
        <v>35000</v>
      </c>
      <c r="S39" s="27">
        <v>0</v>
      </c>
      <c r="T39" s="51">
        <v>5669098.0129370056</v>
      </c>
      <c r="U39" s="5"/>
      <c r="V39" s="30">
        <v>0</v>
      </c>
      <c r="W39" s="51">
        <v>5248398.0129370056</v>
      </c>
      <c r="Y39" s="30">
        <v>1872363.5668410102</v>
      </c>
      <c r="Z39" s="27">
        <v>1872363.5668410102</v>
      </c>
      <c r="AA39" s="27">
        <v>0</v>
      </c>
      <c r="AB39" s="51">
        <v>4347046.7387372144</v>
      </c>
      <c r="AD39" s="30">
        <v>809989.17448075721</v>
      </c>
      <c r="AE39" s="27">
        <v>809989.17448075721</v>
      </c>
      <c r="AF39" s="27">
        <v>0</v>
      </c>
      <c r="AG39" s="51">
        <v>3537057.5642564571</v>
      </c>
      <c r="AI39" s="30">
        <v>0</v>
      </c>
      <c r="AJ39" s="51">
        <v>1558416.1445261077</v>
      </c>
      <c r="AL39" s="43">
        <v>420000</v>
      </c>
      <c r="AM39" s="52">
        <v>-700</v>
      </c>
      <c r="AN39" s="53">
        <v>420000</v>
      </c>
      <c r="AO39" s="54">
        <v>1559116.1445261077</v>
      </c>
      <c r="AQ39" s="30">
        <v>0</v>
      </c>
      <c r="AR39" s="27">
        <v>0</v>
      </c>
      <c r="AS39" s="27">
        <v>0</v>
      </c>
      <c r="AT39" s="51">
        <v>1559116.1445261077</v>
      </c>
      <c r="AV39" s="30">
        <v>3114970.7128433539</v>
      </c>
      <c r="AW39" s="27">
        <v>-55849.370093651582</v>
      </c>
      <c r="AX39" s="27">
        <v>3114970.7128433539</v>
      </c>
      <c r="AY39" s="51">
        <v>1614965.5146197593</v>
      </c>
      <c r="BA39" s="30">
        <v>2774113.7959804982</v>
      </c>
      <c r="BB39" s="27">
        <v>1614965.5146197593</v>
      </c>
      <c r="BC39" s="27">
        <v>1159148.2813607389</v>
      </c>
      <c r="BD39" s="51">
        <v>0</v>
      </c>
      <c r="BF39" s="30">
        <v>1795834.9486442804</v>
      </c>
      <c r="BG39" s="27">
        <v>0</v>
      </c>
      <c r="BH39" s="27">
        <v>1795834.9486442804</v>
      </c>
      <c r="BI39" s="51">
        <v>0</v>
      </c>
      <c r="BK39" s="30">
        <v>0</v>
      </c>
      <c r="BL39" s="27">
        <v>0</v>
      </c>
      <c r="BM39" s="27">
        <v>0</v>
      </c>
      <c r="BN39" s="51">
        <v>0</v>
      </c>
      <c r="BP39" s="30">
        <v>0</v>
      </c>
      <c r="BQ39" s="20">
        <v>72041907.575000837</v>
      </c>
      <c r="BR39" s="51">
        <v>0</v>
      </c>
      <c r="BT39" s="30">
        <v>2001267.5817767554</v>
      </c>
      <c r="BU39" s="51">
        <v>132859.71831689621</v>
      </c>
      <c r="BW39" s="221">
        <v>1614965.5146197528</v>
      </c>
      <c r="BX39" s="222">
        <v>0</v>
      </c>
    </row>
    <row r="40" spans="1:76" ht="16" x14ac:dyDescent="0.2">
      <c r="A40" s="58" t="s">
        <v>208</v>
      </c>
      <c r="B40" s="57" t="b">
        <v>1</v>
      </c>
      <c r="F40" s="151">
        <v>36</v>
      </c>
      <c r="G40" s="30">
        <v>1807804.74</v>
      </c>
      <c r="H40" s="28">
        <v>79725012.193017334</v>
      </c>
      <c r="I40" s="28">
        <v>22802709.998644203</v>
      </c>
      <c r="J40" s="28">
        <v>81605950.845466465</v>
      </c>
      <c r="K40" s="28">
        <v>24778750.48054428</v>
      </c>
      <c r="L40" s="28">
        <v>0</v>
      </c>
      <c r="M40" s="27">
        <v>3120162.3306980929</v>
      </c>
      <c r="N40" s="27">
        <v>420700</v>
      </c>
      <c r="O40" s="51">
        <v>5348667.0706980927</v>
      </c>
      <c r="P40" s="5"/>
      <c r="Q40" s="30">
        <v>35000</v>
      </c>
      <c r="R40" s="27">
        <v>35000</v>
      </c>
      <c r="S40" s="27">
        <v>0</v>
      </c>
      <c r="T40" s="51">
        <v>5313667.0706980927</v>
      </c>
      <c r="U40" s="5"/>
      <c r="V40" s="30">
        <v>0</v>
      </c>
      <c r="W40" s="51">
        <v>4892967.0706980927</v>
      </c>
      <c r="Y40" s="30">
        <v>1872363.5668410102</v>
      </c>
      <c r="Z40" s="27">
        <v>1872363.5668410102</v>
      </c>
      <c r="AA40" s="27">
        <v>0</v>
      </c>
      <c r="AB40" s="51">
        <v>4110597.8914393112</v>
      </c>
      <c r="AD40" s="30">
        <v>809989.17448075721</v>
      </c>
      <c r="AE40" s="27">
        <v>809989.17448075721</v>
      </c>
      <c r="AF40" s="27">
        <v>0</v>
      </c>
      <c r="AG40" s="51">
        <v>3300608.716958554</v>
      </c>
      <c r="AI40" s="30">
        <v>0</v>
      </c>
      <c r="AJ40" s="51">
        <v>1261023.1618708824</v>
      </c>
      <c r="AL40" s="43">
        <v>420000</v>
      </c>
      <c r="AM40" s="52">
        <v>-700</v>
      </c>
      <c r="AN40" s="53">
        <v>420000</v>
      </c>
      <c r="AO40" s="54">
        <v>1261723.1618708824</v>
      </c>
      <c r="AQ40" s="30">
        <v>0</v>
      </c>
      <c r="AR40" s="27">
        <v>0</v>
      </c>
      <c r="AS40" s="27">
        <v>0</v>
      </c>
      <c r="AT40" s="51">
        <v>1261723.1618708824</v>
      </c>
      <c r="AV40" s="30">
        <v>3070689.4687747033</v>
      </c>
      <c r="AW40" s="27">
        <v>-49472.861923389602</v>
      </c>
      <c r="AX40" s="27">
        <v>3070689.4687747033</v>
      </c>
      <c r="AY40" s="51">
        <v>1311196.023794272</v>
      </c>
      <c r="BA40" s="30">
        <v>3192134.6762607396</v>
      </c>
      <c r="BB40" s="27">
        <v>1311196.023794272</v>
      </c>
      <c r="BC40" s="27">
        <v>1880938.6524664676</v>
      </c>
      <c r="BD40" s="51">
        <v>0</v>
      </c>
      <c r="BF40" s="30">
        <v>1976040.4819442816</v>
      </c>
      <c r="BG40" s="27">
        <v>0</v>
      </c>
      <c r="BH40" s="27">
        <v>1976040.4819442816</v>
      </c>
      <c r="BI40" s="51">
        <v>0</v>
      </c>
      <c r="BK40" s="30">
        <v>0</v>
      </c>
      <c r="BL40" s="27">
        <v>0</v>
      </c>
      <c r="BM40" s="27">
        <v>0</v>
      </c>
      <c r="BN40" s="51">
        <v>0</v>
      </c>
      <c r="BP40" s="30">
        <v>0</v>
      </c>
      <c r="BQ40" s="20">
        <v>72041907.575000837</v>
      </c>
      <c r="BR40" s="51">
        <v>0</v>
      </c>
      <c r="BT40" s="30">
        <v>1690117.883606493</v>
      </c>
      <c r="BU40" s="51">
        <v>132859.71831689621</v>
      </c>
      <c r="BW40" s="221">
        <v>1311196.0237942785</v>
      </c>
      <c r="BX40" s="222">
        <v>0</v>
      </c>
    </row>
    <row r="41" spans="1:76" ht="16" x14ac:dyDescent="0.2">
      <c r="A41" s="59" t="s">
        <v>209</v>
      </c>
      <c r="B41" s="140">
        <v>1000</v>
      </c>
      <c r="F41" s="151">
        <v>37</v>
      </c>
      <c r="G41" s="30">
        <v>2028591.02</v>
      </c>
      <c r="H41" s="28">
        <v>77682725.947641015</v>
      </c>
      <c r="I41" s="28">
        <v>22621517.996304572</v>
      </c>
      <c r="J41" s="28">
        <v>80076379.478752196</v>
      </c>
      <c r="K41" s="28">
        <v>24778750.48054428</v>
      </c>
      <c r="L41" s="28">
        <v>0</v>
      </c>
      <c r="M41" s="27">
        <v>3075807.2845559944</v>
      </c>
      <c r="N41" s="27">
        <v>420700</v>
      </c>
      <c r="O41" s="51">
        <v>5525098.3045559945</v>
      </c>
      <c r="P41" s="5"/>
      <c r="Q41" s="30">
        <v>35000</v>
      </c>
      <c r="R41" s="27">
        <v>35000</v>
      </c>
      <c r="S41" s="27">
        <v>0</v>
      </c>
      <c r="T41" s="51">
        <v>5490098.3045559945</v>
      </c>
      <c r="U41" s="5"/>
      <c r="V41" s="30">
        <v>0</v>
      </c>
      <c r="W41" s="51">
        <v>5069398.3045559945</v>
      </c>
      <c r="Y41" s="30">
        <v>1872363.5668410102</v>
      </c>
      <c r="Z41" s="27">
        <v>1872363.5668410102</v>
      </c>
      <c r="AA41" s="27">
        <v>0</v>
      </c>
      <c r="AB41" s="51">
        <v>3955619.5088987462</v>
      </c>
      <c r="AD41" s="30">
        <v>809989.17448075721</v>
      </c>
      <c r="AE41" s="27">
        <v>809989.17448075721</v>
      </c>
      <c r="AF41" s="27">
        <v>0</v>
      </c>
      <c r="AG41" s="51">
        <v>3145630.334417989</v>
      </c>
      <c r="AI41" s="30">
        <v>0</v>
      </c>
      <c r="AJ41" s="51">
        <v>1487801.457451182</v>
      </c>
      <c r="AL41" s="43">
        <v>420000</v>
      </c>
      <c r="AM41" s="52">
        <v>-700</v>
      </c>
      <c r="AN41" s="53">
        <v>420000</v>
      </c>
      <c r="AO41" s="54">
        <v>1488501.457451182</v>
      </c>
      <c r="AQ41" s="30">
        <v>0</v>
      </c>
      <c r="AR41" s="27">
        <v>0</v>
      </c>
      <c r="AS41" s="27">
        <v>0</v>
      </c>
      <c r="AT41" s="51">
        <v>1488501.457451182</v>
      </c>
      <c r="AV41" s="30">
        <v>3034737.3752929117</v>
      </c>
      <c r="AW41" s="27">
        <v>-41069.90926308278</v>
      </c>
      <c r="AX41" s="27">
        <v>3034737.3752929117</v>
      </c>
      <c r="AY41" s="51">
        <v>1529571.3667142647</v>
      </c>
      <c r="BA41" s="30">
        <v>3923224.8978664577</v>
      </c>
      <c r="BB41" s="27">
        <v>1529571.3667142647</v>
      </c>
      <c r="BC41" s="27">
        <v>2393653.531152193</v>
      </c>
      <c r="BD41" s="51">
        <v>0</v>
      </c>
      <c r="BF41" s="30">
        <v>2157232.4842442796</v>
      </c>
      <c r="BG41" s="27">
        <v>0</v>
      </c>
      <c r="BH41" s="27">
        <v>2157232.4842442796</v>
      </c>
      <c r="BI41" s="51">
        <v>0</v>
      </c>
      <c r="BK41" s="30">
        <v>0</v>
      </c>
      <c r="BL41" s="27">
        <v>0</v>
      </c>
      <c r="BM41" s="27">
        <v>0</v>
      </c>
      <c r="BN41" s="51">
        <v>0</v>
      </c>
      <c r="BP41" s="30">
        <v>0</v>
      </c>
      <c r="BQ41" s="20">
        <v>72041907.575000837</v>
      </c>
      <c r="BR41" s="51">
        <v>0</v>
      </c>
      <c r="BT41" s="30">
        <v>1902501.2109461871</v>
      </c>
      <c r="BU41" s="51">
        <v>132859.71831689621</v>
      </c>
      <c r="BW41" s="221">
        <v>1529571.3667142689</v>
      </c>
      <c r="BX41" s="222">
        <v>0</v>
      </c>
    </row>
    <row r="42" spans="1:76" ht="16" x14ac:dyDescent="0.2">
      <c r="A42" s="218" t="s">
        <v>312</v>
      </c>
      <c r="B42" s="28">
        <v>15311200</v>
      </c>
      <c r="F42" s="151">
        <v>38</v>
      </c>
      <c r="G42" s="30">
        <v>2540694.4700000002</v>
      </c>
      <c r="H42" s="28">
        <v>75631097.309812322</v>
      </c>
      <c r="I42" s="28">
        <v>22439334.124788236</v>
      </c>
      <c r="J42" s="28">
        <v>78021786.914557084</v>
      </c>
      <c r="K42" s="28">
        <v>24778750.48054428</v>
      </c>
      <c r="L42" s="28">
        <v>0</v>
      </c>
      <c r="M42" s="27">
        <v>3039795.2709184</v>
      </c>
      <c r="N42" s="27">
        <v>420700</v>
      </c>
      <c r="O42" s="51">
        <v>6001189.7409183998</v>
      </c>
      <c r="P42" s="5"/>
      <c r="Q42" s="30">
        <v>35000</v>
      </c>
      <c r="R42" s="27">
        <v>35000</v>
      </c>
      <c r="S42" s="27">
        <v>0</v>
      </c>
      <c r="T42" s="51">
        <v>5966189.7409183998</v>
      </c>
      <c r="U42" s="5"/>
      <c r="V42" s="30">
        <v>0</v>
      </c>
      <c r="W42" s="51">
        <v>5545489.7409183998</v>
      </c>
      <c r="Y42" s="30">
        <v>1872363.5668410102</v>
      </c>
      <c r="Z42" s="27">
        <v>1872363.5668410102</v>
      </c>
      <c r="AA42" s="27">
        <v>0</v>
      </c>
      <c r="AB42" s="51">
        <v>4041880.689901609</v>
      </c>
      <c r="AD42" s="30">
        <v>809989.17448075721</v>
      </c>
      <c r="AE42" s="27">
        <v>809989.17448075721</v>
      </c>
      <c r="AF42" s="27">
        <v>0</v>
      </c>
      <c r="AG42" s="51">
        <v>3231891.5154208518</v>
      </c>
      <c r="AI42" s="30">
        <v>0</v>
      </c>
      <c r="AJ42" s="51">
        <v>2006894.8733252455</v>
      </c>
      <c r="AL42" s="43">
        <v>420000</v>
      </c>
      <c r="AM42" s="52">
        <v>-700</v>
      </c>
      <c r="AN42" s="53">
        <v>420000</v>
      </c>
      <c r="AO42" s="54">
        <v>2007594.8733252455</v>
      </c>
      <c r="AQ42" s="30">
        <v>0</v>
      </c>
      <c r="AR42" s="27">
        <v>0</v>
      </c>
      <c r="AS42" s="27">
        <v>0</v>
      </c>
      <c r="AT42" s="51">
        <v>2007594.8733252455</v>
      </c>
      <c r="AV42" s="30">
        <v>2992797.5800485271</v>
      </c>
      <c r="AW42" s="27">
        <v>-46997.690869872924</v>
      </c>
      <c r="AX42" s="27">
        <v>2992797.5800485271</v>
      </c>
      <c r="AY42" s="51">
        <v>2054592.5641951184</v>
      </c>
      <c r="BA42" s="30">
        <v>4445282.1689521968</v>
      </c>
      <c r="BB42" s="27">
        <v>2054592.5641951184</v>
      </c>
      <c r="BC42" s="27">
        <v>2390689.6047570785</v>
      </c>
      <c r="BD42" s="51">
        <v>0</v>
      </c>
      <c r="BF42" s="30">
        <v>2339416.3557442799</v>
      </c>
      <c r="BG42" s="27">
        <v>0</v>
      </c>
      <c r="BH42" s="27">
        <v>2339416.3557442799</v>
      </c>
      <c r="BI42" s="51">
        <v>0</v>
      </c>
      <c r="BK42" s="30">
        <v>0</v>
      </c>
      <c r="BL42" s="27">
        <v>0</v>
      </c>
      <c r="BM42" s="27">
        <v>0</v>
      </c>
      <c r="BN42" s="51">
        <v>0</v>
      </c>
      <c r="BP42" s="30">
        <v>0</v>
      </c>
      <c r="BQ42" s="20">
        <v>72041907.575000837</v>
      </c>
      <c r="BR42" s="51">
        <v>0</v>
      </c>
      <c r="BT42" s="30">
        <v>2420532.4425529768</v>
      </c>
      <c r="BU42" s="51">
        <v>132859.71831689621</v>
      </c>
      <c r="BW42" s="221">
        <v>2054592.5641951114</v>
      </c>
      <c r="BX42" s="222">
        <v>0</v>
      </c>
    </row>
    <row r="43" spans="1:76" ht="16" x14ac:dyDescent="0.2">
      <c r="A43" s="219"/>
      <c r="B43" s="220"/>
      <c r="F43" s="151">
        <v>39</v>
      </c>
      <c r="G43" s="30">
        <v>2438580.85</v>
      </c>
      <c r="H43" s="28">
        <v>73570083.542967364</v>
      </c>
      <c r="I43" s="28">
        <v>22256152.954471078</v>
      </c>
      <c r="J43" s="28">
        <v>76045592.897170246</v>
      </c>
      <c r="K43" s="28">
        <v>24778750.48054428</v>
      </c>
      <c r="L43" s="28">
        <v>0</v>
      </c>
      <c r="M43" s="27">
        <v>2997785.5760152745</v>
      </c>
      <c r="N43" s="27">
        <v>420700</v>
      </c>
      <c r="O43" s="51">
        <v>5857066.4260152746</v>
      </c>
      <c r="P43" s="5"/>
      <c r="Q43" s="30">
        <v>35000</v>
      </c>
      <c r="R43" s="27">
        <v>35000</v>
      </c>
      <c r="S43" s="27">
        <v>0</v>
      </c>
      <c r="T43" s="51">
        <v>5822066.4260152746</v>
      </c>
      <c r="U43" s="5"/>
      <c r="V43" s="30">
        <v>0</v>
      </c>
      <c r="W43" s="51">
        <v>5401366.4260152746</v>
      </c>
      <c r="Y43" s="30">
        <v>1871105.2186022266</v>
      </c>
      <c r="Z43" s="27">
        <v>1871105.2186022266</v>
      </c>
      <c r="AA43" s="27">
        <v>0</v>
      </c>
      <c r="AB43" s="51">
        <v>4153092.428016799</v>
      </c>
      <c r="AD43" s="30">
        <v>809989.17448075721</v>
      </c>
      <c r="AE43" s="27">
        <v>809989.17448075721</v>
      </c>
      <c r="AF43" s="27">
        <v>0</v>
      </c>
      <c r="AG43" s="51">
        <v>3343103.2535360418</v>
      </c>
      <c r="AI43" s="30">
        <v>0</v>
      </c>
      <c r="AJ43" s="51">
        <v>1914170.5059102238</v>
      </c>
      <c r="AL43" s="43">
        <v>420000</v>
      </c>
      <c r="AM43" s="52">
        <v>-700</v>
      </c>
      <c r="AN43" s="53">
        <v>420000</v>
      </c>
      <c r="AO43" s="54">
        <v>1914870.5059102238</v>
      </c>
      <c r="AQ43" s="30">
        <v>0</v>
      </c>
      <c r="AR43" s="27">
        <v>0</v>
      </c>
      <c r="AS43" s="27">
        <v>0</v>
      </c>
      <c r="AT43" s="51">
        <v>1914870.5059102238</v>
      </c>
      <c r="AV43" s="30">
        <v>2936462.0645386619</v>
      </c>
      <c r="AW43" s="27">
        <v>-61323.51147661265</v>
      </c>
      <c r="AX43" s="27">
        <v>2936462.0645386619</v>
      </c>
      <c r="AY43" s="51">
        <v>1976194.0173868365</v>
      </c>
      <c r="BA43" s="30">
        <v>4451703.3715570867</v>
      </c>
      <c r="BB43" s="27">
        <v>1976194.0173868365</v>
      </c>
      <c r="BC43" s="27">
        <v>2475509.3541702502</v>
      </c>
      <c r="BD43" s="51">
        <v>0</v>
      </c>
      <c r="BF43" s="30">
        <v>2522597.5260442793</v>
      </c>
      <c r="BG43" s="27">
        <v>0</v>
      </c>
      <c r="BH43" s="27">
        <v>2522597.5260442793</v>
      </c>
      <c r="BI43" s="51">
        <v>0</v>
      </c>
      <c r="BK43" s="30">
        <v>0</v>
      </c>
      <c r="BL43" s="27">
        <v>0</v>
      </c>
      <c r="BM43" s="27">
        <v>0</v>
      </c>
      <c r="BN43" s="51">
        <v>0</v>
      </c>
      <c r="BP43" s="30">
        <v>0</v>
      </c>
      <c r="BQ43" s="20">
        <v>72041907.575000837</v>
      </c>
      <c r="BR43" s="51">
        <v>0</v>
      </c>
      <c r="BT43" s="30">
        <v>2332744.6431597173</v>
      </c>
      <c r="BU43" s="51">
        <v>132859.71831689621</v>
      </c>
      <c r="BW43" s="221">
        <v>1976194.0173868388</v>
      </c>
      <c r="BX43" s="222">
        <v>0</v>
      </c>
    </row>
    <row r="44" spans="1:76" ht="16" x14ac:dyDescent="0.2">
      <c r="A44" s="60" t="s">
        <v>210</v>
      </c>
      <c r="B44" s="226" t="s">
        <v>212</v>
      </c>
      <c r="F44" s="151">
        <v>40</v>
      </c>
      <c r="G44" s="30">
        <v>2392942.65</v>
      </c>
      <c r="H44" s="28">
        <v>71499641.715044796</v>
      </c>
      <c r="I44" s="28">
        <v>22071969.02600652</v>
      </c>
      <c r="J44" s="28">
        <v>74108249.626351491</v>
      </c>
      <c r="K44" s="28">
        <v>24778750.48054428</v>
      </c>
      <c r="L44" s="28">
        <v>0</v>
      </c>
      <c r="M44" s="27">
        <v>2941356.1679795594</v>
      </c>
      <c r="N44" s="27">
        <v>420700</v>
      </c>
      <c r="O44" s="51">
        <v>5754998.8179795593</v>
      </c>
      <c r="P44" s="5"/>
      <c r="Q44" s="30">
        <v>35000</v>
      </c>
      <c r="R44" s="27">
        <v>35000</v>
      </c>
      <c r="S44" s="27">
        <v>0</v>
      </c>
      <c r="T44" s="51">
        <v>5719998.8179795593</v>
      </c>
      <c r="U44" s="5"/>
      <c r="V44" s="30">
        <v>0</v>
      </c>
      <c r="W44" s="51">
        <v>5299298.8179795593</v>
      </c>
      <c r="Y44" s="30">
        <v>1868201.1351901046</v>
      </c>
      <c r="Z44" s="27">
        <v>1868201.1351901046</v>
      </c>
      <c r="AA44" s="27">
        <v>0</v>
      </c>
      <c r="AB44" s="51">
        <v>4017234.1887115915</v>
      </c>
      <c r="AD44" s="30">
        <v>809989.17448075721</v>
      </c>
      <c r="AE44" s="27">
        <v>809989.17448075721</v>
      </c>
      <c r="AF44" s="27">
        <v>0</v>
      </c>
      <c r="AG44" s="51">
        <v>3207245.0142308343</v>
      </c>
      <c r="AI44" s="30">
        <v>0</v>
      </c>
      <c r="AJ44" s="51">
        <v>1877563.2861198862</v>
      </c>
      <c r="AL44" s="43">
        <v>420000</v>
      </c>
      <c r="AM44" s="52">
        <v>-700</v>
      </c>
      <c r="AN44" s="53">
        <v>420000</v>
      </c>
      <c r="AO44" s="54">
        <v>1878263.2861198862</v>
      </c>
      <c r="AQ44" s="30">
        <v>0</v>
      </c>
      <c r="AR44" s="27">
        <v>0</v>
      </c>
      <c r="AS44" s="27">
        <v>0</v>
      </c>
      <c r="AT44" s="51">
        <v>1878263.2861198862</v>
      </c>
      <c r="AV44" s="30">
        <v>2882276.1832806845</v>
      </c>
      <c r="AW44" s="27">
        <v>-59079.984698874876</v>
      </c>
      <c r="AX44" s="27">
        <v>2882276.1832806845</v>
      </c>
      <c r="AY44" s="51">
        <v>1937343.2708187611</v>
      </c>
      <c r="BA44" s="30">
        <v>4545951.1821702421</v>
      </c>
      <c r="BB44" s="27">
        <v>1937343.2708187611</v>
      </c>
      <c r="BC44" s="27">
        <v>2608607.911351481</v>
      </c>
      <c r="BD44" s="51">
        <v>0</v>
      </c>
      <c r="BF44" s="30">
        <v>2706781.4545442797</v>
      </c>
      <c r="BG44" s="27">
        <v>0</v>
      </c>
      <c r="BH44" s="27">
        <v>2706781.4545442797</v>
      </c>
      <c r="BI44" s="51">
        <v>0</v>
      </c>
      <c r="BK44" s="30">
        <v>0</v>
      </c>
      <c r="BL44" s="27">
        <v>0</v>
      </c>
      <c r="BM44" s="27">
        <v>0</v>
      </c>
      <c r="BN44" s="51">
        <v>0</v>
      </c>
      <c r="BP44" s="30">
        <v>0</v>
      </c>
      <c r="BQ44" s="20">
        <v>72041907.575000837</v>
      </c>
      <c r="BR44" s="51">
        <v>0</v>
      </c>
      <c r="BT44" s="30">
        <v>2284862.9163819789</v>
      </c>
      <c r="BU44" s="51">
        <v>132859.71831689621</v>
      </c>
      <c r="BW44" s="221">
        <v>1937343.270818755</v>
      </c>
      <c r="BX44" s="222">
        <v>0</v>
      </c>
    </row>
    <row r="45" spans="1:76" ht="16" x14ac:dyDescent="0.2">
      <c r="A45" s="60" t="s">
        <v>211</v>
      </c>
      <c r="B45" s="227" t="s">
        <v>212</v>
      </c>
      <c r="F45" s="151">
        <v>41</v>
      </c>
      <c r="G45" s="30">
        <v>2265794.12</v>
      </c>
      <c r="H45" s="28">
        <v>69419728.69759132</v>
      </c>
      <c r="I45" s="28">
        <v>21886776.850162782</v>
      </c>
      <c r="J45" s="28">
        <v>72290357.019344836</v>
      </c>
      <c r="K45" s="28">
        <v>24778750.48054428</v>
      </c>
      <c r="L45" s="28">
        <v>0</v>
      </c>
      <c r="M45" s="27">
        <v>2887079.9769194857</v>
      </c>
      <c r="N45" s="27">
        <v>420700</v>
      </c>
      <c r="O45" s="51">
        <v>5573574.0969194863</v>
      </c>
      <c r="P45" s="5"/>
      <c r="Q45" s="30">
        <v>35000</v>
      </c>
      <c r="R45" s="27">
        <v>35000</v>
      </c>
      <c r="S45" s="27">
        <v>0</v>
      </c>
      <c r="T45" s="51">
        <v>5538574.0969194863</v>
      </c>
      <c r="U45" s="5"/>
      <c r="V45" s="30">
        <v>0</v>
      </c>
      <c r="W45" s="51">
        <v>5117874.0969194863</v>
      </c>
      <c r="Y45" s="30">
        <v>1867488.8502980834</v>
      </c>
      <c r="Z45" s="27">
        <v>1867488.8502980834</v>
      </c>
      <c r="AA45" s="27">
        <v>0</v>
      </c>
      <c r="AB45" s="51">
        <v>3991971.2109784605</v>
      </c>
      <c r="AD45" s="30">
        <v>809989.17448075721</v>
      </c>
      <c r="AE45" s="27">
        <v>809989.17448075721</v>
      </c>
      <c r="AF45" s="27">
        <v>0</v>
      </c>
      <c r="AG45" s="51">
        <v>3181982.0364977033</v>
      </c>
      <c r="AI45" s="30">
        <v>0</v>
      </c>
      <c r="AJ45" s="51">
        <v>1759268.1928695957</v>
      </c>
      <c r="AL45" s="43">
        <v>420000</v>
      </c>
      <c r="AM45" s="52">
        <v>-700</v>
      </c>
      <c r="AN45" s="53">
        <v>420000</v>
      </c>
      <c r="AO45" s="54">
        <v>1759968.1928695957</v>
      </c>
      <c r="AQ45" s="30">
        <v>0</v>
      </c>
      <c r="AR45" s="27">
        <v>0</v>
      </c>
      <c r="AS45" s="27">
        <v>0</v>
      </c>
      <c r="AT45" s="51">
        <v>1759968.1928695957</v>
      </c>
      <c r="AV45" s="30">
        <v>2829155.5627824301</v>
      </c>
      <c r="AW45" s="27">
        <v>-57924.414137055632</v>
      </c>
      <c r="AX45" s="27">
        <v>2829155.5627824301</v>
      </c>
      <c r="AY45" s="51">
        <v>1817892.6070066513</v>
      </c>
      <c r="BA45" s="30">
        <v>4688520.9287514836</v>
      </c>
      <c r="BB45" s="27">
        <v>1817892.6070066513</v>
      </c>
      <c r="BC45" s="27">
        <v>2870628.3217448322</v>
      </c>
      <c r="BD45" s="51">
        <v>0</v>
      </c>
      <c r="BF45" s="30">
        <v>2891973.6303442791</v>
      </c>
      <c r="BG45" s="27">
        <v>0</v>
      </c>
      <c r="BH45" s="27">
        <v>2891973.6303442791</v>
      </c>
      <c r="BI45" s="51">
        <v>0</v>
      </c>
      <c r="BK45" s="30">
        <v>0</v>
      </c>
      <c r="BL45" s="27">
        <v>0</v>
      </c>
      <c r="BM45" s="27">
        <v>0</v>
      </c>
      <c r="BN45" s="51">
        <v>0</v>
      </c>
      <c r="BP45" s="30">
        <v>0</v>
      </c>
      <c r="BQ45" s="20">
        <v>72041907.575000837</v>
      </c>
      <c r="BR45" s="51">
        <v>0</v>
      </c>
      <c r="BT45" s="30">
        <v>2156558.8158201603</v>
      </c>
      <c r="BU45" s="51">
        <v>132859.71831689621</v>
      </c>
      <c r="BW45" s="221">
        <v>1817892.6070066541</v>
      </c>
      <c r="BX45" s="222">
        <v>0</v>
      </c>
    </row>
    <row r="46" spans="1:76" ht="16" x14ac:dyDescent="0.2">
      <c r="A46" s="60" t="s">
        <v>213</v>
      </c>
      <c r="B46" s="227" t="s">
        <v>212</v>
      </c>
      <c r="F46" s="151">
        <v>42</v>
      </c>
      <c r="G46" s="30">
        <v>2303971.37</v>
      </c>
      <c r="H46" s="28">
        <v>67330301.164863706</v>
      </c>
      <c r="I46" s="28">
        <v>21700570.907659274</v>
      </c>
      <c r="J46" s="28">
        <v>70429343.390877321</v>
      </c>
      <c r="K46" s="28">
        <v>24778750.48054428</v>
      </c>
      <c r="L46" s="28">
        <v>0</v>
      </c>
      <c r="M46" s="27">
        <v>2833870.8220537342</v>
      </c>
      <c r="N46" s="27">
        <v>420700</v>
      </c>
      <c r="O46" s="51">
        <v>5558542.1920537343</v>
      </c>
      <c r="P46" s="5"/>
      <c r="Q46" s="30">
        <v>35000</v>
      </c>
      <c r="R46" s="27">
        <v>35000</v>
      </c>
      <c r="S46" s="27">
        <v>0</v>
      </c>
      <c r="T46" s="51">
        <v>5523542.1920537343</v>
      </c>
      <c r="U46" s="5"/>
      <c r="V46" s="30">
        <v>0</v>
      </c>
      <c r="W46" s="51">
        <v>5102842.1920537343</v>
      </c>
      <c r="Y46" s="30">
        <v>1867250.7761792252</v>
      </c>
      <c r="Z46" s="27">
        <v>1867250.7761792252</v>
      </c>
      <c r="AA46" s="27">
        <v>0</v>
      </c>
      <c r="AB46" s="51">
        <v>3485627.2512146411</v>
      </c>
      <c r="AD46" s="30">
        <v>809989.17448075721</v>
      </c>
      <c r="AE46" s="27">
        <v>809989.17448075721</v>
      </c>
      <c r="AF46" s="27">
        <v>0</v>
      </c>
      <c r="AG46" s="51">
        <v>2675638.0767338839</v>
      </c>
      <c r="AI46" s="30">
        <v>0</v>
      </c>
      <c r="AJ46" s="51">
        <v>1805753.0037733968</v>
      </c>
      <c r="AL46" s="43">
        <v>420000</v>
      </c>
      <c r="AM46" s="52">
        <v>-700</v>
      </c>
      <c r="AN46" s="53">
        <v>420000</v>
      </c>
      <c r="AO46" s="54">
        <v>1806453.0037733968</v>
      </c>
      <c r="AQ46" s="30">
        <v>0</v>
      </c>
      <c r="AR46" s="27">
        <v>0</v>
      </c>
      <c r="AS46" s="27">
        <v>0</v>
      </c>
      <c r="AT46" s="51">
        <v>1806453.0037733968</v>
      </c>
      <c r="AV46" s="30">
        <v>2779310.1973596201</v>
      </c>
      <c r="AW46" s="27">
        <v>-54560.624694114085</v>
      </c>
      <c r="AX46" s="27">
        <v>2779310.1973596201</v>
      </c>
      <c r="AY46" s="51">
        <v>1861013.6284675109</v>
      </c>
      <c r="BA46" s="30">
        <v>4960055.8544448316</v>
      </c>
      <c r="BB46" s="27">
        <v>1861013.6284675109</v>
      </c>
      <c r="BC46" s="27">
        <v>3099042.2259773207</v>
      </c>
      <c r="BD46" s="51">
        <v>0</v>
      </c>
      <c r="BF46" s="30">
        <v>3078179.5728442818</v>
      </c>
      <c r="BG46" s="27">
        <v>0</v>
      </c>
      <c r="BH46" s="27">
        <v>3078179.5728442818</v>
      </c>
      <c r="BI46" s="51">
        <v>0</v>
      </c>
      <c r="BK46" s="30">
        <v>0</v>
      </c>
      <c r="BL46" s="27">
        <v>0</v>
      </c>
      <c r="BM46" s="27">
        <v>0</v>
      </c>
      <c r="BN46" s="51">
        <v>0</v>
      </c>
      <c r="BP46" s="30">
        <v>0</v>
      </c>
      <c r="BQ46" s="20">
        <v>72041907.575000837</v>
      </c>
      <c r="BR46" s="51">
        <v>0</v>
      </c>
      <c r="BT46" s="30">
        <v>2191372.2763772183</v>
      </c>
      <c r="BU46" s="51">
        <v>132859.71831689621</v>
      </c>
      <c r="BW46" s="221">
        <v>1861013.6284675151</v>
      </c>
      <c r="BX46" s="222">
        <v>0</v>
      </c>
    </row>
    <row r="47" spans="1:76" ht="16" x14ac:dyDescent="0.2">
      <c r="A47" s="62" t="s">
        <v>214</v>
      </c>
      <c r="B47" s="228" t="s">
        <v>273</v>
      </c>
      <c r="F47" s="151">
        <v>43</v>
      </c>
      <c r="G47" s="30">
        <v>2364607.2400000002</v>
      </c>
      <c r="H47" s="28">
        <v>65231315.592926107</v>
      </c>
      <c r="I47" s="28">
        <v>21513345.649002165</v>
      </c>
      <c r="J47" s="28">
        <v>68498090.000226825</v>
      </c>
      <c r="K47" s="28">
        <v>24778750.48054428</v>
      </c>
      <c r="L47" s="28">
        <v>0</v>
      </c>
      <c r="M47" s="27">
        <v>2783942.3810218861</v>
      </c>
      <c r="N47" s="27">
        <v>420700</v>
      </c>
      <c r="O47" s="51">
        <v>5569249.6210218864</v>
      </c>
      <c r="P47" s="5"/>
      <c r="Q47" s="30">
        <v>35000</v>
      </c>
      <c r="R47" s="27">
        <v>35000</v>
      </c>
      <c r="S47" s="27">
        <v>0</v>
      </c>
      <c r="T47" s="51">
        <v>5534249.6210218864</v>
      </c>
      <c r="U47" s="5"/>
      <c r="V47" s="30">
        <v>0</v>
      </c>
      <c r="W47" s="51">
        <v>5113549.6210218864</v>
      </c>
      <c r="Y47" s="30">
        <v>1867250.7761792252</v>
      </c>
      <c r="Z47" s="27">
        <v>1867250.7761792252</v>
      </c>
      <c r="AA47" s="27">
        <v>0</v>
      </c>
      <c r="AB47" s="51">
        <v>2953561.4943900527</v>
      </c>
      <c r="AD47" s="30">
        <v>809989.17448075721</v>
      </c>
      <c r="AE47" s="27">
        <v>809989.17448075721</v>
      </c>
      <c r="AF47" s="27">
        <v>0</v>
      </c>
      <c r="AG47" s="51">
        <v>2143572.3199092955</v>
      </c>
      <c r="AI47" s="30">
        <v>0</v>
      </c>
      <c r="AJ47" s="51">
        <v>1874893.4928040868</v>
      </c>
      <c r="AL47" s="43">
        <v>420000</v>
      </c>
      <c r="AM47" s="52">
        <v>-700</v>
      </c>
      <c r="AN47" s="53">
        <v>420000</v>
      </c>
      <c r="AO47" s="54">
        <v>1875593.4928040868</v>
      </c>
      <c r="AQ47" s="30">
        <v>0</v>
      </c>
      <c r="AR47" s="27">
        <v>0</v>
      </c>
      <c r="AS47" s="27">
        <v>0</v>
      </c>
      <c r="AT47" s="51">
        <v>1875593.4928040868</v>
      </c>
      <c r="AV47" s="30">
        <v>2728282.4831754826</v>
      </c>
      <c r="AW47" s="27">
        <v>-55659.897846403532</v>
      </c>
      <c r="AX47" s="27">
        <v>2728282.4831754826</v>
      </c>
      <c r="AY47" s="51">
        <v>1931253.3906504903</v>
      </c>
      <c r="BA47" s="30">
        <v>5198027.7979773208</v>
      </c>
      <c r="BB47" s="27">
        <v>1931253.3906504903</v>
      </c>
      <c r="BC47" s="27">
        <v>3266774.4073268306</v>
      </c>
      <c r="BD47" s="51">
        <v>0</v>
      </c>
      <c r="BF47" s="30">
        <v>3265404.8315442801</v>
      </c>
      <c r="BG47" s="27">
        <v>0</v>
      </c>
      <c r="BH47" s="27">
        <v>3265404.8315442801</v>
      </c>
      <c r="BI47" s="51">
        <v>0</v>
      </c>
      <c r="BK47" s="30">
        <v>0</v>
      </c>
      <c r="BL47" s="27">
        <v>0</v>
      </c>
      <c r="BM47" s="27">
        <v>0</v>
      </c>
      <c r="BN47" s="51">
        <v>0</v>
      </c>
      <c r="BP47" s="30">
        <v>0</v>
      </c>
      <c r="BQ47" s="20">
        <v>72041907.575000837</v>
      </c>
      <c r="BR47" s="51">
        <v>0</v>
      </c>
      <c r="BT47" s="30">
        <v>2253107.4195295079</v>
      </c>
      <c r="BU47" s="51">
        <v>132859.71831689621</v>
      </c>
      <c r="BW47" s="221">
        <v>1931253.3906504959</v>
      </c>
      <c r="BX47" s="222">
        <v>0</v>
      </c>
    </row>
    <row r="48" spans="1:76" ht="16" x14ac:dyDescent="0.2">
      <c r="A48" s="60" t="s">
        <v>216</v>
      </c>
      <c r="B48" s="64">
        <v>0</v>
      </c>
      <c r="F48" s="151">
        <v>44</v>
      </c>
      <c r="G48" s="30">
        <v>2411201.71</v>
      </c>
      <c r="H48" s="28">
        <v>63122728.258743219</v>
      </c>
      <c r="I48" s="28">
        <v>21325095.494318932</v>
      </c>
      <c r="J48" s="28">
        <v>66509575.653084576</v>
      </c>
      <c r="K48" s="28">
        <v>24778750.48054428</v>
      </c>
      <c r="L48" s="28">
        <v>0</v>
      </c>
      <c r="M48" s="27">
        <v>2732829.6206474416</v>
      </c>
      <c r="N48" s="27">
        <v>420700</v>
      </c>
      <c r="O48" s="51">
        <v>5564731.3306474416</v>
      </c>
      <c r="P48" s="5"/>
      <c r="Q48" s="30">
        <v>35000</v>
      </c>
      <c r="R48" s="27">
        <v>35000</v>
      </c>
      <c r="S48" s="27">
        <v>0</v>
      </c>
      <c r="T48" s="51">
        <v>5529731.3306474416</v>
      </c>
      <c r="U48" s="5"/>
      <c r="V48" s="30">
        <v>0</v>
      </c>
      <c r="W48" s="51">
        <v>5109031.3306474416</v>
      </c>
      <c r="Y48" s="30">
        <v>1867250.7761792252</v>
      </c>
      <c r="Z48" s="27">
        <v>1867250.7761792252</v>
      </c>
      <c r="AA48" s="27">
        <v>0</v>
      </c>
      <c r="AB48" s="51">
        <v>2198420.0361453104</v>
      </c>
      <c r="AD48" s="30">
        <v>809989.17448075721</v>
      </c>
      <c r="AE48" s="27">
        <v>809989.17448075721</v>
      </c>
      <c r="AF48" s="27">
        <v>0</v>
      </c>
      <c r="AG48" s="51">
        <v>1388430.8616645532</v>
      </c>
      <c r="AI48" s="30">
        <v>0</v>
      </c>
      <c r="AJ48" s="51">
        <v>1930313.5694992589</v>
      </c>
      <c r="AL48" s="43">
        <v>420000</v>
      </c>
      <c r="AM48" s="52">
        <v>-700</v>
      </c>
      <c r="AN48" s="53">
        <v>420000</v>
      </c>
      <c r="AO48" s="54">
        <v>1931013.5694992589</v>
      </c>
      <c r="AQ48" s="30">
        <v>0</v>
      </c>
      <c r="AR48" s="27">
        <v>0</v>
      </c>
      <c r="AS48" s="27">
        <v>0</v>
      </c>
      <c r="AT48" s="51">
        <v>1931013.5694992589</v>
      </c>
      <c r="AV48" s="30">
        <v>2675328.8430044479</v>
      </c>
      <c r="AW48" s="27">
        <v>-57500.777642993722</v>
      </c>
      <c r="AX48" s="27">
        <v>2675328.8430044479</v>
      </c>
      <c r="AY48" s="51">
        <v>1988514.3471422526</v>
      </c>
      <c r="BA48" s="30">
        <v>5375361.7415268272</v>
      </c>
      <c r="BB48" s="27">
        <v>1988514.3471422526</v>
      </c>
      <c r="BC48" s="27">
        <v>3386847.3943845746</v>
      </c>
      <c r="BD48" s="51">
        <v>0</v>
      </c>
      <c r="BF48" s="30">
        <v>3453654.9862442799</v>
      </c>
      <c r="BG48" s="27">
        <v>0</v>
      </c>
      <c r="BH48" s="27">
        <v>3453654.9862442799</v>
      </c>
      <c r="BI48" s="51">
        <v>0</v>
      </c>
      <c r="BK48" s="30">
        <v>0</v>
      </c>
      <c r="BL48" s="27">
        <v>0</v>
      </c>
      <c r="BM48" s="27">
        <v>0</v>
      </c>
      <c r="BN48" s="51">
        <v>0</v>
      </c>
      <c r="BP48" s="30">
        <v>0</v>
      </c>
      <c r="BQ48" s="20">
        <v>72041907.575000837</v>
      </c>
      <c r="BR48" s="51">
        <v>0</v>
      </c>
      <c r="BT48" s="30">
        <v>2301542.7693260978</v>
      </c>
      <c r="BU48" s="51">
        <v>132859.71831689621</v>
      </c>
      <c r="BW48" s="221">
        <v>1988514.3471422493</v>
      </c>
      <c r="BX48" s="222">
        <v>0</v>
      </c>
    </row>
    <row r="49" spans="1:76" ht="16" x14ac:dyDescent="0.2">
      <c r="A49" s="60" t="s">
        <v>217</v>
      </c>
      <c r="B49" s="64">
        <v>0</v>
      </c>
      <c r="F49" s="151">
        <v>45</v>
      </c>
      <c r="G49" s="30">
        <v>2332951</v>
      </c>
      <c r="H49" s="28">
        <v>61004495.239269927</v>
      </c>
      <c r="I49" s="28">
        <v>21135814.833192088</v>
      </c>
      <c r="J49" s="28">
        <v>64588742.933246203</v>
      </c>
      <c r="K49" s="28">
        <v>24778750.48054428</v>
      </c>
      <c r="L49" s="28">
        <v>0</v>
      </c>
      <c r="M49" s="27">
        <v>2679787.7244094554</v>
      </c>
      <c r="N49" s="27">
        <v>420700</v>
      </c>
      <c r="O49" s="51">
        <v>5433438.7244094554</v>
      </c>
      <c r="P49" s="5"/>
      <c r="Q49" s="30">
        <v>35000</v>
      </c>
      <c r="R49" s="27">
        <v>35000</v>
      </c>
      <c r="S49" s="27">
        <v>0</v>
      </c>
      <c r="T49" s="51">
        <v>5398438.7244094554</v>
      </c>
      <c r="U49" s="5"/>
      <c r="V49" s="30">
        <v>0</v>
      </c>
      <c r="W49" s="51">
        <v>4977738.7244094554</v>
      </c>
      <c r="Y49" s="30">
        <v>1867250.7761792252</v>
      </c>
      <c r="Z49" s="27">
        <v>1867250.7761792252</v>
      </c>
      <c r="AA49" s="27">
        <v>0</v>
      </c>
      <c r="AB49" s="51">
        <v>1905622.3433274236</v>
      </c>
      <c r="AD49" s="30">
        <v>809989.17448075721</v>
      </c>
      <c r="AE49" s="27">
        <v>809989.17448075721</v>
      </c>
      <c r="AF49" s="27">
        <v>0</v>
      </c>
      <c r="AG49" s="51">
        <v>1095633.1688466663</v>
      </c>
      <c r="AI49" s="30">
        <v>0</v>
      </c>
      <c r="AJ49" s="51">
        <v>1861150.1422041319</v>
      </c>
      <c r="AL49" s="43">
        <v>420000</v>
      </c>
      <c r="AM49" s="52">
        <v>-700</v>
      </c>
      <c r="AN49" s="53">
        <v>420000</v>
      </c>
      <c r="AO49" s="54">
        <v>1861850.1422041319</v>
      </c>
      <c r="AQ49" s="30">
        <v>0</v>
      </c>
      <c r="AR49" s="27">
        <v>0</v>
      </c>
      <c r="AS49" s="27">
        <v>0</v>
      </c>
      <c r="AT49" s="51">
        <v>1861850.1422041319</v>
      </c>
      <c r="AV49" s="30">
        <v>2620805.1467752117</v>
      </c>
      <c r="AW49" s="27">
        <v>-58982.57763424376</v>
      </c>
      <c r="AX49" s="27">
        <v>2620805.1467752117</v>
      </c>
      <c r="AY49" s="51">
        <v>1920832.7198383757</v>
      </c>
      <c r="BA49" s="30">
        <v>5505080.4137845784</v>
      </c>
      <c r="BB49" s="27">
        <v>1920832.7198383757</v>
      </c>
      <c r="BC49" s="27">
        <v>3584247.6939462028</v>
      </c>
      <c r="BD49" s="51">
        <v>0</v>
      </c>
      <c r="BF49" s="30">
        <v>3642935.64734428</v>
      </c>
      <c r="BG49" s="27">
        <v>0</v>
      </c>
      <c r="BH49" s="27">
        <v>3642935.64734428</v>
      </c>
      <c r="BI49" s="51">
        <v>0</v>
      </c>
      <c r="BK49" s="30">
        <v>0</v>
      </c>
      <c r="BL49" s="27">
        <v>0</v>
      </c>
      <c r="BM49" s="27">
        <v>0</v>
      </c>
      <c r="BN49" s="51">
        <v>0</v>
      </c>
      <c r="BP49" s="30">
        <v>0</v>
      </c>
      <c r="BQ49" s="20">
        <v>72041907.575000837</v>
      </c>
      <c r="BR49" s="51">
        <v>0</v>
      </c>
      <c r="BT49" s="30">
        <v>2224773.8593173483</v>
      </c>
      <c r="BU49" s="51">
        <v>132859.71831689621</v>
      </c>
      <c r="BW49" s="221">
        <v>1920832.7198383734</v>
      </c>
      <c r="BX49" s="222">
        <v>0</v>
      </c>
    </row>
    <row r="50" spans="1:76" ht="16" x14ac:dyDescent="0.2">
      <c r="A50" s="60" t="s">
        <v>218</v>
      </c>
      <c r="B50" s="65">
        <v>0</v>
      </c>
      <c r="F50" s="151">
        <v>46</v>
      </c>
      <c r="G50" s="30">
        <v>2048860.93</v>
      </c>
      <c r="H50" s="28">
        <v>58876572.410535902</v>
      </c>
      <c r="I50" s="28">
        <v>20945498.024491992</v>
      </c>
      <c r="J50" s="28">
        <v>62945168.954498537</v>
      </c>
      <c r="K50" s="28">
        <v>24778750.48054428</v>
      </c>
      <c r="L50" s="28">
        <v>0</v>
      </c>
      <c r="M50" s="27">
        <v>2625173.1553531704</v>
      </c>
      <c r="N50" s="27">
        <v>420700</v>
      </c>
      <c r="O50" s="51">
        <v>5094734.0853531705</v>
      </c>
      <c r="P50" s="5"/>
      <c r="Q50" s="30">
        <v>35000</v>
      </c>
      <c r="R50" s="27">
        <v>35000</v>
      </c>
      <c r="S50" s="27">
        <v>0</v>
      </c>
      <c r="T50" s="51">
        <v>5059734.0853531705</v>
      </c>
      <c r="U50" s="5"/>
      <c r="V50" s="30">
        <v>0</v>
      </c>
      <c r="W50" s="51">
        <v>4639034.0853531705</v>
      </c>
      <c r="Y50" s="30">
        <v>1867250.7761792252</v>
      </c>
      <c r="Z50" s="27">
        <v>1867250.7761792252</v>
      </c>
      <c r="AA50" s="27">
        <v>0</v>
      </c>
      <c r="AB50" s="51">
        <v>2191981.7182619758</v>
      </c>
      <c r="AD50" s="30">
        <v>809989.17448075721</v>
      </c>
      <c r="AE50" s="27">
        <v>809989.17448075721</v>
      </c>
      <c r="AF50" s="27">
        <v>0</v>
      </c>
      <c r="AG50" s="51">
        <v>1381992.5437812186</v>
      </c>
      <c r="AI50" s="30">
        <v>0</v>
      </c>
      <c r="AJ50" s="51">
        <v>1585838.0576277855</v>
      </c>
      <c r="AL50" s="43">
        <v>420000</v>
      </c>
      <c r="AM50" s="52">
        <v>-700</v>
      </c>
      <c r="AN50" s="53">
        <v>420000</v>
      </c>
      <c r="AO50" s="54">
        <v>1586538.0576277855</v>
      </c>
      <c r="AQ50" s="30">
        <v>0</v>
      </c>
      <c r="AR50" s="27">
        <v>0</v>
      </c>
      <c r="AS50" s="27">
        <v>0</v>
      </c>
      <c r="AT50" s="51">
        <v>1586538.0576277855</v>
      </c>
      <c r="AV50" s="30">
        <v>2568137.2342332895</v>
      </c>
      <c r="AW50" s="27">
        <v>-57035.921119880863</v>
      </c>
      <c r="AX50" s="27">
        <v>2568137.2342332895</v>
      </c>
      <c r="AY50" s="51">
        <v>1643573.9787476663</v>
      </c>
      <c r="BA50" s="30">
        <v>5712170.5227462053</v>
      </c>
      <c r="BB50" s="27">
        <v>1643573.9787476663</v>
      </c>
      <c r="BC50" s="27">
        <v>4068596.543998539</v>
      </c>
      <c r="BD50" s="51">
        <v>0</v>
      </c>
      <c r="BF50" s="30">
        <v>3833252.456044279</v>
      </c>
      <c r="BG50" s="27">
        <v>0</v>
      </c>
      <c r="BH50" s="27">
        <v>3833252.456044279</v>
      </c>
      <c r="BI50" s="51">
        <v>0</v>
      </c>
      <c r="BK50" s="30">
        <v>0</v>
      </c>
      <c r="BL50" s="27">
        <v>0</v>
      </c>
      <c r="BM50" s="27">
        <v>0</v>
      </c>
      <c r="BN50" s="51">
        <v>0</v>
      </c>
      <c r="BP50" s="30">
        <v>0</v>
      </c>
      <c r="BQ50" s="20">
        <v>72041907.575000837</v>
      </c>
      <c r="BR50" s="51">
        <v>0</v>
      </c>
      <c r="BT50" s="30">
        <v>1938737.1328029851</v>
      </c>
      <c r="BU50" s="51">
        <v>132859.71831689621</v>
      </c>
      <c r="BW50" s="221">
        <v>1643573.9787476659</v>
      </c>
      <c r="BX50" s="222">
        <v>0</v>
      </c>
    </row>
    <row r="51" spans="1:76" ht="16" x14ac:dyDescent="0.2">
      <c r="A51" s="62" t="s">
        <v>219</v>
      </c>
      <c r="B51" s="66">
        <v>1</v>
      </c>
      <c r="F51" s="151">
        <v>47</v>
      </c>
      <c r="G51" s="30">
        <v>2532591.9900000002</v>
      </c>
      <c r="H51" s="28">
        <v>56738915.446726888</v>
      </c>
      <c r="I51" s="28">
        <v>20754139.396208677</v>
      </c>
      <c r="J51" s="28">
        <v>60818042.99491363</v>
      </c>
      <c r="K51" s="28">
        <v>24778750.48054428</v>
      </c>
      <c r="L51" s="28">
        <v>0</v>
      </c>
      <c r="M51" s="27">
        <v>2572417.4629570115</v>
      </c>
      <c r="N51" s="27">
        <v>420700</v>
      </c>
      <c r="O51" s="51">
        <v>5525709.4529570118</v>
      </c>
      <c r="P51" s="5"/>
      <c r="Q51" s="30">
        <v>35000</v>
      </c>
      <c r="R51" s="27">
        <v>35000</v>
      </c>
      <c r="S51" s="27">
        <v>0</v>
      </c>
      <c r="T51" s="51">
        <v>5490709.4529570118</v>
      </c>
      <c r="U51" s="5"/>
      <c r="V51" s="30">
        <v>0</v>
      </c>
      <c r="W51" s="51">
        <v>5070009.4529570118</v>
      </c>
      <c r="Y51" s="30">
        <v>1862831.5119157343</v>
      </c>
      <c r="Z51" s="27">
        <v>1862831.5119157343</v>
      </c>
      <c r="AA51" s="27">
        <v>0</v>
      </c>
      <c r="AB51" s="51">
        <v>951359.20345271169</v>
      </c>
      <c r="AD51" s="30">
        <v>809989.17448075721</v>
      </c>
      <c r="AE51" s="27">
        <v>809989.17448075721</v>
      </c>
      <c r="AF51" s="27">
        <v>0</v>
      </c>
      <c r="AG51" s="51">
        <v>141370.02897195448</v>
      </c>
      <c r="AI51" s="30">
        <v>0</v>
      </c>
      <c r="AJ51" s="51">
        <v>2077080.0623754142</v>
      </c>
      <c r="AL51" s="43">
        <v>420000</v>
      </c>
      <c r="AM51" s="52">
        <v>-700</v>
      </c>
      <c r="AN51" s="53">
        <v>420000</v>
      </c>
      <c r="AO51" s="54">
        <v>2077780.0623754142</v>
      </c>
      <c r="AQ51" s="30">
        <v>0</v>
      </c>
      <c r="AR51" s="27">
        <v>0</v>
      </c>
      <c r="AS51" s="27">
        <v>0</v>
      </c>
      <c r="AT51" s="51">
        <v>2077780.0623754142</v>
      </c>
      <c r="AV51" s="30">
        <v>2523071.5657475167</v>
      </c>
      <c r="AW51" s="27">
        <v>-49345.89720949484</v>
      </c>
      <c r="AX51" s="27">
        <v>2523071.5657475167</v>
      </c>
      <c r="AY51" s="51">
        <v>2127125.959584909</v>
      </c>
      <c r="BA51" s="30">
        <v>6206253.5077985376</v>
      </c>
      <c r="BB51" s="27">
        <v>2127125.959584909</v>
      </c>
      <c r="BC51" s="27">
        <v>4079127.5482136286</v>
      </c>
      <c r="BD51" s="51">
        <v>0</v>
      </c>
      <c r="BF51" s="30">
        <v>4024611.084344279</v>
      </c>
      <c r="BG51" s="27">
        <v>0</v>
      </c>
      <c r="BH51" s="27">
        <v>4024611.084344279</v>
      </c>
      <c r="BI51" s="51">
        <v>0</v>
      </c>
      <c r="BK51" s="30">
        <v>0</v>
      </c>
      <c r="BL51" s="27">
        <v>0</v>
      </c>
      <c r="BM51" s="27">
        <v>0</v>
      </c>
      <c r="BN51" s="51">
        <v>0</v>
      </c>
      <c r="BP51" s="30">
        <v>0</v>
      </c>
      <c r="BQ51" s="20">
        <v>72041907.575000837</v>
      </c>
      <c r="BR51" s="51">
        <v>0</v>
      </c>
      <c r="BT51" s="30">
        <v>2414778.1688925992</v>
      </c>
      <c r="BU51" s="51">
        <v>132859.71831689621</v>
      </c>
      <c r="BW51" s="221">
        <v>2127125.9595849067</v>
      </c>
      <c r="BX51" s="222">
        <v>0</v>
      </c>
    </row>
    <row r="52" spans="1:76" ht="16" x14ac:dyDescent="0.2">
      <c r="A52" s="60" t="s">
        <v>220</v>
      </c>
      <c r="B52" s="67">
        <v>0.80876825823851561</v>
      </c>
      <c r="F52" s="151">
        <v>48</v>
      </c>
      <c r="G52" s="30">
        <v>2439896.41</v>
      </c>
      <c r="H52" s="28">
        <v>54591479.819261163</v>
      </c>
      <c r="I52" s="28">
        <v>20561733.245282862</v>
      </c>
      <c r="J52" s="28">
        <v>58760708.340029232</v>
      </c>
      <c r="K52" s="28">
        <v>24778750.48054428</v>
      </c>
      <c r="L52" s="28">
        <v>0</v>
      </c>
      <c r="M52" s="27">
        <v>2527276.6850237628</v>
      </c>
      <c r="N52" s="27">
        <v>420700</v>
      </c>
      <c r="O52" s="51">
        <v>5387873.0950237624</v>
      </c>
      <c r="P52" s="5"/>
      <c r="Q52" s="30">
        <v>35000</v>
      </c>
      <c r="R52" s="27">
        <v>35000</v>
      </c>
      <c r="S52" s="27">
        <v>0</v>
      </c>
      <c r="T52" s="51">
        <v>5352873.0950237624</v>
      </c>
      <c r="U52" s="5"/>
      <c r="V52" s="30">
        <v>0</v>
      </c>
      <c r="W52" s="51">
        <v>4932173.0950237624</v>
      </c>
      <c r="Y52" s="30">
        <v>1862831.5119157343</v>
      </c>
      <c r="Z52" s="27">
        <v>1862831.5119157343</v>
      </c>
      <c r="AA52" s="27">
        <v>0</v>
      </c>
      <c r="AB52" s="51">
        <v>604716.93227697699</v>
      </c>
      <c r="AD52" s="30">
        <v>809989.17448075721</v>
      </c>
      <c r="AE52" s="27">
        <v>604716.93227697699</v>
      </c>
      <c r="AF52" s="27">
        <v>205272.24220378022</v>
      </c>
      <c r="AG52" s="51">
        <v>0</v>
      </c>
      <c r="AI52" s="30">
        <v>0</v>
      </c>
      <c r="AJ52" s="51">
        <v>1994105.2042658045</v>
      </c>
      <c r="AL52" s="43">
        <v>420000</v>
      </c>
      <c r="AM52" s="52">
        <v>-700</v>
      </c>
      <c r="AN52" s="53">
        <v>420000</v>
      </c>
      <c r="AO52" s="54">
        <v>1994805.2042658045</v>
      </c>
      <c r="AQ52" s="30">
        <v>0</v>
      </c>
      <c r="AR52" s="27">
        <v>0</v>
      </c>
      <c r="AS52" s="27">
        <v>0</v>
      </c>
      <c r="AT52" s="51">
        <v>1994805.2042658045</v>
      </c>
      <c r="AV52" s="30">
        <v>2464747.2344051725</v>
      </c>
      <c r="AW52" s="27">
        <v>-62529.450618590228</v>
      </c>
      <c r="AX52" s="27">
        <v>2464747.2344051725</v>
      </c>
      <c r="AY52" s="51">
        <v>2057334.6548843947</v>
      </c>
      <c r="BA52" s="30">
        <v>6226563.1756136268</v>
      </c>
      <c r="BB52" s="27">
        <v>2057334.6548843947</v>
      </c>
      <c r="BC52" s="27">
        <v>4169228.5207292321</v>
      </c>
      <c r="BD52" s="51">
        <v>0</v>
      </c>
      <c r="BF52" s="30">
        <v>4217017.2352442816</v>
      </c>
      <c r="BG52" s="27">
        <v>0</v>
      </c>
      <c r="BH52" s="27">
        <v>4217017.2352442816</v>
      </c>
      <c r="BI52" s="51">
        <v>0</v>
      </c>
      <c r="BK52" s="30">
        <v>0</v>
      </c>
      <c r="BL52" s="27">
        <v>0</v>
      </c>
      <c r="BM52" s="27">
        <v>0</v>
      </c>
      <c r="BN52" s="51">
        <v>0</v>
      </c>
      <c r="BP52" s="30">
        <v>0</v>
      </c>
      <c r="BQ52" s="20">
        <v>72041907.575000837</v>
      </c>
      <c r="BR52" s="51">
        <v>0</v>
      </c>
      <c r="BT52" s="30">
        <v>2335266.142301694</v>
      </c>
      <c r="BU52" s="51">
        <v>132859.71831689621</v>
      </c>
      <c r="BW52" s="221">
        <v>2057334.654884398</v>
      </c>
      <c r="BX52" s="222">
        <v>0</v>
      </c>
    </row>
    <row r="53" spans="1:76" ht="16" x14ac:dyDescent="0.2">
      <c r="A53" s="60" t="s">
        <v>221</v>
      </c>
      <c r="B53" s="68">
        <v>6.7400000000000002E-2</v>
      </c>
      <c r="D53" s="5"/>
      <c r="F53" s="151">
        <v>49</v>
      </c>
      <c r="G53" s="30">
        <v>2270322.92</v>
      </c>
      <c r="H53" s="28">
        <v>52434220.795861878</v>
      </c>
      <c r="I53" s="28">
        <v>20368273.83743595</v>
      </c>
      <c r="J53" s="28">
        <v>56865556.228329584</v>
      </c>
      <c r="K53" s="28">
        <v>24778750.48054428</v>
      </c>
      <c r="L53" s="28">
        <v>0</v>
      </c>
      <c r="M53" s="27">
        <v>2468855.1464625145</v>
      </c>
      <c r="N53" s="27">
        <v>420700</v>
      </c>
      <c r="O53" s="51">
        <v>5159878.0664625149</v>
      </c>
      <c r="P53" s="5"/>
      <c r="Q53" s="30">
        <v>35000</v>
      </c>
      <c r="R53" s="27">
        <v>35000</v>
      </c>
      <c r="S53" s="27">
        <v>0</v>
      </c>
      <c r="T53" s="51">
        <v>5124878.0664625149</v>
      </c>
      <c r="U53" s="5"/>
      <c r="V53" s="30">
        <v>0</v>
      </c>
      <c r="W53" s="51">
        <v>4704178.0664625149</v>
      </c>
      <c r="Y53" s="30">
        <v>1862831.5119157343</v>
      </c>
      <c r="Z53" s="27">
        <v>1862831.5119157343</v>
      </c>
      <c r="AA53" s="27">
        <v>0</v>
      </c>
      <c r="AB53" s="51">
        <v>643068.73163361079</v>
      </c>
      <c r="AD53" s="30">
        <v>1021053.0217494643</v>
      </c>
      <c r="AE53" s="27">
        <v>604716.93227697699</v>
      </c>
      <c r="AF53" s="27">
        <v>416336.08947248734</v>
      </c>
      <c r="AG53" s="51">
        <v>38351.799356633797</v>
      </c>
      <c r="AI53" s="30">
        <v>0</v>
      </c>
      <c r="AJ53" s="51">
        <v>1833933.4978910196</v>
      </c>
      <c r="AL53" s="43">
        <v>420000</v>
      </c>
      <c r="AM53" s="52">
        <v>-700</v>
      </c>
      <c r="AN53" s="53">
        <v>420000</v>
      </c>
      <c r="AO53" s="54">
        <v>1834633.4978910196</v>
      </c>
      <c r="AQ53" s="30">
        <v>0</v>
      </c>
      <c r="AR53" s="27">
        <v>0</v>
      </c>
      <c r="AS53" s="27">
        <v>0</v>
      </c>
      <c r="AT53" s="51">
        <v>1834633.4978910196</v>
      </c>
      <c r="AV53" s="30">
        <v>2408336.532653885</v>
      </c>
      <c r="AW53" s="27">
        <v>-60518.613808629569</v>
      </c>
      <c r="AX53" s="27">
        <v>2408336.532653885</v>
      </c>
      <c r="AY53" s="51">
        <v>1895152.1116996491</v>
      </c>
      <c r="BA53" s="30">
        <v>6326487.5441292301</v>
      </c>
      <c r="BB53" s="27">
        <v>1895152.1116996491</v>
      </c>
      <c r="BC53" s="27">
        <v>4431335.4324295809</v>
      </c>
      <c r="BD53" s="51">
        <v>0</v>
      </c>
      <c r="BF53" s="30">
        <v>4410476.6431442797</v>
      </c>
      <c r="BG53" s="27">
        <v>0</v>
      </c>
      <c r="BH53" s="27">
        <v>4410476.6431442797</v>
      </c>
      <c r="BI53" s="51">
        <v>0</v>
      </c>
      <c r="BK53" s="30">
        <v>0</v>
      </c>
      <c r="BL53" s="27">
        <v>0</v>
      </c>
      <c r="BM53" s="27">
        <v>0</v>
      </c>
      <c r="BN53" s="51">
        <v>0</v>
      </c>
      <c r="BP53" s="30">
        <v>0</v>
      </c>
      <c r="BQ53" s="20">
        <v>72041907.575000837</v>
      </c>
      <c r="BR53" s="51">
        <v>0</v>
      </c>
      <c r="BT53" s="30">
        <v>2163681.8154917336</v>
      </c>
      <c r="BU53" s="51">
        <v>132859.71831689621</v>
      </c>
      <c r="BW53" s="221">
        <v>1895152.1116996482</v>
      </c>
      <c r="BX53" s="222">
        <v>0</v>
      </c>
    </row>
    <row r="54" spans="1:76" ht="16" x14ac:dyDescent="0.2">
      <c r="A54" s="60" t="s">
        <v>222</v>
      </c>
      <c r="B54" s="69">
        <v>0</v>
      </c>
      <c r="D54" s="229"/>
      <c r="F54" s="151">
        <v>50</v>
      </c>
      <c r="G54" s="30">
        <v>1885091.57</v>
      </c>
      <c r="H54" s="28">
        <v>50267093.439625539</v>
      </c>
      <c r="I54" s="28">
        <v>20173755.40699913</v>
      </c>
      <c r="J54" s="28">
        <v>55351515.790307276</v>
      </c>
      <c r="K54" s="28">
        <v>24778750.48054428</v>
      </c>
      <c r="L54" s="28">
        <v>0</v>
      </c>
      <c r="M54" s="27">
        <v>2412350.4268749747</v>
      </c>
      <c r="N54" s="27">
        <v>420700</v>
      </c>
      <c r="O54" s="51">
        <v>4718141.996874975</v>
      </c>
      <c r="P54" s="5"/>
      <c r="Q54" s="30">
        <v>35000</v>
      </c>
      <c r="R54" s="27">
        <v>35000</v>
      </c>
      <c r="S54" s="27">
        <v>0</v>
      </c>
      <c r="T54" s="51">
        <v>4683141.996874975</v>
      </c>
      <c r="U54" s="5"/>
      <c r="V54" s="30">
        <v>0</v>
      </c>
      <c r="W54" s="51">
        <v>4262441.996874975</v>
      </c>
      <c r="Y54" s="30">
        <v>1862235.8462251783</v>
      </c>
      <c r="Z54" s="27">
        <v>1862235.8462251783</v>
      </c>
      <c r="AA54" s="27">
        <v>0</v>
      </c>
      <c r="AB54" s="51">
        <v>763925.93145474186</v>
      </c>
      <c r="AD54" s="30">
        <v>1238071.8799526303</v>
      </c>
      <c r="AE54" s="27">
        <v>604716.93227697699</v>
      </c>
      <c r="AF54" s="27">
        <v>633354.94767565327</v>
      </c>
      <c r="AG54" s="51">
        <v>159208.99917776487</v>
      </c>
      <c r="AI54" s="30">
        <v>0</v>
      </c>
      <c r="AJ54" s="51">
        <v>1457362.7758781905</v>
      </c>
      <c r="AL54" s="43">
        <v>420000</v>
      </c>
      <c r="AM54" s="52">
        <v>-700</v>
      </c>
      <c r="AN54" s="53">
        <v>420000</v>
      </c>
      <c r="AO54" s="54">
        <v>1458062.7758781905</v>
      </c>
      <c r="AQ54" s="30">
        <v>0</v>
      </c>
      <c r="AR54" s="27">
        <v>0</v>
      </c>
      <c r="AS54" s="27">
        <v>0</v>
      </c>
      <c r="AT54" s="51">
        <v>1458062.7758781905</v>
      </c>
      <c r="AV54" s="30">
        <v>2356372.7647308586</v>
      </c>
      <c r="AW54" s="27">
        <v>-55977.662144116126</v>
      </c>
      <c r="AX54" s="27">
        <v>2356372.7647308586</v>
      </c>
      <c r="AY54" s="51">
        <v>1514040.4380223067</v>
      </c>
      <c r="BA54" s="30">
        <v>6598462.7887295857</v>
      </c>
      <c r="BB54" s="27">
        <v>1514040.4380223067</v>
      </c>
      <c r="BC54" s="27">
        <v>5084422.3507072795</v>
      </c>
      <c r="BD54" s="51">
        <v>0</v>
      </c>
      <c r="BF54" s="30">
        <v>4604995.0735442787</v>
      </c>
      <c r="BG54" s="27">
        <v>0</v>
      </c>
      <c r="BH54" s="27">
        <v>4604995.0735442787</v>
      </c>
      <c r="BI54" s="51">
        <v>0</v>
      </c>
      <c r="BK54" s="30">
        <v>0</v>
      </c>
      <c r="BL54" s="27">
        <v>0</v>
      </c>
      <c r="BM54" s="27">
        <v>0</v>
      </c>
      <c r="BN54" s="51">
        <v>0</v>
      </c>
      <c r="BP54" s="30">
        <v>0</v>
      </c>
      <c r="BQ54" s="20">
        <v>72041907.575000837</v>
      </c>
      <c r="BR54" s="51">
        <v>0</v>
      </c>
      <c r="BT54" s="30">
        <v>1773909.5138272203</v>
      </c>
      <c r="BU54" s="51">
        <v>132859.71831689621</v>
      </c>
      <c r="BW54" s="221">
        <v>1514040.4380223081</v>
      </c>
      <c r="BX54" s="222">
        <v>0</v>
      </c>
    </row>
    <row r="55" spans="1:76" ht="16" x14ac:dyDescent="0.2">
      <c r="A55" s="60" t="s">
        <v>223</v>
      </c>
      <c r="B55" s="69">
        <v>39.791515405985258</v>
      </c>
      <c r="D55" s="27"/>
      <c r="F55" s="151">
        <v>51</v>
      </c>
      <c r="G55" s="30">
        <v>2692488.9</v>
      </c>
      <c r="H55" s="28">
        <v>48090052.608085796</v>
      </c>
      <c r="I55" s="28">
        <v>19978172.156741567</v>
      </c>
      <c r="J55" s="28">
        <v>53033695.457320578</v>
      </c>
      <c r="K55" s="28">
        <v>24778750.48054428</v>
      </c>
      <c r="L55" s="28">
        <v>0</v>
      </c>
      <c r="M55" s="27">
        <v>2360300.0526720765</v>
      </c>
      <c r="N55" s="27">
        <v>420700</v>
      </c>
      <c r="O55" s="51">
        <v>5473488.9526720764</v>
      </c>
      <c r="P55" s="5"/>
      <c r="Q55" s="30">
        <v>35000</v>
      </c>
      <c r="R55" s="27">
        <v>35000</v>
      </c>
      <c r="S55" s="27">
        <v>0</v>
      </c>
      <c r="T55" s="51">
        <v>5438488.9526720764</v>
      </c>
      <c r="U55" s="5"/>
      <c r="V55" s="30">
        <v>0</v>
      </c>
      <c r="W55" s="51">
        <v>5017788.9526720764</v>
      </c>
      <c r="Y55" s="30">
        <v>1859763.0720651953</v>
      </c>
      <c r="Z55" s="27">
        <v>1859763.0720651953</v>
      </c>
      <c r="AA55" s="27">
        <v>0</v>
      </c>
      <c r="AB55" s="51">
        <v>132872.22168079135</v>
      </c>
      <c r="AD55" s="30">
        <v>1461213.7653359952</v>
      </c>
      <c r="AE55" s="27">
        <v>132872.22168079135</v>
      </c>
      <c r="AF55" s="27">
        <v>1328341.5436552039</v>
      </c>
      <c r="AG55" s="51">
        <v>0</v>
      </c>
      <c r="AI55" s="30">
        <v>0</v>
      </c>
      <c r="AJ55" s="51">
        <v>2271679.0971878036</v>
      </c>
      <c r="AL55" s="43">
        <v>420000</v>
      </c>
      <c r="AM55" s="52">
        <v>-700</v>
      </c>
      <c r="AN55" s="53">
        <v>420000</v>
      </c>
      <c r="AO55" s="54">
        <v>2272379.0971878036</v>
      </c>
      <c r="AQ55" s="30">
        <v>0</v>
      </c>
      <c r="AR55" s="27">
        <v>0</v>
      </c>
      <c r="AS55" s="27">
        <v>0</v>
      </c>
      <c r="AT55" s="51">
        <v>2272379.0971878036</v>
      </c>
      <c r="AV55" s="30">
        <v>2314858.8168731807</v>
      </c>
      <c r="AW55" s="27">
        <v>-45441.235798895825</v>
      </c>
      <c r="AX55" s="27">
        <v>2314858.8168731807</v>
      </c>
      <c r="AY55" s="51">
        <v>2317820.3329866994</v>
      </c>
      <c r="BA55" s="30">
        <v>7261463.1822072789</v>
      </c>
      <c r="BB55" s="27">
        <v>2317820.3329866994</v>
      </c>
      <c r="BC55" s="27">
        <v>4943642.8492205795</v>
      </c>
      <c r="BD55" s="51">
        <v>0</v>
      </c>
      <c r="BF55" s="30">
        <v>4800578.3238442801</v>
      </c>
      <c r="BG55" s="27">
        <v>0</v>
      </c>
      <c r="BH55" s="27">
        <v>4800578.3238442801</v>
      </c>
      <c r="BI55" s="51">
        <v>0</v>
      </c>
      <c r="BK55" s="30">
        <v>0</v>
      </c>
      <c r="BL55" s="27">
        <v>0</v>
      </c>
      <c r="BM55" s="27">
        <v>0</v>
      </c>
      <c r="BN55" s="51">
        <v>0</v>
      </c>
      <c r="BP55" s="30">
        <v>0</v>
      </c>
      <c r="BQ55" s="20">
        <v>72041907.575000837</v>
      </c>
      <c r="BR55" s="51">
        <v>0</v>
      </c>
      <c r="BT55" s="30">
        <v>2570770.4174819998</v>
      </c>
      <c r="BU55" s="51">
        <v>132859.71831689621</v>
      </c>
      <c r="BW55" s="221">
        <v>2317820.3329866976</v>
      </c>
      <c r="BX55" s="222">
        <v>0</v>
      </c>
    </row>
    <row r="56" spans="1:76" ht="16" x14ac:dyDescent="0.2">
      <c r="A56" s="60" t="s">
        <v>224</v>
      </c>
      <c r="B56" s="69">
        <v>82.301475080840689</v>
      </c>
      <c r="D56" s="27"/>
      <c r="F56" s="151">
        <v>52</v>
      </c>
      <c r="G56" s="30">
        <v>2074080.43</v>
      </c>
      <c r="H56" s="28">
        <v>45903052.952272929</v>
      </c>
      <c r="I56" s="28">
        <v>19781518.257697593</v>
      </c>
      <c r="J56" s="28">
        <v>51301721.518826932</v>
      </c>
      <c r="K56" s="28">
        <v>24778750.48054428</v>
      </c>
      <c r="L56" s="28">
        <v>0</v>
      </c>
      <c r="M56" s="27">
        <v>2318716.9149013027</v>
      </c>
      <c r="N56" s="27">
        <v>420700</v>
      </c>
      <c r="O56" s="51">
        <v>4813497.3449013028</v>
      </c>
      <c r="P56" s="5"/>
      <c r="Q56" s="30">
        <v>35000</v>
      </c>
      <c r="R56" s="27">
        <v>35000</v>
      </c>
      <c r="S56" s="27">
        <v>0</v>
      </c>
      <c r="T56" s="51">
        <v>4778497.3449013028</v>
      </c>
      <c r="U56" s="5"/>
      <c r="V56" s="30">
        <v>0</v>
      </c>
      <c r="W56" s="51">
        <v>4357797.3449013028</v>
      </c>
      <c r="Y56" s="30">
        <v>1859763.0720651953</v>
      </c>
      <c r="Z56" s="27">
        <v>1859763.0720651953</v>
      </c>
      <c r="AA56" s="27">
        <v>0</v>
      </c>
      <c r="AB56" s="51">
        <v>137381.22530483105</v>
      </c>
      <c r="AD56" s="30">
        <v>2175808.8960405458</v>
      </c>
      <c r="AE56" s="27">
        <v>132872.22168079135</v>
      </c>
      <c r="AF56" s="27">
        <v>2042936.6743597544</v>
      </c>
      <c r="AG56" s="51">
        <v>4509.0036240397021</v>
      </c>
      <c r="AI56" s="30">
        <v>0</v>
      </c>
      <c r="AJ56" s="51">
        <v>1663862.8005131916</v>
      </c>
      <c r="AL56" s="43">
        <v>420000</v>
      </c>
      <c r="AM56" s="52">
        <v>-700</v>
      </c>
      <c r="AN56" s="53">
        <v>420000</v>
      </c>
      <c r="AO56" s="54">
        <v>1664562.8005131916</v>
      </c>
      <c r="AQ56" s="30">
        <v>0</v>
      </c>
      <c r="AR56" s="27">
        <v>0</v>
      </c>
      <c r="AS56" s="27">
        <v>0</v>
      </c>
      <c r="AT56" s="51">
        <v>1664562.8005131916</v>
      </c>
      <c r="AV56" s="30">
        <v>2251305.7769208499</v>
      </c>
      <c r="AW56" s="27">
        <v>-67411.137980452739</v>
      </c>
      <c r="AX56" s="27">
        <v>2251305.7769208499</v>
      </c>
      <c r="AY56" s="51">
        <v>1731973.9384936444</v>
      </c>
      <c r="BA56" s="30">
        <v>7130642.5050205812</v>
      </c>
      <c r="BB56" s="27">
        <v>1731973.9384936444</v>
      </c>
      <c r="BC56" s="27">
        <v>5398668.5665269364</v>
      </c>
      <c r="BD56" s="51">
        <v>0</v>
      </c>
      <c r="BF56" s="30">
        <v>4997232.2228442803</v>
      </c>
      <c r="BG56" s="27">
        <v>0</v>
      </c>
      <c r="BH56" s="27">
        <v>4997232.2228442803</v>
      </c>
      <c r="BI56" s="51">
        <v>0</v>
      </c>
      <c r="BK56" s="30">
        <v>0</v>
      </c>
      <c r="BL56" s="27">
        <v>0</v>
      </c>
      <c r="BM56" s="27">
        <v>0</v>
      </c>
      <c r="BN56" s="51">
        <v>0</v>
      </c>
      <c r="BP56" s="30">
        <v>0</v>
      </c>
      <c r="BQ56" s="20">
        <v>72041907.575000837</v>
      </c>
      <c r="BR56" s="51">
        <v>0</v>
      </c>
      <c r="BT56" s="30">
        <v>1974331.8496635566</v>
      </c>
      <c r="BU56" s="51">
        <v>132859.71831689621</v>
      </c>
      <c r="BW56" s="221">
        <v>1731973.9384936467</v>
      </c>
      <c r="BX56" s="222">
        <v>0</v>
      </c>
    </row>
    <row r="57" spans="1:76" ht="16" x14ac:dyDescent="0.2">
      <c r="A57" s="61" t="s">
        <v>225</v>
      </c>
      <c r="B57" s="69">
        <v>0</v>
      </c>
      <c r="D57" s="5"/>
      <c r="F57" s="151">
        <v>53</v>
      </c>
      <c r="G57" s="30">
        <v>2577868.56</v>
      </c>
      <c r="H57" s="28">
        <v>43706048.915769592</v>
      </c>
      <c r="I57" s="28">
        <v>19583787.848993033</v>
      </c>
      <c r="J57" s="28">
        <v>49074213.954980746</v>
      </c>
      <c r="K57" s="28">
        <v>24778750.48054428</v>
      </c>
      <c r="L57" s="28">
        <v>0</v>
      </c>
      <c r="M57" s="27">
        <v>2255057.9532157178</v>
      </c>
      <c r="N57" s="27">
        <v>420700</v>
      </c>
      <c r="O57" s="51">
        <v>5253626.5132157179</v>
      </c>
      <c r="P57" s="5"/>
      <c r="Q57" s="30">
        <v>35000</v>
      </c>
      <c r="R57" s="27">
        <v>35000</v>
      </c>
      <c r="S57" s="27">
        <v>0</v>
      </c>
      <c r="T57" s="51">
        <v>5218626.5132157179</v>
      </c>
      <c r="U57" s="5"/>
      <c r="V57" s="30">
        <v>0</v>
      </c>
      <c r="W57" s="51">
        <v>4797926.5132157179</v>
      </c>
      <c r="Y57" s="30">
        <v>1859693.0399206157</v>
      </c>
      <c r="Z57" s="27">
        <v>1859693.0399206157</v>
      </c>
      <c r="AA57" s="27">
        <v>0</v>
      </c>
      <c r="AB57" s="51">
        <v>938995.51176891779</v>
      </c>
      <c r="AD57" s="30">
        <v>2910565.801829387</v>
      </c>
      <c r="AE57" s="27">
        <v>132872.22168079135</v>
      </c>
      <c r="AF57" s="27">
        <v>2777693.5801485954</v>
      </c>
      <c r="AG57" s="51">
        <v>806123.29008812644</v>
      </c>
      <c r="AI57" s="30">
        <v>0</v>
      </c>
      <c r="AJ57" s="51">
        <v>2175565.8529472104</v>
      </c>
      <c r="AL57" s="43">
        <v>420000</v>
      </c>
      <c r="AM57" s="52">
        <v>-700</v>
      </c>
      <c r="AN57" s="53">
        <v>420000</v>
      </c>
      <c r="AO57" s="54">
        <v>2176265.8529472104</v>
      </c>
      <c r="AQ57" s="30">
        <v>0</v>
      </c>
      <c r="AR57" s="27">
        <v>0</v>
      </c>
      <c r="AS57" s="27">
        <v>0</v>
      </c>
      <c r="AT57" s="51">
        <v>2176265.8529472104</v>
      </c>
      <c r="AV57" s="30">
        <v>2203816.2423167392</v>
      </c>
      <c r="AW57" s="27">
        <v>-51241.710898978636</v>
      </c>
      <c r="AX57" s="27">
        <v>2203816.2423167392</v>
      </c>
      <c r="AY57" s="51">
        <v>2227507.5638461891</v>
      </c>
      <c r="BA57" s="30">
        <v>7595672.603026934</v>
      </c>
      <c r="BB57" s="27">
        <v>2227507.5638461891</v>
      </c>
      <c r="BC57" s="27">
        <v>5368165.0391807444</v>
      </c>
      <c r="BD57" s="51">
        <v>0</v>
      </c>
      <c r="BF57" s="30">
        <v>5194962.6315442808</v>
      </c>
      <c r="BG57" s="27">
        <v>0</v>
      </c>
      <c r="BH57" s="27">
        <v>5194962.6315442808</v>
      </c>
      <c r="BI57" s="51">
        <v>0</v>
      </c>
      <c r="BK57" s="30">
        <v>0</v>
      </c>
      <c r="BL57" s="27">
        <v>0</v>
      </c>
      <c r="BM57" s="27">
        <v>0</v>
      </c>
      <c r="BN57" s="51">
        <v>0</v>
      </c>
      <c r="BP57" s="30">
        <v>0</v>
      </c>
      <c r="BQ57" s="20">
        <v>72041907.575000837</v>
      </c>
      <c r="BR57" s="51">
        <v>0</v>
      </c>
      <c r="BT57" s="30">
        <v>2461950.5525820828</v>
      </c>
      <c r="BU57" s="51">
        <v>132859.71831689621</v>
      </c>
      <c r="BW57" s="221">
        <v>2227507.5638461858</v>
      </c>
      <c r="BX57" s="222">
        <v>0</v>
      </c>
    </row>
    <row r="58" spans="1:76" ht="16" x14ac:dyDescent="0.2">
      <c r="A58" s="63" t="s">
        <v>226</v>
      </c>
      <c r="B58" s="70">
        <v>0</v>
      </c>
      <c r="D58" s="5"/>
      <c r="F58" s="151">
        <v>54</v>
      </c>
      <c r="G58" s="30">
        <v>2246713.89</v>
      </c>
      <c r="H58" s="28">
        <v>41498994.733761474</v>
      </c>
      <c r="I58" s="28">
        <v>19384975.037670482</v>
      </c>
      <c r="J58" s="28">
        <v>47154173.564728238</v>
      </c>
      <c r="K58" s="28">
        <v>24778750.48054428</v>
      </c>
      <c r="L58" s="28">
        <v>0</v>
      </c>
      <c r="M58" s="27">
        <v>2207489.2693872671</v>
      </c>
      <c r="N58" s="27">
        <v>420700</v>
      </c>
      <c r="O58" s="51">
        <v>4874903.1593872672</v>
      </c>
      <c r="P58" s="5"/>
      <c r="Q58" s="30">
        <v>35000</v>
      </c>
      <c r="R58" s="27">
        <v>35000</v>
      </c>
      <c r="S58" s="27">
        <v>0</v>
      </c>
      <c r="T58" s="51">
        <v>4839903.1593872672</v>
      </c>
      <c r="U58" s="5"/>
      <c r="V58" s="30">
        <v>0</v>
      </c>
      <c r="W58" s="51">
        <v>4419203.1593872672</v>
      </c>
      <c r="Y58" s="30">
        <v>1847172.6368542996</v>
      </c>
      <c r="Z58" s="27">
        <v>1847172.6368542996</v>
      </c>
      <c r="AA58" s="27">
        <v>0</v>
      </c>
      <c r="AB58" s="51">
        <v>424318.49947672966</v>
      </c>
      <c r="AD58" s="30">
        <v>3666053.3323309063</v>
      </c>
      <c r="AE58" s="27">
        <v>132872.22168079135</v>
      </c>
      <c r="AF58" s="27">
        <v>3533181.1106501147</v>
      </c>
      <c r="AG58" s="51">
        <v>291446.27779593831</v>
      </c>
      <c r="AI58" s="30">
        <v>0</v>
      </c>
      <c r="AJ58" s="51">
        <v>1854590.6372664627</v>
      </c>
      <c r="AL58" s="43">
        <v>420000</v>
      </c>
      <c r="AM58" s="52">
        <v>-700</v>
      </c>
      <c r="AN58" s="53">
        <v>420000</v>
      </c>
      <c r="AO58" s="54">
        <v>1855290.6372664627</v>
      </c>
      <c r="AQ58" s="30">
        <v>0</v>
      </c>
      <c r="AR58" s="27">
        <v>0</v>
      </c>
      <c r="AS58" s="27">
        <v>0</v>
      </c>
      <c r="AT58" s="51">
        <v>1855290.6372664627</v>
      </c>
      <c r="AV58" s="30">
        <v>2142739.5164012248</v>
      </c>
      <c r="AW58" s="27">
        <v>-64749.752986042295</v>
      </c>
      <c r="AX58" s="27">
        <v>2142739.5164012248</v>
      </c>
      <c r="AY58" s="51">
        <v>1920040.390252505</v>
      </c>
      <c r="BA58" s="30">
        <v>7575219.2211807445</v>
      </c>
      <c r="BB58" s="27">
        <v>1920040.390252505</v>
      </c>
      <c r="BC58" s="27">
        <v>5655178.83092824</v>
      </c>
      <c r="BD58" s="51">
        <v>0</v>
      </c>
      <c r="BF58" s="30">
        <v>5393775.4428442791</v>
      </c>
      <c r="BG58" s="27">
        <v>0</v>
      </c>
      <c r="BH58" s="27">
        <v>5393775.4428442791</v>
      </c>
      <c r="BI58" s="51">
        <v>0</v>
      </c>
      <c r="BK58" s="30">
        <v>0</v>
      </c>
      <c r="BL58" s="27">
        <v>0</v>
      </c>
      <c r="BM58" s="27">
        <v>0</v>
      </c>
      <c r="BN58" s="51">
        <v>0</v>
      </c>
      <c r="BP58" s="30">
        <v>0</v>
      </c>
      <c r="BQ58" s="20">
        <v>72041907.575000837</v>
      </c>
      <c r="BR58" s="51">
        <v>0</v>
      </c>
      <c r="BT58" s="30">
        <v>2144303.9246691461</v>
      </c>
      <c r="BU58" s="51">
        <v>132859.71831689621</v>
      </c>
      <c r="BW58" s="221">
        <v>1920040.3902525082</v>
      </c>
      <c r="BX58" s="222">
        <v>0</v>
      </c>
    </row>
    <row r="59" spans="1:76" ht="16" x14ac:dyDescent="0.2">
      <c r="A59" s="207"/>
      <c r="B59" s="208"/>
      <c r="F59" s="151">
        <v>55</v>
      </c>
      <c r="G59" s="30">
        <v>2131043.2400000002</v>
      </c>
      <c r="H59" s="28">
        <v>39281844.432084322</v>
      </c>
      <c r="I59" s="28">
        <v>19185073.898513701</v>
      </c>
      <c r="J59" s="28">
        <v>45349561.792956769</v>
      </c>
      <c r="K59" s="28">
        <v>24778750.48054428</v>
      </c>
      <c r="L59" s="28">
        <v>0</v>
      </c>
      <c r="M59" s="27">
        <v>2146310.7489285599</v>
      </c>
      <c r="N59" s="27">
        <v>420700</v>
      </c>
      <c r="O59" s="51">
        <v>4698053.9889285602</v>
      </c>
      <c r="P59" s="5"/>
      <c r="Q59" s="30">
        <v>35000</v>
      </c>
      <c r="R59" s="27">
        <v>35000</v>
      </c>
      <c r="S59" s="27">
        <v>0</v>
      </c>
      <c r="T59" s="51">
        <v>4663053.9889285602</v>
      </c>
      <c r="U59" s="5"/>
      <c r="V59" s="30">
        <v>0</v>
      </c>
      <c r="W59" s="51">
        <v>4242353.9889285602</v>
      </c>
      <c r="Y59" s="30">
        <v>1842646.0031308355</v>
      </c>
      <c r="Z59" s="27">
        <v>1842646.0031308355</v>
      </c>
      <c r="AA59" s="27">
        <v>0</v>
      </c>
      <c r="AB59" s="51">
        <v>332097.36100244895</v>
      </c>
      <c r="AD59" s="30">
        <v>4442856.3868466178</v>
      </c>
      <c r="AE59" s="27">
        <v>132872.22168079135</v>
      </c>
      <c r="AF59" s="27">
        <v>4309984.1651658267</v>
      </c>
      <c r="AG59" s="51">
        <v>199225.1393216576</v>
      </c>
      <c r="AI59" s="30">
        <v>0</v>
      </c>
      <c r="AJ59" s="51">
        <v>1747694.3518347009</v>
      </c>
      <c r="AL59" s="43">
        <v>420000</v>
      </c>
      <c r="AM59" s="52">
        <v>-700</v>
      </c>
      <c r="AN59" s="53">
        <v>420000</v>
      </c>
      <c r="AO59" s="54">
        <v>1748394.3518347009</v>
      </c>
      <c r="AQ59" s="30">
        <v>0</v>
      </c>
      <c r="AR59" s="27">
        <v>0</v>
      </c>
      <c r="AS59" s="27">
        <v>0</v>
      </c>
      <c r="AT59" s="51">
        <v>1748394.3518347009</v>
      </c>
      <c r="AV59" s="30">
        <v>2090093.328991794</v>
      </c>
      <c r="AW59" s="27">
        <v>-56217.419936765917</v>
      </c>
      <c r="AX59" s="27">
        <v>2090093.328991794</v>
      </c>
      <c r="AY59" s="51">
        <v>1804611.7717714668</v>
      </c>
      <c r="BA59" s="30">
        <v>7872329.1326282397</v>
      </c>
      <c r="BB59" s="27">
        <v>1804611.7717714668</v>
      </c>
      <c r="BC59" s="27">
        <v>6067717.3608567733</v>
      </c>
      <c r="BD59" s="51">
        <v>0</v>
      </c>
      <c r="BF59" s="30">
        <v>5593676.5820442811</v>
      </c>
      <c r="BG59" s="27">
        <v>0</v>
      </c>
      <c r="BH59" s="27">
        <v>5593676.5820442811</v>
      </c>
      <c r="BI59" s="51">
        <v>0</v>
      </c>
      <c r="BK59" s="30">
        <v>0</v>
      </c>
      <c r="BL59" s="27">
        <v>0</v>
      </c>
      <c r="BM59" s="27">
        <v>0</v>
      </c>
      <c r="BN59" s="51">
        <v>0</v>
      </c>
      <c r="BP59" s="30">
        <v>0</v>
      </c>
      <c r="BQ59" s="20">
        <v>72041907.575000837</v>
      </c>
      <c r="BR59" s="51">
        <v>0</v>
      </c>
      <c r="BT59" s="30">
        <v>2020100.9416198696</v>
      </c>
      <c r="BU59" s="51">
        <v>132859.71831689621</v>
      </c>
      <c r="BW59" s="221">
        <v>1804611.7717714682</v>
      </c>
      <c r="BX59" s="222">
        <v>0</v>
      </c>
    </row>
    <row r="60" spans="1:76" ht="16" x14ac:dyDescent="0.2">
      <c r="A60" s="72" t="s">
        <v>228</v>
      </c>
      <c r="B60" s="71" t="s">
        <v>227</v>
      </c>
      <c r="F60" s="151">
        <v>56</v>
      </c>
      <c r="G60" s="30">
        <v>2363901.91</v>
      </c>
      <c r="H60" s="28">
        <v>37054551.826265909</v>
      </c>
      <c r="I60" s="28">
        <v>18984078.473871037</v>
      </c>
      <c r="J60" s="28">
        <v>43307097.199180126</v>
      </c>
      <c r="K60" s="28">
        <v>24778750.48054428</v>
      </c>
      <c r="L60" s="28">
        <v>0</v>
      </c>
      <c r="M60" s="27">
        <v>2093576.817873447</v>
      </c>
      <c r="N60" s="27">
        <v>420700</v>
      </c>
      <c r="O60" s="51">
        <v>4878178.7278734474</v>
      </c>
      <c r="P60" s="5"/>
      <c r="Q60" s="30">
        <v>35000</v>
      </c>
      <c r="R60" s="27">
        <v>35000</v>
      </c>
      <c r="S60" s="27">
        <v>0</v>
      </c>
      <c r="T60" s="51">
        <v>4843178.7278734474</v>
      </c>
      <c r="U60" s="5"/>
      <c r="V60" s="30">
        <v>0</v>
      </c>
      <c r="W60" s="51">
        <v>4422478.7278734474</v>
      </c>
      <c r="Y60" s="30">
        <v>1839551.7133665769</v>
      </c>
      <c r="Z60" s="27">
        <v>1839551.7133665769</v>
      </c>
      <c r="AA60" s="27">
        <v>0</v>
      </c>
      <c r="AB60" s="51">
        <v>650445.04163819226</v>
      </c>
      <c r="AD60" s="30">
        <v>5241576.3671808615</v>
      </c>
      <c r="AE60" s="27">
        <v>132872.22168079135</v>
      </c>
      <c r="AF60" s="27">
        <v>5108704.1455000704</v>
      </c>
      <c r="AG60" s="51">
        <v>517572.8199574009</v>
      </c>
      <c r="AI60" s="30">
        <v>0</v>
      </c>
      <c r="AJ60" s="51">
        <v>1988799.8908433139</v>
      </c>
      <c r="AL60" s="43">
        <v>420000</v>
      </c>
      <c r="AM60" s="52">
        <v>-700</v>
      </c>
      <c r="AN60" s="53">
        <v>420000</v>
      </c>
      <c r="AO60" s="54">
        <v>1989499.8908433139</v>
      </c>
      <c r="AQ60" s="30">
        <v>0</v>
      </c>
      <c r="AR60" s="27">
        <v>0</v>
      </c>
      <c r="AS60" s="27">
        <v>0</v>
      </c>
      <c r="AT60" s="51">
        <v>1989499.8908433139</v>
      </c>
      <c r="AV60" s="30">
        <v>2040612.1149401194</v>
      </c>
      <c r="AW60" s="27">
        <v>-52964.702933327528</v>
      </c>
      <c r="AX60" s="27">
        <v>2040612.1149401194</v>
      </c>
      <c r="AY60" s="51">
        <v>2042464.5937766414</v>
      </c>
      <c r="BA60" s="30">
        <v>8295009.9666567668</v>
      </c>
      <c r="BB60" s="27">
        <v>2042464.5937766414</v>
      </c>
      <c r="BC60" s="27">
        <v>6252545.3728801254</v>
      </c>
      <c r="BD60" s="51">
        <v>0</v>
      </c>
      <c r="BF60" s="30">
        <v>5794672.0066442788</v>
      </c>
      <c r="BG60" s="27">
        <v>0</v>
      </c>
      <c r="BH60" s="27">
        <v>5794672.0066442788</v>
      </c>
      <c r="BI60" s="51">
        <v>0</v>
      </c>
      <c r="BK60" s="30">
        <v>0</v>
      </c>
      <c r="BL60" s="27">
        <v>0</v>
      </c>
      <c r="BM60" s="27">
        <v>0</v>
      </c>
      <c r="BN60" s="51">
        <v>0</v>
      </c>
      <c r="BP60" s="30">
        <v>0</v>
      </c>
      <c r="BQ60" s="20">
        <v>72041907.575000837</v>
      </c>
      <c r="BR60" s="51">
        <v>0</v>
      </c>
      <c r="BT60" s="30">
        <v>2249706.8946164316</v>
      </c>
      <c r="BU60" s="51">
        <v>132859.71831689621</v>
      </c>
      <c r="BW60" s="221">
        <v>2042464.5937766433</v>
      </c>
      <c r="BX60" s="222">
        <v>0</v>
      </c>
    </row>
    <row r="61" spans="1:76" ht="16" x14ac:dyDescent="0.2">
      <c r="A61" s="133" t="s">
        <v>229</v>
      </c>
      <c r="B61" s="142">
        <v>1</v>
      </c>
      <c r="F61" s="151">
        <v>57</v>
      </c>
      <c r="G61" s="30">
        <v>1987603.57</v>
      </c>
      <c r="H61" s="28">
        <v>34817070.520564288</v>
      </c>
      <c r="I61" s="28">
        <v>18781982.773477856</v>
      </c>
      <c r="J61" s="28">
        <v>41625157.824095979</v>
      </c>
      <c r="K61" s="28">
        <v>24778750.48054428</v>
      </c>
      <c r="L61" s="28">
        <v>0</v>
      </c>
      <c r="M61" s="27">
        <v>2044013.1351316862</v>
      </c>
      <c r="N61" s="27">
        <v>420700</v>
      </c>
      <c r="O61" s="51">
        <v>4452316.7051316863</v>
      </c>
      <c r="P61" s="5"/>
      <c r="Q61" s="30">
        <v>35000</v>
      </c>
      <c r="R61" s="27">
        <v>35000</v>
      </c>
      <c r="S61" s="27">
        <v>0</v>
      </c>
      <c r="T61" s="51">
        <v>4417316.7051316863</v>
      </c>
      <c r="U61" s="5"/>
      <c r="V61" s="30">
        <v>0</v>
      </c>
      <c r="W61" s="51">
        <v>3996616.7051316863</v>
      </c>
      <c r="Y61" s="30">
        <v>1831512.9674306691</v>
      </c>
      <c r="Z61" s="27">
        <v>1831512.9674306691</v>
      </c>
      <c r="AA61" s="27">
        <v>0</v>
      </c>
      <c r="AB61" s="51">
        <v>833422.59891998512</v>
      </c>
      <c r="AD61" s="30">
        <v>6062831.6432467606</v>
      </c>
      <c r="AE61" s="27">
        <v>132872.22168079135</v>
      </c>
      <c r="AF61" s="27">
        <v>5929959.4215659695</v>
      </c>
      <c r="AG61" s="51">
        <v>700550.37723919377</v>
      </c>
      <c r="AI61" s="30">
        <v>0</v>
      </c>
      <c r="AJ61" s="51">
        <v>1621835.3799932085</v>
      </c>
      <c r="AL61" s="43">
        <v>420000</v>
      </c>
      <c r="AM61" s="52">
        <v>-700</v>
      </c>
      <c r="AN61" s="53">
        <v>420000</v>
      </c>
      <c r="AO61" s="54">
        <v>1622535.3799932085</v>
      </c>
      <c r="AQ61" s="30">
        <v>0</v>
      </c>
      <c r="AR61" s="27">
        <v>0</v>
      </c>
      <c r="AS61" s="27">
        <v>0</v>
      </c>
      <c r="AT61" s="51">
        <v>1622535.3799932085</v>
      </c>
      <c r="AV61" s="30">
        <v>1984609.1400407476</v>
      </c>
      <c r="AW61" s="27">
        <v>-59403.995090938639</v>
      </c>
      <c r="AX61" s="27">
        <v>1984609.1400407476</v>
      </c>
      <c r="AY61" s="51">
        <v>1681939.3750841471</v>
      </c>
      <c r="BA61" s="30">
        <v>8490026.6785801277</v>
      </c>
      <c r="BB61" s="27">
        <v>1681939.3750841471</v>
      </c>
      <c r="BC61" s="27">
        <v>6808087.3034959808</v>
      </c>
      <c r="BD61" s="51">
        <v>0</v>
      </c>
      <c r="BF61" s="30">
        <v>5996767.7070442811</v>
      </c>
      <c r="BG61" s="27">
        <v>0</v>
      </c>
      <c r="BH61" s="27">
        <v>5996767.7070442811</v>
      </c>
      <c r="BI61" s="51">
        <v>0</v>
      </c>
      <c r="BK61" s="30">
        <v>0</v>
      </c>
      <c r="BL61" s="27">
        <v>0</v>
      </c>
      <c r="BM61" s="27">
        <v>0</v>
      </c>
      <c r="BN61" s="51">
        <v>0</v>
      </c>
      <c r="BP61" s="30">
        <v>0</v>
      </c>
      <c r="BQ61" s="20">
        <v>72041907.575000837</v>
      </c>
      <c r="BR61" s="51">
        <v>0</v>
      </c>
      <c r="BT61" s="30">
        <v>1879847.8467740421</v>
      </c>
      <c r="BU61" s="51">
        <v>132859.71831689621</v>
      </c>
      <c r="BW61" s="221">
        <v>1681939.3750841469</v>
      </c>
      <c r="BX61" s="222">
        <v>0</v>
      </c>
    </row>
    <row r="62" spans="1:76" ht="16" x14ac:dyDescent="0.2">
      <c r="A62" s="143" t="s">
        <v>230</v>
      </c>
      <c r="B62" s="144">
        <v>0.9</v>
      </c>
      <c r="F62" s="151">
        <v>58</v>
      </c>
      <c r="G62" s="30">
        <v>2737262.62</v>
      </c>
      <c r="H62" s="28">
        <v>32569353.907001257</v>
      </c>
      <c r="I62" s="28">
        <v>18578780.774278004</v>
      </c>
      <c r="J62" s="28">
        <v>39195851.82071422</v>
      </c>
      <c r="K62" s="28">
        <v>24778750.48054428</v>
      </c>
      <c r="L62" s="28">
        <v>0</v>
      </c>
      <c r="M62" s="27">
        <v>1987916.8219408155</v>
      </c>
      <c r="N62" s="27">
        <v>420700</v>
      </c>
      <c r="O62" s="51">
        <v>5145879.4419408161</v>
      </c>
      <c r="P62" s="5"/>
      <c r="Q62" s="30">
        <v>35000</v>
      </c>
      <c r="R62" s="27">
        <v>35000</v>
      </c>
      <c r="S62" s="27">
        <v>0</v>
      </c>
      <c r="T62" s="51">
        <v>5110879.4419408161</v>
      </c>
      <c r="U62" s="5"/>
      <c r="V62" s="30">
        <v>0</v>
      </c>
      <c r="W62" s="51">
        <v>4690179.4419408161</v>
      </c>
      <c r="Y62" s="30">
        <v>1820632.2830500756</v>
      </c>
      <c r="Z62" s="27">
        <v>1820632.2830500756</v>
      </c>
      <c r="AA62" s="27">
        <v>0</v>
      </c>
      <c r="AB62" s="51">
        <v>1356065.1532737655</v>
      </c>
      <c r="AD62" s="30">
        <v>6907258.031808909</v>
      </c>
      <c r="AE62" s="27">
        <v>132872.22168079135</v>
      </c>
      <c r="AF62" s="27">
        <v>6774385.8101281179</v>
      </c>
      <c r="AG62" s="51">
        <v>1223192.9315929741</v>
      </c>
      <c r="AI62" s="30">
        <v>0</v>
      </c>
      <c r="AJ62" s="51">
        <v>2379180.7002058499</v>
      </c>
      <c r="AL62" s="43">
        <v>420000</v>
      </c>
      <c r="AM62" s="52">
        <v>-700</v>
      </c>
      <c r="AN62" s="53">
        <v>420000</v>
      </c>
      <c r="AO62" s="54">
        <v>2379880.7002058499</v>
      </c>
      <c r="AQ62" s="30">
        <v>0</v>
      </c>
      <c r="AR62" s="27">
        <v>0</v>
      </c>
      <c r="AS62" s="27">
        <v>0</v>
      </c>
      <c r="AT62" s="51">
        <v>2379880.7002058499</v>
      </c>
      <c r="AV62" s="30">
        <v>1938491.518764908</v>
      </c>
      <c r="AW62" s="27">
        <v>-49425.303175907582</v>
      </c>
      <c r="AX62" s="27">
        <v>1938491.518764908</v>
      </c>
      <c r="AY62" s="51">
        <v>2429306.0033817575</v>
      </c>
      <c r="BA62" s="30">
        <v>9055803.9170959778</v>
      </c>
      <c r="BB62" s="27">
        <v>2429306.0033817575</v>
      </c>
      <c r="BC62" s="27">
        <v>6626497.9137142207</v>
      </c>
      <c r="BD62" s="51">
        <v>0</v>
      </c>
      <c r="BF62" s="30">
        <v>6199969.7062442787</v>
      </c>
      <c r="BG62" s="27">
        <v>0</v>
      </c>
      <c r="BH62" s="27">
        <v>6199969.7062442787</v>
      </c>
      <c r="BI62" s="51">
        <v>0</v>
      </c>
      <c r="BK62" s="30">
        <v>0</v>
      </c>
      <c r="BL62" s="27">
        <v>0</v>
      </c>
      <c r="BM62" s="27">
        <v>0</v>
      </c>
      <c r="BN62" s="51">
        <v>0</v>
      </c>
      <c r="BP62" s="30">
        <v>0</v>
      </c>
      <c r="BQ62" s="20">
        <v>72041907.575000837</v>
      </c>
      <c r="BR62" s="51">
        <v>0</v>
      </c>
      <c r="BT62" s="30">
        <v>2619528.2048590127</v>
      </c>
      <c r="BU62" s="51">
        <v>132859.71831689621</v>
      </c>
      <c r="BW62" s="221">
        <v>2429306.0033817589</v>
      </c>
      <c r="BX62" s="222">
        <v>0</v>
      </c>
    </row>
    <row r="63" spans="1:76" ht="16" x14ac:dyDescent="0.2">
      <c r="A63" s="143" t="s">
        <v>231</v>
      </c>
      <c r="B63" s="145">
        <v>20</v>
      </c>
      <c r="F63" s="151">
        <v>59</v>
      </c>
      <c r="G63" s="30">
        <v>2546076.2999999998</v>
      </c>
      <c r="H63" s="28">
        <v>30311355.164391357</v>
      </c>
      <c r="I63" s="28">
        <v>18374466.420244344</v>
      </c>
      <c r="J63" s="28">
        <v>36926215.070861876</v>
      </c>
      <c r="K63" s="28">
        <v>24778750.48054428</v>
      </c>
      <c r="L63" s="28">
        <v>0</v>
      </c>
      <c r="M63" s="27">
        <v>1941722.3379628495</v>
      </c>
      <c r="N63" s="27">
        <v>420700</v>
      </c>
      <c r="O63" s="51">
        <v>4908498.6379628498</v>
      </c>
      <c r="P63" s="5"/>
      <c r="Q63" s="30">
        <v>35000</v>
      </c>
      <c r="R63" s="27">
        <v>35000</v>
      </c>
      <c r="S63" s="27">
        <v>0</v>
      </c>
      <c r="T63" s="51">
        <v>4873498.6379628498</v>
      </c>
      <c r="U63" s="5"/>
      <c r="V63" s="30">
        <v>0</v>
      </c>
      <c r="W63" s="51">
        <v>4452798.6379628498</v>
      </c>
      <c r="Y63" s="30">
        <v>1801634.1115300115</v>
      </c>
      <c r="Z63" s="27">
        <v>1801634.1115300115</v>
      </c>
      <c r="AA63" s="27">
        <v>0</v>
      </c>
      <c r="AB63" s="51">
        <v>1100552.7057107305</v>
      </c>
      <c r="AD63" s="30">
        <v>7775509.2887334321</v>
      </c>
      <c r="AE63" s="27">
        <v>132872.22168079135</v>
      </c>
      <c r="AF63" s="27">
        <v>7642637.067052641</v>
      </c>
      <c r="AG63" s="51">
        <v>967680.48402993917</v>
      </c>
      <c r="AI63" s="30">
        <v>0</v>
      </c>
      <c r="AJ63" s="51">
        <v>2199096.0302699283</v>
      </c>
      <c r="AL63" s="43">
        <v>420000</v>
      </c>
      <c r="AM63" s="52">
        <v>-700</v>
      </c>
      <c r="AN63" s="53">
        <v>420000</v>
      </c>
      <c r="AO63" s="54">
        <v>2199796.0302699283</v>
      </c>
      <c r="AQ63" s="30">
        <v>0</v>
      </c>
      <c r="AR63" s="27">
        <v>0</v>
      </c>
      <c r="AS63" s="27">
        <v>0</v>
      </c>
      <c r="AT63" s="51">
        <v>2199796.0302699283</v>
      </c>
      <c r="AV63" s="30">
        <v>1871881.6183804316</v>
      </c>
      <c r="AW63" s="27">
        <v>-69840.71958241798</v>
      </c>
      <c r="AX63" s="27">
        <v>1871881.6183804316</v>
      </c>
      <c r="AY63" s="51">
        <v>2269636.7498523463</v>
      </c>
      <c r="BA63" s="30">
        <v>8884496.6563142203</v>
      </c>
      <c r="BB63" s="27">
        <v>2269636.7498523463</v>
      </c>
      <c r="BC63" s="27">
        <v>6614859.906461874</v>
      </c>
      <c r="BD63" s="51">
        <v>0</v>
      </c>
      <c r="BF63" s="30">
        <v>6404284.0603442788</v>
      </c>
      <c r="BG63" s="27">
        <v>0</v>
      </c>
      <c r="BH63" s="27">
        <v>6404284.0603442788</v>
      </c>
      <c r="BI63" s="51">
        <v>0</v>
      </c>
      <c r="BK63" s="30">
        <v>0</v>
      </c>
      <c r="BL63" s="27">
        <v>0</v>
      </c>
      <c r="BM63" s="27">
        <v>0</v>
      </c>
      <c r="BN63" s="51">
        <v>0</v>
      </c>
      <c r="BP63" s="30">
        <v>0</v>
      </c>
      <c r="BQ63" s="20">
        <v>72041907.575000837</v>
      </c>
      <c r="BR63" s="51">
        <v>0</v>
      </c>
      <c r="BT63" s="30">
        <v>2448757.3012655219</v>
      </c>
      <c r="BU63" s="51">
        <v>132859.71831689621</v>
      </c>
      <c r="BW63" s="221">
        <v>2269636.7498523444</v>
      </c>
      <c r="BX63" s="222">
        <v>0</v>
      </c>
    </row>
    <row r="64" spans="1:76" ht="16" x14ac:dyDescent="0.2">
      <c r="A64" s="143" t="s">
        <v>232</v>
      </c>
      <c r="B64" s="145">
        <v>0.08</v>
      </c>
      <c r="F64" s="151">
        <v>60</v>
      </c>
      <c r="G64" s="30">
        <v>2575749.83</v>
      </c>
      <c r="H64" s="28">
        <v>28043027.257366799</v>
      </c>
      <c r="I64" s="28">
        <v>18169033.622198209</v>
      </c>
      <c r="J64" s="28">
        <v>34621021.848792285</v>
      </c>
      <c r="K64" s="28">
        <v>24778750.48054428</v>
      </c>
      <c r="L64" s="28">
        <v>0</v>
      </c>
      <c r="M64" s="27">
        <v>1875001.4210777322</v>
      </c>
      <c r="N64" s="27">
        <v>420700</v>
      </c>
      <c r="O64" s="51">
        <v>4871451.2510777321</v>
      </c>
      <c r="P64" s="5"/>
      <c r="Q64" s="30">
        <v>35000</v>
      </c>
      <c r="R64" s="27">
        <v>35000</v>
      </c>
      <c r="S64" s="27">
        <v>0</v>
      </c>
      <c r="T64" s="51">
        <v>4836451.2510777321</v>
      </c>
      <c r="U64" s="5"/>
      <c r="V64" s="30">
        <v>0</v>
      </c>
      <c r="W64" s="51">
        <v>4415751.2510777321</v>
      </c>
      <c r="Y64" s="30">
        <v>1786604.4630278102</v>
      </c>
      <c r="Z64" s="27">
        <v>1786604.4630278102</v>
      </c>
      <c r="AA64" s="27">
        <v>0</v>
      </c>
      <c r="AB64" s="51">
        <v>266691.47266831994</v>
      </c>
      <c r="AD64" s="30">
        <v>8668257.6151265148</v>
      </c>
      <c r="AE64" s="27">
        <v>132872.22168079135</v>
      </c>
      <c r="AF64" s="27">
        <v>8535385.3934457228</v>
      </c>
      <c r="AG64" s="51">
        <v>133819.25098752859</v>
      </c>
      <c r="AI64" s="30">
        <v>0</v>
      </c>
      <c r="AJ64" s="51">
        <v>2239141.5401416933</v>
      </c>
      <c r="AL64" s="43">
        <v>420000</v>
      </c>
      <c r="AM64" s="52">
        <v>-700</v>
      </c>
      <c r="AN64" s="53">
        <v>420000</v>
      </c>
      <c r="AO64" s="54">
        <v>2239841.5401416933</v>
      </c>
      <c r="AQ64" s="30">
        <v>0</v>
      </c>
      <c r="AR64" s="27">
        <v>0</v>
      </c>
      <c r="AS64" s="27">
        <v>0</v>
      </c>
      <c r="AT64" s="51">
        <v>2239841.5401416933</v>
      </c>
      <c r="AV64" s="30">
        <v>1809649.7391498371</v>
      </c>
      <c r="AW64" s="27">
        <v>-65351.681927895173</v>
      </c>
      <c r="AX64" s="27">
        <v>1809649.7391498371</v>
      </c>
      <c r="AY64" s="51">
        <v>2305193.2220695885</v>
      </c>
      <c r="BA64" s="30">
        <v>8883187.8134618774</v>
      </c>
      <c r="BB64" s="27">
        <v>2305193.2220695885</v>
      </c>
      <c r="BC64" s="27">
        <v>6577994.5913922889</v>
      </c>
      <c r="BD64" s="51">
        <v>0</v>
      </c>
      <c r="BF64" s="30">
        <v>6609716.8583442792</v>
      </c>
      <c r="BG64" s="27">
        <v>0</v>
      </c>
      <c r="BH64" s="27">
        <v>6609716.8583442792</v>
      </c>
      <c r="BI64" s="51">
        <v>0</v>
      </c>
      <c r="BK64" s="30">
        <v>0</v>
      </c>
      <c r="BL64" s="27">
        <v>0</v>
      </c>
      <c r="BM64" s="27">
        <v>0</v>
      </c>
      <c r="BN64" s="51">
        <v>0</v>
      </c>
      <c r="BP64" s="30">
        <v>0</v>
      </c>
      <c r="BQ64" s="20">
        <v>72041907.575000837</v>
      </c>
      <c r="BR64" s="51">
        <v>0</v>
      </c>
      <c r="BT64" s="30">
        <v>2473941.7936109984</v>
      </c>
      <c r="BU64" s="51">
        <v>132859.71831689621</v>
      </c>
      <c r="BW64" s="221">
        <v>2305193.2220695913</v>
      </c>
      <c r="BX64" s="222">
        <v>0</v>
      </c>
    </row>
    <row r="65" spans="1:76" ht="16" x14ac:dyDescent="0.2">
      <c r="A65" s="143" t="s">
        <v>233</v>
      </c>
      <c r="B65" s="145">
        <v>0.02</v>
      </c>
      <c r="F65" s="151">
        <v>61</v>
      </c>
      <c r="G65" s="30">
        <v>2909207.55</v>
      </c>
      <c r="H65" s="28">
        <v>25764322.935397439</v>
      </c>
      <c r="I65" s="28">
        <v>17962476.257627964</v>
      </c>
      <c r="J65" s="28">
        <v>31970965.223624043</v>
      </c>
      <c r="K65" s="28">
        <v>24778750.48054428</v>
      </c>
      <c r="L65" s="28">
        <v>0</v>
      </c>
      <c r="M65" s="27">
        <v>1812665.8220484201</v>
      </c>
      <c r="N65" s="27">
        <v>420700</v>
      </c>
      <c r="O65" s="51">
        <v>5142573.3720484199</v>
      </c>
      <c r="P65" s="5"/>
      <c r="Q65" s="30">
        <v>35000</v>
      </c>
      <c r="R65" s="27">
        <v>35000</v>
      </c>
      <c r="S65" s="27">
        <v>0</v>
      </c>
      <c r="T65" s="51">
        <v>5107573.3720484199</v>
      </c>
      <c r="U65" s="5"/>
      <c r="V65" s="30">
        <v>0</v>
      </c>
      <c r="W65" s="51">
        <v>4686873.3720484199</v>
      </c>
      <c r="Y65" s="30">
        <v>1784526.0328658267</v>
      </c>
      <c r="Z65" s="27">
        <v>1784526.0328658267</v>
      </c>
      <c r="AA65" s="27">
        <v>0</v>
      </c>
      <c r="AB65" s="51">
        <v>859916.27000847715</v>
      </c>
      <c r="AD65" s="30">
        <v>9586194.1777532641</v>
      </c>
      <c r="AE65" s="27">
        <v>132872.22168079135</v>
      </c>
      <c r="AF65" s="27">
        <v>9453321.956072472</v>
      </c>
      <c r="AG65" s="51">
        <v>727044.0483276858</v>
      </c>
      <c r="AI65" s="30">
        <v>0</v>
      </c>
      <c r="AJ65" s="51">
        <v>2583133.7290171171</v>
      </c>
      <c r="AL65" s="43">
        <v>420000</v>
      </c>
      <c r="AM65" s="52">
        <v>-700</v>
      </c>
      <c r="AN65" s="53">
        <v>420000</v>
      </c>
      <c r="AO65" s="54">
        <v>2583833.7290171171</v>
      </c>
      <c r="AQ65" s="30">
        <v>0</v>
      </c>
      <c r="AR65" s="27">
        <v>0</v>
      </c>
      <c r="AS65" s="27">
        <v>0</v>
      </c>
      <c r="AT65" s="51">
        <v>2583833.7290171171</v>
      </c>
      <c r="AV65" s="30">
        <v>1746442.925897297</v>
      </c>
      <c r="AW65" s="27">
        <v>-66222.896151123103</v>
      </c>
      <c r="AX65" s="27">
        <v>1746442.925897297</v>
      </c>
      <c r="AY65" s="51">
        <v>2650056.6251682402</v>
      </c>
      <c r="BA65" s="30">
        <v>8856698.913392283</v>
      </c>
      <c r="BB65" s="27">
        <v>2650056.6251682402</v>
      </c>
      <c r="BC65" s="27">
        <v>6206642.2882240433</v>
      </c>
      <c r="BD65" s="51">
        <v>0</v>
      </c>
      <c r="BF65" s="30">
        <v>6816274.222944282</v>
      </c>
      <c r="BG65" s="27">
        <v>0</v>
      </c>
      <c r="BH65" s="27">
        <v>6816274.222944282</v>
      </c>
      <c r="BI65" s="51">
        <v>0</v>
      </c>
      <c r="BK65" s="30">
        <v>0</v>
      </c>
      <c r="BL65" s="27">
        <v>0</v>
      </c>
      <c r="BM65" s="27">
        <v>0</v>
      </c>
      <c r="BN65" s="51">
        <v>0</v>
      </c>
      <c r="BP65" s="30">
        <v>0</v>
      </c>
      <c r="BQ65" s="20">
        <v>72041907.575000837</v>
      </c>
      <c r="BR65" s="51">
        <v>0</v>
      </c>
      <c r="BT65" s="30">
        <v>2808270.7278342266</v>
      </c>
      <c r="BU65" s="51">
        <v>132859.71831689621</v>
      </c>
      <c r="BW65" s="221">
        <v>2650056.6251682416</v>
      </c>
      <c r="BX65" s="222">
        <v>0</v>
      </c>
    </row>
    <row r="66" spans="1:76" ht="16" x14ac:dyDescent="0.2">
      <c r="A66" s="143" t="s">
        <v>234</v>
      </c>
      <c r="B66" s="145">
        <v>0.9</v>
      </c>
      <c r="F66" s="151">
        <v>62</v>
      </c>
      <c r="G66" s="30">
        <v>2392738.5099999998</v>
      </c>
      <c r="H66" s="28">
        <v>23475194.731806803</v>
      </c>
      <c r="I66" s="28">
        <v>17754788.170506537</v>
      </c>
      <c r="J66" s="28">
        <v>29815916.610626508</v>
      </c>
      <c r="K66" s="28">
        <v>24778750.48054428</v>
      </c>
      <c r="L66" s="28">
        <v>0</v>
      </c>
      <c r="M66" s="27">
        <v>1749353.6641071257</v>
      </c>
      <c r="N66" s="27">
        <v>420700</v>
      </c>
      <c r="O66" s="51">
        <v>4562792.174107125</v>
      </c>
      <c r="P66" s="5"/>
      <c r="Q66" s="30">
        <v>35000</v>
      </c>
      <c r="R66" s="27">
        <v>35000</v>
      </c>
      <c r="S66" s="27">
        <v>0</v>
      </c>
      <c r="T66" s="51">
        <v>4527792.174107125</v>
      </c>
      <c r="U66" s="5"/>
      <c r="V66" s="30">
        <v>0</v>
      </c>
      <c r="W66" s="51">
        <v>4107092.174107125</v>
      </c>
      <c r="Y66" s="30">
        <v>1773233.8587729116</v>
      </c>
      <c r="Z66" s="27">
        <v>1773233.8587729116</v>
      </c>
      <c r="AA66" s="27">
        <v>0</v>
      </c>
      <c r="AB66" s="51">
        <v>1389972.1526239002</v>
      </c>
      <c r="AD66" s="30">
        <v>10530029.644139796</v>
      </c>
      <c r="AE66" s="27">
        <v>132872.22168079135</v>
      </c>
      <c r="AF66" s="27">
        <v>10397157.422459004</v>
      </c>
      <c r="AG66" s="51">
        <v>1257099.9309431089</v>
      </c>
      <c r="AI66" s="30">
        <v>0</v>
      </c>
      <c r="AJ66" s="51">
        <v>2078775.1441272008</v>
      </c>
      <c r="AL66" s="43">
        <v>420000</v>
      </c>
      <c r="AM66" s="52">
        <v>-700</v>
      </c>
      <c r="AN66" s="53">
        <v>420000</v>
      </c>
      <c r="AO66" s="54">
        <v>2079475.1441272008</v>
      </c>
      <c r="AQ66" s="30">
        <v>0</v>
      </c>
      <c r="AR66" s="27">
        <v>0</v>
      </c>
      <c r="AS66" s="27">
        <v>0</v>
      </c>
      <c r="AT66" s="51">
        <v>2079475.1441272008</v>
      </c>
      <c r="AV66" s="30">
        <v>1673780.1952367912</v>
      </c>
      <c r="AW66" s="27">
        <v>-75573.46887033456</v>
      </c>
      <c r="AX66" s="27">
        <v>1673780.1952367912</v>
      </c>
      <c r="AY66" s="51">
        <v>2155048.6129975356</v>
      </c>
      <c r="BA66" s="30">
        <v>8495770.4918240421</v>
      </c>
      <c r="BB66" s="27">
        <v>2155048.6129975356</v>
      </c>
      <c r="BC66" s="27">
        <v>6340721.8788265064</v>
      </c>
      <c r="BD66" s="51">
        <v>0</v>
      </c>
      <c r="BF66" s="30">
        <v>7023962.3100442812</v>
      </c>
      <c r="BG66" s="27">
        <v>0</v>
      </c>
      <c r="BH66" s="27">
        <v>7023962.3100442812</v>
      </c>
      <c r="BI66" s="51">
        <v>0</v>
      </c>
      <c r="BK66" s="30">
        <v>0</v>
      </c>
      <c r="BL66" s="27">
        <v>0</v>
      </c>
      <c r="BM66" s="27">
        <v>0</v>
      </c>
      <c r="BN66" s="51">
        <v>0</v>
      </c>
      <c r="BP66" s="30">
        <v>0</v>
      </c>
      <c r="BQ66" s="20">
        <v>72041907.575000837</v>
      </c>
      <c r="BR66" s="51">
        <v>0</v>
      </c>
      <c r="BT66" s="30">
        <v>2301152.2605534378</v>
      </c>
      <c r="BU66" s="51">
        <v>132859.71831689621</v>
      </c>
      <c r="BW66" s="221">
        <v>2155048.6129975356</v>
      </c>
      <c r="BX66" s="222">
        <v>0</v>
      </c>
    </row>
    <row r="67" spans="1:76" ht="16" x14ac:dyDescent="0.2">
      <c r="A67" s="143" t="s">
        <v>235</v>
      </c>
      <c r="B67" s="145">
        <v>0.21</v>
      </c>
      <c r="F67" s="151">
        <v>63</v>
      </c>
      <c r="G67" s="30">
        <v>2172058.5</v>
      </c>
      <c r="H67" s="28">
        <v>21175594.962783072</v>
      </c>
      <c r="I67" s="28">
        <v>17545963.171107944</v>
      </c>
      <c r="J67" s="28">
        <v>27885393.566322546</v>
      </c>
      <c r="K67" s="28">
        <v>24778750.48054428</v>
      </c>
      <c r="L67" s="28">
        <v>0</v>
      </c>
      <c r="M67" s="27">
        <v>1676569.8288955193</v>
      </c>
      <c r="N67" s="27">
        <v>420700</v>
      </c>
      <c r="O67" s="51">
        <v>4269328.3288955195</v>
      </c>
      <c r="P67" s="5"/>
      <c r="Q67" s="30">
        <v>35000</v>
      </c>
      <c r="R67" s="27">
        <v>35000</v>
      </c>
      <c r="S67" s="27">
        <v>0</v>
      </c>
      <c r="T67" s="51">
        <v>4234328.3288955195</v>
      </c>
      <c r="U67" s="5"/>
      <c r="V67" s="30">
        <v>0</v>
      </c>
      <c r="W67" s="51">
        <v>3813628.3288955195</v>
      </c>
      <c r="Y67" s="30">
        <v>1753709.0565204856</v>
      </c>
      <c r="Z67" s="27">
        <v>1753709.0565204856</v>
      </c>
      <c r="AA67" s="27">
        <v>0</v>
      </c>
      <c r="AB67" s="51">
        <v>444779.78457724233</v>
      </c>
      <c r="AD67" s="30">
        <v>11500494.732772844</v>
      </c>
      <c r="AE67" s="27">
        <v>132872.22168079135</v>
      </c>
      <c r="AF67" s="27">
        <v>11367622.511092052</v>
      </c>
      <c r="AG67" s="51">
        <v>311907.56289645098</v>
      </c>
      <c r="AI67" s="30">
        <v>0</v>
      </c>
      <c r="AJ67" s="51">
        <v>1867943.4593440632</v>
      </c>
      <c r="AL67" s="43">
        <v>420000</v>
      </c>
      <c r="AM67" s="52">
        <v>-700</v>
      </c>
      <c r="AN67" s="53">
        <v>420000</v>
      </c>
      <c r="AO67" s="54">
        <v>1868643.4593440632</v>
      </c>
      <c r="AQ67" s="30">
        <v>0</v>
      </c>
      <c r="AR67" s="27">
        <v>0</v>
      </c>
      <c r="AS67" s="27">
        <v>0</v>
      </c>
      <c r="AT67" s="51">
        <v>1868643.4593440632</v>
      </c>
      <c r="AV67" s="30">
        <v>1614690.2439356204</v>
      </c>
      <c r="AW67" s="27">
        <v>-61879.584959898842</v>
      </c>
      <c r="AX67" s="27">
        <v>1614690.2439356204</v>
      </c>
      <c r="AY67" s="51">
        <v>1930523.044303962</v>
      </c>
      <c r="BA67" s="30">
        <v>8640321.6478265077</v>
      </c>
      <c r="BB67" s="27">
        <v>1930523.044303962</v>
      </c>
      <c r="BC67" s="27">
        <v>6709798.6035225457</v>
      </c>
      <c r="BD67" s="51">
        <v>0</v>
      </c>
      <c r="BF67" s="30">
        <v>7232787.3094442785</v>
      </c>
      <c r="BG67" s="27">
        <v>0</v>
      </c>
      <c r="BH67" s="27">
        <v>7232787.3094442785</v>
      </c>
      <c r="BI67" s="51">
        <v>0</v>
      </c>
      <c r="BK67" s="30">
        <v>0</v>
      </c>
      <c r="BL67" s="27">
        <v>0</v>
      </c>
      <c r="BM67" s="27">
        <v>0</v>
      </c>
      <c r="BN67" s="51">
        <v>0</v>
      </c>
      <c r="BP67" s="30">
        <v>0</v>
      </c>
      <c r="BQ67" s="20">
        <v>72041907.575000837</v>
      </c>
      <c r="BR67" s="51">
        <v>0</v>
      </c>
      <c r="BT67" s="30">
        <v>2066778.3666430025</v>
      </c>
      <c r="BU67" s="51">
        <v>132859.71831689621</v>
      </c>
      <c r="BW67" s="221">
        <v>1930523.0443039611</v>
      </c>
      <c r="BX67" s="222">
        <v>0</v>
      </c>
    </row>
    <row r="68" spans="1:76" ht="17" thickBot="1" x14ac:dyDescent="0.25">
      <c r="A68" s="143" t="s">
        <v>236</v>
      </c>
      <c r="B68" s="141">
        <v>0.01</v>
      </c>
      <c r="F68" s="151">
        <v>64</v>
      </c>
      <c r="G68" s="30">
        <v>1645983.08</v>
      </c>
      <c r="H68" s="28">
        <v>18865475.726385821</v>
      </c>
      <c r="I68" s="28">
        <v>17335995.035822801</v>
      </c>
      <c r="J68" s="28">
        <v>26478378.492899515</v>
      </c>
      <c r="K68" s="28">
        <v>24778750.48054428</v>
      </c>
      <c r="L68" s="28">
        <v>0</v>
      </c>
      <c r="M68" s="27">
        <v>1617381.3943421799</v>
      </c>
      <c r="N68" s="27">
        <v>420700</v>
      </c>
      <c r="O68" s="51">
        <v>3684064.47434218</v>
      </c>
      <c r="P68" s="5"/>
      <c r="Q68" s="30">
        <v>35000</v>
      </c>
      <c r="R68" s="27">
        <v>35000</v>
      </c>
      <c r="S68" s="27">
        <v>0</v>
      </c>
      <c r="T68" s="51">
        <v>3649064.47434218</v>
      </c>
      <c r="U68" s="5"/>
      <c r="V68" s="30">
        <v>0</v>
      </c>
      <c r="W68" s="51">
        <v>3228364.47434218</v>
      </c>
      <c r="Y68" s="30">
        <v>1748864.6258299036</v>
      </c>
      <c r="Z68" s="27">
        <v>1748864.6258299036</v>
      </c>
      <c r="AA68" s="27">
        <v>0</v>
      </c>
      <c r="AB68" s="51">
        <v>1244344.7873832688</v>
      </c>
      <c r="AD68" s="30">
        <v>12498340.778822834</v>
      </c>
      <c r="AE68" s="27">
        <v>132872.22168079135</v>
      </c>
      <c r="AF68" s="27">
        <v>12365468.557142042</v>
      </c>
      <c r="AG68" s="51">
        <v>1111472.5657024775</v>
      </c>
      <c r="AI68" s="30">
        <v>0</v>
      </c>
      <c r="AJ68" s="51">
        <v>1350690.3084401214</v>
      </c>
      <c r="AL68" s="43">
        <v>420000</v>
      </c>
      <c r="AM68" s="52">
        <v>-700</v>
      </c>
      <c r="AN68" s="53">
        <v>420000</v>
      </c>
      <c r="AO68" s="54">
        <v>1351390.3084401214</v>
      </c>
      <c r="AQ68" s="30">
        <v>0</v>
      </c>
      <c r="AR68" s="27">
        <v>0</v>
      </c>
      <c r="AS68" s="27">
        <v>0</v>
      </c>
      <c r="AT68" s="51">
        <v>1351390.3084401214</v>
      </c>
      <c r="AV68" s="30">
        <v>1561756.6293592704</v>
      </c>
      <c r="AW68" s="27">
        <v>-55624.76498290943</v>
      </c>
      <c r="AX68" s="27">
        <v>1561756.6293592704</v>
      </c>
      <c r="AY68" s="51">
        <v>1407015.0734230308</v>
      </c>
      <c r="BA68" s="30">
        <v>9019917.8399225473</v>
      </c>
      <c r="BB68" s="27">
        <v>1407015.0734230308</v>
      </c>
      <c r="BC68" s="27">
        <v>7612902.7664995166</v>
      </c>
      <c r="BD68" s="51">
        <v>0</v>
      </c>
      <c r="BF68" s="30">
        <v>7442755.4447442815</v>
      </c>
      <c r="BG68" s="27">
        <v>0</v>
      </c>
      <c r="BH68" s="27">
        <v>7442755.4447442815</v>
      </c>
      <c r="BI68" s="51">
        <v>0</v>
      </c>
      <c r="BK68" s="30">
        <v>0</v>
      </c>
      <c r="BL68" s="27">
        <v>0</v>
      </c>
      <c r="BM68" s="27">
        <v>0</v>
      </c>
      <c r="BN68" s="51">
        <v>0</v>
      </c>
      <c r="BP68" s="30">
        <v>0</v>
      </c>
      <c r="BQ68" s="20">
        <v>72041907.575000837</v>
      </c>
      <c r="BR68" s="51">
        <v>0</v>
      </c>
      <c r="BT68" s="30">
        <v>1534448.1266660129</v>
      </c>
      <c r="BU68" s="51">
        <v>132859.71831689621</v>
      </c>
      <c r="BW68" s="221">
        <v>1407015.0734230317</v>
      </c>
      <c r="BX68" s="222">
        <v>0</v>
      </c>
    </row>
    <row r="69" spans="1:76" ht="17" thickBot="1" x14ac:dyDescent="0.25">
      <c r="A69" s="143" t="s">
        <v>237</v>
      </c>
      <c r="B69" s="73">
        <v>1</v>
      </c>
      <c r="F69" s="151">
        <v>65</v>
      </c>
      <c r="G69" s="30">
        <v>2509375.4300000002</v>
      </c>
      <c r="H69" s="28">
        <v>16544788.901548471</v>
      </c>
      <c r="I69" s="28">
        <v>17124877.506972875</v>
      </c>
      <c r="J69" s="28">
        <v>24215983.623142641</v>
      </c>
      <c r="K69" s="28">
        <v>24778750.48054428</v>
      </c>
      <c r="L69" s="28">
        <v>0</v>
      </c>
      <c r="M69" s="27">
        <v>1564359.5570748693</v>
      </c>
      <c r="N69" s="27">
        <v>420700</v>
      </c>
      <c r="O69" s="51">
        <v>4494434.9870748697</v>
      </c>
      <c r="P69" s="5"/>
      <c r="Q69" s="30">
        <v>35000</v>
      </c>
      <c r="R69" s="27">
        <v>35000</v>
      </c>
      <c r="S69" s="27">
        <v>0</v>
      </c>
      <c r="T69" s="51">
        <v>4459434.9870748697</v>
      </c>
      <c r="U69" s="5"/>
      <c r="V69" s="30">
        <v>0</v>
      </c>
      <c r="W69" s="51">
        <v>4038734.9870748697</v>
      </c>
      <c r="Y69" s="30">
        <v>1731601.6529188664</v>
      </c>
      <c r="Z69" s="27">
        <v>1731601.6529188664</v>
      </c>
      <c r="AA69" s="27">
        <v>0</v>
      </c>
      <c r="AB69" s="51">
        <v>1591340.2447500797</v>
      </c>
      <c r="AD69" s="30">
        <v>13524340.315828426</v>
      </c>
      <c r="AE69" s="27">
        <v>132872.22168079135</v>
      </c>
      <c r="AF69" s="27">
        <v>13391468.094147634</v>
      </c>
      <c r="AG69" s="51">
        <v>1458468.0230692883</v>
      </c>
      <c r="AI69" s="30">
        <v>0</v>
      </c>
      <c r="AJ69" s="51">
        <v>2220512.5560974292</v>
      </c>
      <c r="AL69" s="43">
        <v>420000</v>
      </c>
      <c r="AM69" s="52">
        <v>-700</v>
      </c>
      <c r="AN69" s="53">
        <v>420000</v>
      </c>
      <c r="AO69" s="54">
        <v>2221212.5560974292</v>
      </c>
      <c r="AQ69" s="30">
        <v>0</v>
      </c>
      <c r="AR69" s="27">
        <v>0</v>
      </c>
      <c r="AS69" s="27">
        <v>0</v>
      </c>
      <c r="AT69" s="51">
        <v>2221212.5560974292</v>
      </c>
      <c r="AV69" s="30">
        <v>1523177.2434154253</v>
      </c>
      <c r="AW69" s="27">
        <v>-41182.313659443986</v>
      </c>
      <c r="AX69" s="27">
        <v>1523177.2434154253</v>
      </c>
      <c r="AY69" s="51">
        <v>2262394.8697568732</v>
      </c>
      <c r="BA69" s="30">
        <v>9933589.591399515</v>
      </c>
      <c r="BB69" s="27">
        <v>2262394.8697568732</v>
      </c>
      <c r="BC69" s="27">
        <v>7671194.7216426414</v>
      </c>
      <c r="BD69" s="51">
        <v>0</v>
      </c>
      <c r="BF69" s="30">
        <v>7653872.973544281</v>
      </c>
      <c r="BG69" s="27">
        <v>0</v>
      </c>
      <c r="BH69" s="27">
        <v>7653872.973544281</v>
      </c>
      <c r="BI69" s="51">
        <v>0</v>
      </c>
      <c r="BK69" s="30">
        <v>0</v>
      </c>
      <c r="BL69" s="27">
        <v>0</v>
      </c>
      <c r="BM69" s="27">
        <v>0</v>
      </c>
      <c r="BN69" s="51">
        <v>0</v>
      </c>
      <c r="BP69" s="30">
        <v>0</v>
      </c>
      <c r="BQ69" s="20">
        <v>72041907.575000837</v>
      </c>
      <c r="BR69" s="51">
        <v>0</v>
      </c>
      <c r="BT69" s="30">
        <v>2383398.0253425478</v>
      </c>
      <c r="BU69" s="51">
        <v>132859.71831689621</v>
      </c>
      <c r="BW69" s="221">
        <v>2262394.8697568737</v>
      </c>
      <c r="BX69" s="222">
        <v>0</v>
      </c>
    </row>
    <row r="70" spans="1:76" ht="16" x14ac:dyDescent="0.2">
      <c r="A70" s="135" t="s">
        <v>238</v>
      </c>
      <c r="B70" s="62" t="s">
        <v>239</v>
      </c>
      <c r="F70" s="151">
        <v>66</v>
      </c>
      <c r="G70" s="30">
        <v>2402277.39</v>
      </c>
      <c r="H70" s="28">
        <v>14213486.147075564</v>
      </c>
      <c r="I70" s="28">
        <v>16912604.292624552</v>
      </c>
      <c r="J70" s="28">
        <v>22026958.28113921</v>
      </c>
      <c r="K70" s="28">
        <v>24778750.48054428</v>
      </c>
      <c r="L70" s="28">
        <v>0</v>
      </c>
      <c r="M70" s="27">
        <v>1525715.872154451</v>
      </c>
      <c r="N70" s="27">
        <v>420700</v>
      </c>
      <c r="O70" s="51">
        <v>4348693.2621544506</v>
      </c>
      <c r="P70" s="5"/>
      <c r="Q70" s="30">
        <v>35000</v>
      </c>
      <c r="R70" s="27">
        <v>35000</v>
      </c>
      <c r="S70" s="27">
        <v>0</v>
      </c>
      <c r="T70" s="51">
        <v>4313693.2621544506</v>
      </c>
      <c r="U70" s="5"/>
      <c r="V70" s="30">
        <v>0</v>
      </c>
      <c r="W70" s="51">
        <v>3892993.2621544506</v>
      </c>
      <c r="Y70" s="30">
        <v>1708949.2773670268</v>
      </c>
      <c r="Z70" s="27">
        <v>1708949.2773670268</v>
      </c>
      <c r="AA70" s="27">
        <v>0</v>
      </c>
      <c r="AB70" s="51">
        <v>1896059.7183949815</v>
      </c>
      <c r="AD70" s="30">
        <v>14579287.673792856</v>
      </c>
      <c r="AE70" s="27">
        <v>132872.22168079135</v>
      </c>
      <c r="AF70" s="27">
        <v>14446415.452112064</v>
      </c>
      <c r="AG70" s="51">
        <v>1763187.4967141901</v>
      </c>
      <c r="AI70" s="30">
        <v>0</v>
      </c>
      <c r="AJ70" s="51">
        <v>2123753.4014069969</v>
      </c>
      <c r="AL70" s="43">
        <v>420000</v>
      </c>
      <c r="AM70" s="52">
        <v>-700</v>
      </c>
      <c r="AN70" s="53">
        <v>420000</v>
      </c>
      <c r="AO70" s="54">
        <v>2124453.4014069969</v>
      </c>
      <c r="AQ70" s="30">
        <v>0</v>
      </c>
      <c r="AR70" s="27">
        <v>0</v>
      </c>
      <c r="AS70" s="27">
        <v>0</v>
      </c>
      <c r="AT70" s="51">
        <v>2124453.4014069969</v>
      </c>
      <c r="AV70" s="30">
        <v>1461143.9315580167</v>
      </c>
      <c r="AW70" s="27">
        <v>-64571.940596434288</v>
      </c>
      <c r="AX70" s="27">
        <v>1461143.9315580167</v>
      </c>
      <c r="AY70" s="51">
        <v>2189025.3420034312</v>
      </c>
      <c r="BA70" s="30">
        <v>10002497.476042641</v>
      </c>
      <c r="BB70" s="27">
        <v>2189025.3420034312</v>
      </c>
      <c r="BC70" s="27">
        <v>7813472.1340392102</v>
      </c>
      <c r="BD70" s="51">
        <v>0</v>
      </c>
      <c r="BF70" s="30">
        <v>7866146.1879442818</v>
      </c>
      <c r="BG70" s="27">
        <v>0</v>
      </c>
      <c r="BH70" s="27">
        <v>7866146.1879442818</v>
      </c>
      <c r="BI70" s="51">
        <v>0</v>
      </c>
      <c r="BK70" s="30">
        <v>0</v>
      </c>
      <c r="BL70" s="27">
        <v>0</v>
      </c>
      <c r="BM70" s="27">
        <v>0</v>
      </c>
      <c r="BN70" s="51">
        <v>0</v>
      </c>
      <c r="BP70" s="30">
        <v>0</v>
      </c>
      <c r="BQ70" s="20">
        <v>72041907.575000837</v>
      </c>
      <c r="BR70" s="51">
        <v>0</v>
      </c>
      <c r="BT70" s="30">
        <v>2299689.6122795376</v>
      </c>
      <c r="BU70" s="51">
        <v>132859.71831689621</v>
      </c>
      <c r="BW70" s="221">
        <v>2189025.3420034312</v>
      </c>
      <c r="BX70" s="222">
        <v>0</v>
      </c>
    </row>
    <row r="71" spans="1:76" x14ac:dyDescent="0.2">
      <c r="F71" s="151">
        <v>67</v>
      </c>
      <c r="G71" s="30">
        <v>2467578.1</v>
      </c>
      <c r="H71" s="28">
        <v>11871518.900635934</v>
      </c>
      <c r="I71" s="28">
        <v>16699169.066401349</v>
      </c>
      <c r="J71" s="28">
        <v>19764743.765020832</v>
      </c>
      <c r="K71" s="28">
        <v>24778750.48054428</v>
      </c>
      <c r="L71" s="28">
        <v>0</v>
      </c>
      <c r="M71" s="27">
        <v>1463579.1714439467</v>
      </c>
      <c r="N71" s="27">
        <v>420700</v>
      </c>
      <c r="O71" s="51">
        <v>4351857.2714439463</v>
      </c>
      <c r="P71" s="5"/>
      <c r="Q71" s="30">
        <v>35000</v>
      </c>
      <c r="R71" s="27">
        <v>35000</v>
      </c>
      <c r="S71" s="27">
        <v>0</v>
      </c>
      <c r="T71" s="51">
        <v>4316857.2714439463</v>
      </c>
      <c r="U71" s="5"/>
      <c r="V71" s="30">
        <v>0</v>
      </c>
      <c r="W71" s="51">
        <v>3896157.2714439463</v>
      </c>
      <c r="Y71" s="30">
        <v>1681564.1138172464</v>
      </c>
      <c r="Z71" s="27">
        <v>1681564.1138172464</v>
      </c>
      <c r="AA71" s="27">
        <v>0</v>
      </c>
      <c r="AB71" s="51">
        <v>864469.78854332003</v>
      </c>
      <c r="AD71" s="30">
        <v>15663999.594155122</v>
      </c>
      <c r="AE71" s="27">
        <v>132872.22168079135</v>
      </c>
      <c r="AF71" s="27">
        <v>15531127.37247433</v>
      </c>
      <c r="AG71" s="51">
        <v>731597.56686252868</v>
      </c>
      <c r="AI71" s="30">
        <v>0</v>
      </c>
      <c r="AJ71" s="51">
        <v>2199057.7063820614</v>
      </c>
      <c r="AL71" s="43">
        <v>420000</v>
      </c>
      <c r="AM71" s="52">
        <v>-700</v>
      </c>
      <c r="AN71" s="53">
        <v>420000</v>
      </c>
      <c r="AO71" s="54">
        <v>2199757.7063820614</v>
      </c>
      <c r="AQ71" s="30">
        <v>0</v>
      </c>
      <c r="AR71" s="27">
        <v>0</v>
      </c>
      <c r="AS71" s="27">
        <v>0</v>
      </c>
      <c r="AT71" s="51">
        <v>2199757.7063820614</v>
      </c>
      <c r="AV71" s="30">
        <v>1401122.3617076296</v>
      </c>
      <c r="AW71" s="27">
        <v>-62456.809736317024</v>
      </c>
      <c r="AX71" s="27">
        <v>1401122.3617076296</v>
      </c>
      <c r="AY71" s="51">
        <v>2262214.5161183784</v>
      </c>
      <c r="BA71" s="30">
        <v>10155439.380539211</v>
      </c>
      <c r="BB71" s="27">
        <v>2262214.5161183784</v>
      </c>
      <c r="BC71" s="27">
        <v>7893224.8644208321</v>
      </c>
      <c r="BD71" s="51">
        <v>0</v>
      </c>
      <c r="BF71" s="30">
        <v>8079581.4141442794</v>
      </c>
      <c r="BG71" s="27">
        <v>0</v>
      </c>
      <c r="BH71" s="27">
        <v>8079581.4141442794</v>
      </c>
      <c r="BI71" s="51">
        <v>0</v>
      </c>
      <c r="BK71" s="30">
        <v>0</v>
      </c>
      <c r="BL71" s="27">
        <v>0</v>
      </c>
      <c r="BM71" s="27">
        <v>0</v>
      </c>
      <c r="BN71" s="51">
        <v>0</v>
      </c>
      <c r="BP71" s="30">
        <v>0</v>
      </c>
      <c r="BQ71" s="20">
        <v>72041907.575000837</v>
      </c>
      <c r="BR71" s="51">
        <v>0</v>
      </c>
      <c r="BT71" s="30">
        <v>2362875.1914194203</v>
      </c>
      <c r="BU71" s="51">
        <v>132859.71831689621</v>
      </c>
      <c r="BW71" s="221">
        <v>2262214.5161183774</v>
      </c>
      <c r="BX71" s="222">
        <v>0</v>
      </c>
    </row>
    <row r="72" spans="1:76" x14ac:dyDescent="0.2">
      <c r="F72" s="151">
        <v>68</v>
      </c>
      <c r="G72" s="30">
        <v>3064268.35</v>
      </c>
      <c r="H72" s="28">
        <v>9518838.3777512666</v>
      </c>
      <c r="I72" s="28">
        <v>16484565.467295339</v>
      </c>
      <c r="J72" s="28">
        <v>16893594.176903844</v>
      </c>
      <c r="K72" s="28">
        <v>24778750.48054428</v>
      </c>
      <c r="L72" s="28">
        <v>0</v>
      </c>
      <c r="M72" s="27">
        <v>1403457.565643809</v>
      </c>
      <c r="N72" s="27">
        <v>420700</v>
      </c>
      <c r="O72" s="51">
        <v>4888425.9156438094</v>
      </c>
      <c r="P72" s="5"/>
      <c r="Q72" s="30">
        <v>35000</v>
      </c>
      <c r="R72" s="27">
        <v>35000</v>
      </c>
      <c r="S72" s="27">
        <v>0</v>
      </c>
      <c r="T72" s="51">
        <v>4853425.9156438094</v>
      </c>
      <c r="U72" s="5"/>
      <c r="V72" s="30">
        <v>0</v>
      </c>
      <c r="W72" s="51">
        <v>4432725.9156438094</v>
      </c>
      <c r="Y72" s="30">
        <v>1670201.2161909372</v>
      </c>
      <c r="Z72" s="27">
        <v>1670201.2161909372</v>
      </c>
      <c r="AA72" s="27">
        <v>0</v>
      </c>
      <c r="AB72" s="51">
        <v>1014502.5115926394</v>
      </c>
      <c r="AD72" s="30">
        <v>16779315.862112131</v>
      </c>
      <c r="AE72" s="27">
        <v>132872.22168079135</v>
      </c>
      <c r="AF72" s="27">
        <v>16646443.640431339</v>
      </c>
      <c r="AG72" s="51">
        <v>881630.28991184803</v>
      </c>
      <c r="AI72" s="30">
        <v>0</v>
      </c>
      <c r="AJ72" s="51">
        <v>2806086.0174961695</v>
      </c>
      <c r="AL72" s="43">
        <v>420000</v>
      </c>
      <c r="AM72" s="52">
        <v>-700</v>
      </c>
      <c r="AN72" s="53">
        <v>420000</v>
      </c>
      <c r="AO72" s="54">
        <v>2806786.0174961695</v>
      </c>
      <c r="AQ72" s="30">
        <v>0</v>
      </c>
      <c r="AR72" s="27">
        <v>0</v>
      </c>
      <c r="AS72" s="27">
        <v>0</v>
      </c>
      <c r="AT72" s="51">
        <v>2806786.0174961695</v>
      </c>
      <c r="AV72" s="30">
        <v>1339093.9950229893</v>
      </c>
      <c r="AW72" s="27">
        <v>-64363.570620819693</v>
      </c>
      <c r="AX72" s="27">
        <v>1339093.9950229893</v>
      </c>
      <c r="AY72" s="51">
        <v>2871149.5881169895</v>
      </c>
      <c r="BA72" s="30">
        <v>10245905.387220832</v>
      </c>
      <c r="BB72" s="27">
        <v>2871149.5881169895</v>
      </c>
      <c r="BC72" s="27">
        <v>7374755.7991038421</v>
      </c>
      <c r="BD72" s="51">
        <v>0</v>
      </c>
      <c r="BF72" s="30">
        <v>8294185.0132442806</v>
      </c>
      <c r="BG72" s="27">
        <v>0</v>
      </c>
      <c r="BH72" s="27">
        <v>8294185.0132442806</v>
      </c>
      <c r="BI72" s="51">
        <v>0</v>
      </c>
      <c r="BK72" s="30">
        <v>0</v>
      </c>
      <c r="BL72" s="27">
        <v>0</v>
      </c>
      <c r="BM72" s="27">
        <v>0</v>
      </c>
      <c r="BN72" s="51">
        <v>0</v>
      </c>
      <c r="BP72" s="30">
        <v>0</v>
      </c>
      <c r="BQ72" s="20">
        <v>72041907.575000837</v>
      </c>
      <c r="BR72" s="51">
        <v>0</v>
      </c>
      <c r="BT72" s="30">
        <v>2961472.2023039246</v>
      </c>
      <c r="BU72" s="51">
        <v>132859.71831689621</v>
      </c>
      <c r="BW72" s="221">
        <v>2871149.5881169885</v>
      </c>
      <c r="BX72" s="222">
        <v>0</v>
      </c>
    </row>
    <row r="73" spans="1:76" x14ac:dyDescent="0.2">
      <c r="F73" s="151">
        <v>69</v>
      </c>
      <c r="G73" s="30">
        <v>3149347.46</v>
      </c>
      <c r="H73" s="28">
        <v>7155395.5707795229</v>
      </c>
      <c r="I73" s="28">
        <v>16268787.099477602</v>
      </c>
      <c r="J73" s="28">
        <v>13907651.453770831</v>
      </c>
      <c r="K73" s="28">
        <v>24778750.48054428</v>
      </c>
      <c r="L73" s="28">
        <v>0</v>
      </c>
      <c r="M73" s="27">
        <v>1341325.8183480278</v>
      </c>
      <c r="N73" s="27">
        <v>420700</v>
      </c>
      <c r="O73" s="51">
        <v>4911373.2783480277</v>
      </c>
      <c r="P73" s="5"/>
      <c r="Q73" s="30">
        <v>35000</v>
      </c>
      <c r="R73" s="27">
        <v>35000</v>
      </c>
      <c r="S73" s="27">
        <v>0</v>
      </c>
      <c r="T73" s="51">
        <v>4876373.2783480277</v>
      </c>
      <c r="U73" s="5"/>
      <c r="V73" s="30">
        <v>0</v>
      </c>
      <c r="W73" s="51">
        <v>4455673.2783480277</v>
      </c>
      <c r="Y73" s="30">
        <v>1656508.0668663932</v>
      </c>
      <c r="Z73" s="27">
        <v>1656508.0668663932</v>
      </c>
      <c r="AA73" s="27">
        <v>0</v>
      </c>
      <c r="AB73" s="51">
        <v>1217217.2860493576</v>
      </c>
      <c r="AD73" s="30">
        <v>17926099.95678135</v>
      </c>
      <c r="AE73" s="27">
        <v>132872.22168079135</v>
      </c>
      <c r="AF73" s="27">
        <v>17793227.73510056</v>
      </c>
      <c r="AG73" s="51">
        <v>1084345.0643685663</v>
      </c>
      <c r="AI73" s="30">
        <v>0</v>
      </c>
      <c r="AJ73" s="51">
        <v>2904285.9521121411</v>
      </c>
      <c r="AL73" s="43">
        <v>420000</v>
      </c>
      <c r="AM73" s="52">
        <v>-700</v>
      </c>
      <c r="AN73" s="53">
        <v>420000</v>
      </c>
      <c r="AO73" s="54">
        <v>2904985.9521121411</v>
      </c>
      <c r="AQ73" s="30">
        <v>0</v>
      </c>
      <c r="AR73" s="27">
        <v>0</v>
      </c>
      <c r="AS73" s="27">
        <v>0</v>
      </c>
      <c r="AT73" s="51">
        <v>2904985.9521121411</v>
      </c>
      <c r="AV73" s="30">
        <v>1260369.0473271559</v>
      </c>
      <c r="AW73" s="27">
        <v>-80956.77102087182</v>
      </c>
      <c r="AX73" s="27">
        <v>1260369.0473271559</v>
      </c>
      <c r="AY73" s="51">
        <v>2985942.7231330127</v>
      </c>
      <c r="BA73" s="30">
        <v>9738198.6061038449</v>
      </c>
      <c r="BB73" s="27">
        <v>2985942.7231330127</v>
      </c>
      <c r="BC73" s="27">
        <v>6752255.8829708323</v>
      </c>
      <c r="BD73" s="51">
        <v>0</v>
      </c>
      <c r="BF73" s="30">
        <v>8509963.3810442798</v>
      </c>
      <c r="BG73" s="27">
        <v>0</v>
      </c>
      <c r="BH73" s="27">
        <v>8509963.3810442798</v>
      </c>
      <c r="BI73" s="51">
        <v>0</v>
      </c>
      <c r="BK73" s="30">
        <v>0</v>
      </c>
      <c r="BL73" s="27">
        <v>0</v>
      </c>
      <c r="BM73" s="27">
        <v>0</v>
      </c>
      <c r="BN73" s="51">
        <v>0</v>
      </c>
      <c r="BP73" s="30">
        <v>0</v>
      </c>
      <c r="BQ73" s="20">
        <v>72041907.575000837</v>
      </c>
      <c r="BR73" s="51">
        <v>0</v>
      </c>
      <c r="BT73" s="30">
        <v>3063144.5127039757</v>
      </c>
      <c r="BU73" s="51">
        <v>132859.71831689621</v>
      </c>
      <c r="BW73" s="221">
        <v>2985942.7231330127</v>
      </c>
      <c r="BX73" s="222">
        <v>0</v>
      </c>
    </row>
    <row r="74" spans="1:76" x14ac:dyDescent="0.2">
      <c r="F74" s="151">
        <v>70</v>
      </c>
      <c r="G74" s="30">
        <v>2142496.6</v>
      </c>
      <c r="H74" s="28">
        <v>4781141.2478945591</v>
      </c>
      <c r="I74" s="28">
        <v>16051827.532107593</v>
      </c>
      <c r="J74" s="28">
        <v>11911897.833956935</v>
      </c>
      <c r="K74" s="28">
        <v>24778750.48054428</v>
      </c>
      <c r="L74" s="28">
        <v>0</v>
      </c>
      <c r="M74" s="27">
        <v>1262469.6624060345</v>
      </c>
      <c r="N74" s="27">
        <v>420700</v>
      </c>
      <c r="O74" s="51">
        <v>3825666.2624060344</v>
      </c>
      <c r="P74" s="5"/>
      <c r="Q74" s="30">
        <v>35000</v>
      </c>
      <c r="R74" s="27">
        <v>35000</v>
      </c>
      <c r="S74" s="27">
        <v>0</v>
      </c>
      <c r="T74" s="51">
        <v>3790666.2624060344</v>
      </c>
      <c r="U74" s="5"/>
      <c r="V74" s="30">
        <v>0</v>
      </c>
      <c r="W74" s="51">
        <v>3369966.2624060344</v>
      </c>
      <c r="Y74" s="30">
        <v>1639666.428080122</v>
      </c>
      <c r="Z74" s="27">
        <v>1639666.428080122</v>
      </c>
      <c r="AA74" s="27">
        <v>0</v>
      </c>
      <c r="AB74" s="51">
        <v>1646629.3505138252</v>
      </c>
      <c r="AD74" s="30">
        <v>19105239.719707314</v>
      </c>
      <c r="AE74" s="27">
        <v>132872.22168079135</v>
      </c>
      <c r="AF74" s="27">
        <v>18972367.498026524</v>
      </c>
      <c r="AG74" s="51">
        <v>1513757.1288330338</v>
      </c>
      <c r="AI74" s="30">
        <v>0</v>
      </c>
      <c r="AJ74" s="51">
        <v>1911080.508201123</v>
      </c>
      <c r="AL74" s="43">
        <v>420000</v>
      </c>
      <c r="AM74" s="52">
        <v>-700</v>
      </c>
      <c r="AN74" s="53">
        <v>420000</v>
      </c>
      <c r="AO74" s="54">
        <v>1911780.508201123</v>
      </c>
      <c r="AQ74" s="30">
        <v>0</v>
      </c>
      <c r="AR74" s="27">
        <v>0</v>
      </c>
      <c r="AS74" s="27">
        <v>0</v>
      </c>
      <c r="AT74" s="51">
        <v>1911780.508201123</v>
      </c>
      <c r="AV74" s="30">
        <v>1178496.5507932613</v>
      </c>
      <c r="AW74" s="27">
        <v>-83973.111612773268</v>
      </c>
      <c r="AX74" s="27">
        <v>1178496.5507932613</v>
      </c>
      <c r="AY74" s="51">
        <v>1995753.6198138962</v>
      </c>
      <c r="BA74" s="30">
        <v>9126510.2058708314</v>
      </c>
      <c r="BB74" s="27">
        <v>1995753.6198138962</v>
      </c>
      <c r="BC74" s="27">
        <v>7130756.5860569347</v>
      </c>
      <c r="BD74" s="51">
        <v>0</v>
      </c>
      <c r="BF74" s="30">
        <v>8726922.9484442808</v>
      </c>
      <c r="BG74" s="27">
        <v>0</v>
      </c>
      <c r="BH74" s="27">
        <v>8726922.9484442808</v>
      </c>
      <c r="BI74" s="51">
        <v>0</v>
      </c>
      <c r="BK74" s="30">
        <v>0</v>
      </c>
      <c r="BL74" s="27">
        <v>0</v>
      </c>
      <c r="BM74" s="27">
        <v>0</v>
      </c>
      <c r="BN74" s="51">
        <v>0</v>
      </c>
      <c r="BP74" s="30">
        <v>0</v>
      </c>
      <c r="BQ74" s="20">
        <v>72041907.575000837</v>
      </c>
      <c r="BR74" s="51">
        <v>0</v>
      </c>
      <c r="BT74" s="30">
        <v>2059309.993295877</v>
      </c>
      <c r="BU74" s="51">
        <v>132859.71831689621</v>
      </c>
      <c r="BW74" s="221">
        <v>1995753.6198138967</v>
      </c>
      <c r="BX74" s="222">
        <v>0</v>
      </c>
    </row>
    <row r="75" spans="1:76" x14ac:dyDescent="0.2">
      <c r="F75" s="151">
        <v>71</v>
      </c>
      <c r="G75" s="30">
        <v>3354628.07</v>
      </c>
      <c r="H75" s="28">
        <v>2396025.9520600862</v>
      </c>
      <c r="I75" s="28">
        <v>15833680.299141493</v>
      </c>
      <c r="J75" s="28">
        <v>8722179.1373777278</v>
      </c>
      <c r="K75" s="28">
        <v>24778750.48054428</v>
      </c>
      <c r="L75" s="28">
        <v>0</v>
      </c>
      <c r="M75" s="27">
        <v>1180460.71171125</v>
      </c>
      <c r="N75" s="27">
        <v>420700</v>
      </c>
      <c r="O75" s="51">
        <v>4955788.7817112496</v>
      </c>
      <c r="P75" s="5"/>
      <c r="Q75" s="30">
        <v>35000</v>
      </c>
      <c r="R75" s="27">
        <v>35000</v>
      </c>
      <c r="S75" s="27">
        <v>0</v>
      </c>
      <c r="T75" s="51">
        <v>4920788.7817112496</v>
      </c>
      <c r="U75" s="5"/>
      <c r="V75" s="30">
        <v>0</v>
      </c>
      <c r="W75" s="51">
        <v>4500088.7817112496</v>
      </c>
      <c r="Y75" s="30">
        <v>1616155.3229792793</v>
      </c>
      <c r="Z75" s="27">
        <v>1616155.3229792793</v>
      </c>
      <c r="AA75" s="27">
        <v>0</v>
      </c>
      <c r="AB75" s="51">
        <v>1575504.7586519602</v>
      </c>
      <c r="AD75" s="30">
        <v>20317648.042229559</v>
      </c>
      <c r="AE75" s="27">
        <v>132872.22168079135</v>
      </c>
      <c r="AF75" s="27">
        <v>20184775.820548769</v>
      </c>
      <c r="AG75" s="51">
        <v>1442632.5369711688</v>
      </c>
      <c r="AI75" s="30">
        <v>0</v>
      </c>
      <c r="AJ75" s="51">
        <v>3132332.3435525652</v>
      </c>
      <c r="AL75" s="43">
        <v>420000</v>
      </c>
      <c r="AM75" s="52">
        <v>-700</v>
      </c>
      <c r="AN75" s="53">
        <v>420000</v>
      </c>
      <c r="AO75" s="54">
        <v>3133032.3435525652</v>
      </c>
      <c r="AQ75" s="30">
        <v>0</v>
      </c>
      <c r="AR75" s="27">
        <v>0</v>
      </c>
      <c r="AS75" s="27">
        <v>0</v>
      </c>
      <c r="AT75" s="51">
        <v>3133032.3435525652</v>
      </c>
      <c r="AV75" s="30">
        <v>1123774.3586846078</v>
      </c>
      <c r="AW75" s="27">
        <v>-56686.353026642231</v>
      </c>
      <c r="AX75" s="27">
        <v>1123774.3586846078</v>
      </c>
      <c r="AY75" s="51">
        <v>3189718.6965792077</v>
      </c>
      <c r="BA75" s="30">
        <v>9515871.8818569351</v>
      </c>
      <c r="BB75" s="27">
        <v>3189718.6965792077</v>
      </c>
      <c r="BC75" s="27">
        <v>6326153.1852777274</v>
      </c>
      <c r="BD75" s="51">
        <v>0</v>
      </c>
      <c r="BF75" s="30">
        <v>8945070.1814442798</v>
      </c>
      <c r="BG75" s="27">
        <v>0</v>
      </c>
      <c r="BH75" s="27">
        <v>8945070.1814442798</v>
      </c>
      <c r="BI75" s="51">
        <v>0</v>
      </c>
      <c r="BK75" s="30">
        <v>0</v>
      </c>
      <c r="BL75" s="27">
        <v>0</v>
      </c>
      <c r="BM75" s="27">
        <v>0</v>
      </c>
      <c r="BN75" s="51">
        <v>0</v>
      </c>
      <c r="BP75" s="30">
        <v>0</v>
      </c>
      <c r="BQ75" s="20">
        <v>72041907.575000837</v>
      </c>
      <c r="BR75" s="51">
        <v>0</v>
      </c>
      <c r="BT75" s="30">
        <v>3244154.7047097459</v>
      </c>
      <c r="BU75" s="51">
        <v>132859.71831689621</v>
      </c>
      <c r="BW75" s="221">
        <v>3189718.6965792067</v>
      </c>
      <c r="BX75" s="222">
        <v>0</v>
      </c>
    </row>
    <row r="76" spans="1:76" x14ac:dyDescent="0.2">
      <c r="F76" s="151">
        <v>72</v>
      </c>
      <c r="G76" s="30">
        <v>9121863.6799999997</v>
      </c>
      <c r="H76" s="28">
        <v>0</v>
      </c>
      <c r="I76" s="28">
        <v>15614338.899139486</v>
      </c>
      <c r="J76" s="28">
        <v>0</v>
      </c>
      <c r="K76" s="28">
        <v>24453418.831211392</v>
      </c>
      <c r="L76" s="28">
        <v>0</v>
      </c>
      <c r="M76" s="27">
        <v>1125647.3159490821</v>
      </c>
      <c r="N76" s="27">
        <v>420700</v>
      </c>
      <c r="O76" s="51">
        <v>10668210.995949082</v>
      </c>
      <c r="P76" s="5"/>
      <c r="Q76" s="30">
        <v>31666.666666666668</v>
      </c>
      <c r="R76" s="27">
        <v>31666.666666666668</v>
      </c>
      <c r="S76" s="27">
        <v>0</v>
      </c>
      <c r="T76" s="51">
        <v>10636544.329282416</v>
      </c>
      <c r="U76" s="5"/>
      <c r="V76" s="30">
        <v>0</v>
      </c>
      <c r="W76" s="51">
        <v>10215844.329282416</v>
      </c>
      <c r="Y76" s="30">
        <v>1593748.8982281887</v>
      </c>
      <c r="Z76" s="27">
        <v>1593748.8982281887</v>
      </c>
      <c r="AA76" s="27">
        <v>0</v>
      </c>
      <c r="AB76" s="51">
        <v>13331548.573668288</v>
      </c>
      <c r="AD76" s="30">
        <v>21564263.57224413</v>
      </c>
      <c r="AE76" s="27">
        <v>132872.22168079135</v>
      </c>
      <c r="AF76" s="27">
        <v>21431391.35056334</v>
      </c>
      <c r="AG76" s="51">
        <v>13198676.351987496</v>
      </c>
      <c r="AI76" s="30">
        <v>0</v>
      </c>
      <c r="AJ76" s="51">
        <v>8917477.9358230773</v>
      </c>
      <c r="AL76" s="43">
        <v>380000</v>
      </c>
      <c r="AM76" s="52">
        <v>-40700</v>
      </c>
      <c r="AN76" s="53">
        <v>380000</v>
      </c>
      <c r="AO76" s="54">
        <v>8958177.9358230773</v>
      </c>
      <c r="AQ76" s="30">
        <v>0</v>
      </c>
      <c r="AR76" s="27">
        <v>0</v>
      </c>
      <c r="AS76" s="27">
        <v>0</v>
      </c>
      <c r="AT76" s="51">
        <v>8958177.9358230773</v>
      </c>
      <c r="AV76" s="30">
        <v>1036314.4650615425</v>
      </c>
      <c r="AW76" s="27">
        <v>-89332.85088753968</v>
      </c>
      <c r="AX76" s="27">
        <v>1036314.4650615425</v>
      </c>
      <c r="AY76" s="51">
        <v>9047510.7867106162</v>
      </c>
      <c r="BA76" s="30">
        <v>8722179.1373777278</v>
      </c>
      <c r="BB76" s="27">
        <v>8722179.1373777278</v>
      </c>
      <c r="BC76" s="27">
        <v>0</v>
      </c>
      <c r="BD76" s="51">
        <v>325331.64933288842</v>
      </c>
      <c r="BF76" s="30">
        <v>9164411.5814442802</v>
      </c>
      <c r="BG76" s="27">
        <v>325331.64933288842</v>
      </c>
      <c r="BH76" s="27">
        <v>8839079.9321113918</v>
      </c>
      <c r="BI76" s="51">
        <v>0</v>
      </c>
      <c r="BK76" s="30">
        <v>0</v>
      </c>
      <c r="BL76" s="27">
        <v>0</v>
      </c>
      <c r="BM76" s="27">
        <v>0</v>
      </c>
      <c r="BN76" s="51">
        <v>0</v>
      </c>
      <c r="BP76" s="30">
        <v>0</v>
      </c>
      <c r="BQ76" s="20">
        <v>72041907.575000837</v>
      </c>
      <c r="BR76" s="51">
        <v>0</v>
      </c>
      <c r="BT76" s="30">
        <v>8762038.4965710882</v>
      </c>
      <c r="BU76" s="51">
        <v>458191.36764978466</v>
      </c>
      <c r="BW76" s="221">
        <v>8722179.1373777278</v>
      </c>
      <c r="BX76" s="222">
        <v>325331.64933288842</v>
      </c>
    </row>
    <row r="77" spans="1:76" x14ac:dyDescent="0.2">
      <c r="F77" s="151">
        <v>73</v>
      </c>
      <c r="G77" s="30">
        <v>1960915.45</v>
      </c>
      <c r="H77" s="28">
        <v>0</v>
      </c>
      <c r="I77" s="28">
        <v>15393796.795072025</v>
      </c>
      <c r="J77" s="28">
        <v>0</v>
      </c>
      <c r="K77" s="28">
        <v>22403302.451072574</v>
      </c>
      <c r="L77" s="28">
        <v>0</v>
      </c>
      <c r="M77" s="27">
        <v>1038041.655836645</v>
      </c>
      <c r="N77" s="27">
        <v>380633.33333333331</v>
      </c>
      <c r="O77" s="51">
        <v>3379590.4391699783</v>
      </c>
      <c r="P77" s="5"/>
      <c r="Q77" s="30">
        <v>31666.666666666668</v>
      </c>
      <c r="R77" s="27">
        <v>31666.666666666668</v>
      </c>
      <c r="S77" s="27">
        <v>0</v>
      </c>
      <c r="T77" s="51">
        <v>3347923.7725033117</v>
      </c>
      <c r="U77" s="5"/>
      <c r="V77" s="30">
        <v>0</v>
      </c>
      <c r="W77" s="51">
        <v>2967290.4391699783</v>
      </c>
      <c r="Y77" s="30">
        <v>1388752.0324873768</v>
      </c>
      <c r="Z77" s="27">
        <v>1388752.0324873768</v>
      </c>
      <c r="AA77" s="27">
        <v>0</v>
      </c>
      <c r="AB77" s="51">
        <v>1096285.5986161169</v>
      </c>
      <c r="AD77" s="30">
        <v>22846051.440905839</v>
      </c>
      <c r="AE77" s="27">
        <v>132872.22168079135</v>
      </c>
      <c r="AF77" s="27">
        <v>22713179.219225049</v>
      </c>
      <c r="AG77" s="51">
        <v>963413.37693532556</v>
      </c>
      <c r="AI77" s="30">
        <v>0</v>
      </c>
      <c r="AJ77" s="51">
        <v>1798133.4415669767</v>
      </c>
      <c r="AL77" s="43">
        <v>380000</v>
      </c>
      <c r="AM77" s="52">
        <v>-633.33333333331393</v>
      </c>
      <c r="AN77" s="53">
        <v>380000</v>
      </c>
      <c r="AO77" s="54">
        <v>1798766.77490031</v>
      </c>
      <c r="AQ77" s="30">
        <v>0</v>
      </c>
      <c r="AR77" s="27">
        <v>0</v>
      </c>
      <c r="AS77" s="27">
        <v>0</v>
      </c>
      <c r="AT77" s="51">
        <v>1798766.77490031</v>
      </c>
      <c r="AV77" s="30">
        <v>786692.05059813824</v>
      </c>
      <c r="AW77" s="27">
        <v>-251349.6052385068</v>
      </c>
      <c r="AX77" s="27">
        <v>786692.05059813824</v>
      </c>
      <c r="AY77" s="51">
        <v>2050116.3801388168</v>
      </c>
      <c r="BA77" s="30">
        <v>0</v>
      </c>
      <c r="BB77" s="27">
        <v>0</v>
      </c>
      <c r="BC77" s="27">
        <v>0</v>
      </c>
      <c r="BD77" s="51">
        <v>2050116.3801388168</v>
      </c>
      <c r="BF77" s="30">
        <v>9059622.0361113921</v>
      </c>
      <c r="BG77" s="27">
        <v>2050116.3801388168</v>
      </c>
      <c r="BH77" s="27">
        <v>7009505.6559725758</v>
      </c>
      <c r="BI77" s="51">
        <v>0</v>
      </c>
      <c r="BK77" s="30">
        <v>0</v>
      </c>
      <c r="BL77" s="27">
        <v>0</v>
      </c>
      <c r="BM77" s="27">
        <v>0</v>
      </c>
      <c r="BN77" s="51">
        <v>0</v>
      </c>
      <c r="BP77" s="30">
        <v>0</v>
      </c>
      <c r="BQ77" s="20">
        <v>72041907.575000837</v>
      </c>
      <c r="BR77" s="51">
        <v>0</v>
      </c>
      <c r="BT77" s="30">
        <v>0</v>
      </c>
      <c r="BU77" s="51">
        <v>2181231.7219051733</v>
      </c>
      <c r="BW77" s="221">
        <v>0</v>
      </c>
      <c r="BX77" s="222">
        <v>2050116.3801388182</v>
      </c>
    </row>
    <row r="78" spans="1:76" x14ac:dyDescent="0.2">
      <c r="F78" s="151">
        <v>74</v>
      </c>
      <c r="G78" s="30">
        <v>2223274.84</v>
      </c>
      <c r="H78" s="28">
        <v>0</v>
      </c>
      <c r="I78" s="28">
        <v>15172047.414124977</v>
      </c>
      <c r="J78" s="28">
        <v>0</v>
      </c>
      <c r="K78" s="28">
        <v>20263918.347444672</v>
      </c>
      <c r="L78" s="28">
        <v>0</v>
      </c>
      <c r="M78" s="27">
        <v>788003.20401580178</v>
      </c>
      <c r="N78" s="27">
        <v>380633.33333333331</v>
      </c>
      <c r="O78" s="51">
        <v>3391911.377349135</v>
      </c>
      <c r="P78" s="5"/>
      <c r="Q78" s="30">
        <v>31666.666666666668</v>
      </c>
      <c r="R78" s="27">
        <v>31666.666666666668</v>
      </c>
      <c r="S78" s="27">
        <v>0</v>
      </c>
      <c r="T78" s="51">
        <v>3360244.7106824685</v>
      </c>
      <c r="U78" s="5"/>
      <c r="V78" s="30">
        <v>0</v>
      </c>
      <c r="W78" s="51">
        <v>2979611.377349135</v>
      </c>
      <c r="Y78" s="30">
        <v>1373788.6590840449</v>
      </c>
      <c r="Z78" s="27">
        <v>1373788.6590840449</v>
      </c>
      <c r="AA78" s="27">
        <v>0</v>
      </c>
      <c r="AB78" s="51">
        <v>1373733.8499330422</v>
      </c>
      <c r="AD78" s="30">
        <v>24164004.009833906</v>
      </c>
      <c r="AE78" s="27">
        <v>132872.22168079135</v>
      </c>
      <c r="AF78" s="27">
        <v>24031131.788153116</v>
      </c>
      <c r="AG78" s="51">
        <v>1240861.6282522508</v>
      </c>
      <c r="AI78" s="30">
        <v>0</v>
      </c>
      <c r="AJ78" s="51">
        <v>2071485.229468395</v>
      </c>
      <c r="AL78" s="43">
        <v>380000</v>
      </c>
      <c r="AM78" s="52">
        <v>-633.33333333331393</v>
      </c>
      <c r="AN78" s="53">
        <v>380000</v>
      </c>
      <c r="AO78" s="54">
        <v>2072118.5628017283</v>
      </c>
      <c r="AQ78" s="30">
        <v>0</v>
      </c>
      <c r="AR78" s="27">
        <v>0</v>
      </c>
      <c r="AS78" s="27">
        <v>0</v>
      </c>
      <c r="AT78" s="51">
        <v>2072118.5628017283</v>
      </c>
      <c r="AV78" s="30">
        <v>720737.66318962944</v>
      </c>
      <c r="AW78" s="27">
        <v>-67265.540826172335</v>
      </c>
      <c r="AX78" s="27">
        <v>720737.66318962944</v>
      </c>
      <c r="AY78" s="51">
        <v>2139384.1036279006</v>
      </c>
      <c r="BA78" s="30">
        <v>0</v>
      </c>
      <c r="BB78" s="27">
        <v>0</v>
      </c>
      <c r="BC78" s="27">
        <v>0</v>
      </c>
      <c r="BD78" s="51">
        <v>2139384.1036279006</v>
      </c>
      <c r="BF78" s="30">
        <v>7231255.036972573</v>
      </c>
      <c r="BG78" s="27">
        <v>2139384.1036279006</v>
      </c>
      <c r="BH78" s="27">
        <v>5091870.9333446724</v>
      </c>
      <c r="BI78" s="51">
        <v>0</v>
      </c>
      <c r="BK78" s="30">
        <v>0</v>
      </c>
      <c r="BL78" s="27">
        <v>0</v>
      </c>
      <c r="BM78" s="27">
        <v>0</v>
      </c>
      <c r="BN78" s="51">
        <v>0</v>
      </c>
      <c r="BP78" s="30">
        <v>0</v>
      </c>
      <c r="BQ78" s="20">
        <v>72041907.575000837</v>
      </c>
      <c r="BR78" s="51">
        <v>0</v>
      </c>
      <c r="BT78" s="30">
        <v>0</v>
      </c>
      <c r="BU78" s="51">
        <v>2259507.0474928389</v>
      </c>
      <c r="BW78" s="221">
        <v>0</v>
      </c>
      <c r="BX78" s="222">
        <v>2139384.1036279015</v>
      </c>
    </row>
    <row r="79" spans="1:76" x14ac:dyDescent="0.2">
      <c r="F79" s="151">
        <v>75</v>
      </c>
      <c r="G79" s="30">
        <v>2368824.09</v>
      </c>
      <c r="H79" s="28">
        <v>0</v>
      </c>
      <c r="I79" s="28">
        <v>14949084.147503752</v>
      </c>
      <c r="J79" s="28">
        <v>0</v>
      </c>
      <c r="K79" s="28">
        <v>17964752.044564787</v>
      </c>
      <c r="L79" s="28">
        <v>0</v>
      </c>
      <c r="M79" s="27">
        <v>721938.89262827882</v>
      </c>
      <c r="N79" s="27">
        <v>380633.33333333331</v>
      </c>
      <c r="O79" s="51">
        <v>3471396.3159616119</v>
      </c>
      <c r="P79" s="5"/>
      <c r="Q79" s="30">
        <v>31666.666666666668</v>
      </c>
      <c r="R79" s="27">
        <v>31666.666666666668</v>
      </c>
      <c r="S79" s="27">
        <v>0</v>
      </c>
      <c r="T79" s="51">
        <v>3439729.6492949454</v>
      </c>
      <c r="U79" s="5"/>
      <c r="V79" s="30">
        <v>0</v>
      </c>
      <c r="W79" s="51">
        <v>3059096.3159616119</v>
      </c>
      <c r="Y79" s="30">
        <v>1354516.0640278407</v>
      </c>
      <c r="Z79" s="27">
        <v>1354516.0640278407</v>
      </c>
      <c r="AA79" s="27">
        <v>0</v>
      </c>
      <c r="AB79" s="51">
        <v>1682244.6429889542</v>
      </c>
      <c r="AD79" s="30">
        <v>25519141.639399447</v>
      </c>
      <c r="AE79" s="27">
        <v>132872.22168079135</v>
      </c>
      <c r="AF79" s="27">
        <v>25386269.417718656</v>
      </c>
      <c r="AG79" s="51">
        <v>1549372.4213081629</v>
      </c>
      <c r="AI79" s="30">
        <v>0</v>
      </c>
      <c r="AJ79" s="51">
        <v>2228505.5167026101</v>
      </c>
      <c r="AL79" s="43">
        <v>380000</v>
      </c>
      <c r="AM79" s="52">
        <v>-633.33333333331393</v>
      </c>
      <c r="AN79" s="53">
        <v>380000</v>
      </c>
      <c r="AO79" s="54">
        <v>2229138.8500359436</v>
      </c>
      <c r="AQ79" s="30">
        <v>0</v>
      </c>
      <c r="AR79" s="27">
        <v>0</v>
      </c>
      <c r="AS79" s="27">
        <v>0</v>
      </c>
      <c r="AT79" s="51">
        <v>2229138.8500359436</v>
      </c>
      <c r="AV79" s="30">
        <v>651911.43978433893</v>
      </c>
      <c r="AW79" s="27">
        <v>-70027.452843939885</v>
      </c>
      <c r="AX79" s="27">
        <v>651911.43978433893</v>
      </c>
      <c r="AY79" s="51">
        <v>2299166.3028798834</v>
      </c>
      <c r="BA79" s="30">
        <v>0</v>
      </c>
      <c r="BB79" s="27">
        <v>0</v>
      </c>
      <c r="BC79" s="27">
        <v>0</v>
      </c>
      <c r="BD79" s="51">
        <v>2299166.3028798834</v>
      </c>
      <c r="BF79" s="30">
        <v>5314834.1999446712</v>
      </c>
      <c r="BG79" s="27">
        <v>2299166.3028798834</v>
      </c>
      <c r="BH79" s="27">
        <v>3015667.8970647878</v>
      </c>
      <c r="BI79" s="51">
        <v>0</v>
      </c>
      <c r="BK79" s="30">
        <v>0</v>
      </c>
      <c r="BL79" s="27">
        <v>0</v>
      </c>
      <c r="BM79" s="27">
        <v>0</v>
      </c>
      <c r="BN79" s="51">
        <v>0</v>
      </c>
      <c r="BP79" s="30">
        <v>0</v>
      </c>
      <c r="BQ79" s="20">
        <v>72041907.575000837</v>
      </c>
      <c r="BR79" s="51">
        <v>0</v>
      </c>
      <c r="BT79" s="30">
        <v>0</v>
      </c>
      <c r="BU79" s="51">
        <v>2407818.2095106067</v>
      </c>
      <c r="BW79" s="221">
        <v>0</v>
      </c>
      <c r="BX79" s="222">
        <v>2299166.3028798848</v>
      </c>
    </row>
    <row r="80" spans="1:76" x14ac:dyDescent="0.2">
      <c r="F80" s="151">
        <v>76</v>
      </c>
      <c r="G80" s="30">
        <v>3179160.41</v>
      </c>
      <c r="H80" s="28">
        <v>0</v>
      </c>
      <c r="I80" s="28">
        <v>14724900.350236338</v>
      </c>
      <c r="J80" s="28">
        <v>0</v>
      </c>
      <c r="K80" s="28">
        <v>14837896.007681392</v>
      </c>
      <c r="L80" s="28">
        <v>0</v>
      </c>
      <c r="M80" s="27">
        <v>652997.95885064616</v>
      </c>
      <c r="N80" s="27">
        <v>380633.33333333331</v>
      </c>
      <c r="O80" s="51">
        <v>4212791.7021839796</v>
      </c>
      <c r="P80" s="5"/>
      <c r="Q80" s="30">
        <v>31666.666666666668</v>
      </c>
      <c r="R80" s="27">
        <v>31666.666666666668</v>
      </c>
      <c r="S80" s="27">
        <v>0</v>
      </c>
      <c r="T80" s="51">
        <v>4181125.0355173131</v>
      </c>
      <c r="U80" s="5"/>
      <c r="V80" s="30">
        <v>0</v>
      </c>
      <c r="W80" s="51">
        <v>3800491.7021839796</v>
      </c>
      <c r="Y80" s="30">
        <v>1330451.7956297754</v>
      </c>
      <c r="Z80" s="27">
        <v>1330451.7956297754</v>
      </c>
      <c r="AA80" s="27">
        <v>0</v>
      </c>
      <c r="AB80" s="51">
        <v>1113449.7620307219</v>
      </c>
      <c r="AD80" s="30">
        <v>26912513.478689618</v>
      </c>
      <c r="AE80" s="27">
        <v>132872.22168079135</v>
      </c>
      <c r="AF80" s="27">
        <v>26779641.257008828</v>
      </c>
      <c r="AG80" s="51">
        <v>980577.54034993052</v>
      </c>
      <c r="AI80" s="30">
        <v>0</v>
      </c>
      <c r="AJ80" s="51">
        <v>3051169.6006713454</v>
      </c>
      <c r="AL80" s="43">
        <v>380000</v>
      </c>
      <c r="AM80" s="52">
        <v>-633.33333333331393</v>
      </c>
      <c r="AN80" s="53">
        <v>380000</v>
      </c>
      <c r="AO80" s="54">
        <v>3051802.9340046789</v>
      </c>
      <c r="AQ80" s="30">
        <v>0</v>
      </c>
      <c r="AR80" s="27">
        <v>0</v>
      </c>
      <c r="AS80" s="27">
        <v>0</v>
      </c>
      <c r="AT80" s="51">
        <v>3051802.9340046789</v>
      </c>
      <c r="AV80" s="30">
        <v>577944.85597193078</v>
      </c>
      <c r="AW80" s="27">
        <v>-75053.102878715377</v>
      </c>
      <c r="AX80" s="27">
        <v>577944.85597193078</v>
      </c>
      <c r="AY80" s="51">
        <v>3126856.0368833942</v>
      </c>
      <c r="BA80" s="30">
        <v>0</v>
      </c>
      <c r="BB80" s="27">
        <v>0</v>
      </c>
      <c r="BC80" s="27">
        <v>0</v>
      </c>
      <c r="BD80" s="51">
        <v>3126856.0368833942</v>
      </c>
      <c r="BF80" s="30">
        <v>3239851.694364788</v>
      </c>
      <c r="BG80" s="27">
        <v>3126856.0368833942</v>
      </c>
      <c r="BH80" s="27">
        <v>112995.65748139378</v>
      </c>
      <c r="BI80" s="51">
        <v>0</v>
      </c>
      <c r="BK80" s="30">
        <v>0</v>
      </c>
      <c r="BL80" s="27">
        <v>0</v>
      </c>
      <c r="BM80" s="27">
        <v>0</v>
      </c>
      <c r="BN80" s="51">
        <v>0</v>
      </c>
      <c r="BP80" s="30">
        <v>0</v>
      </c>
      <c r="BQ80" s="20">
        <v>72041907.575000837</v>
      </c>
      <c r="BR80" s="51">
        <v>0</v>
      </c>
      <c r="BT80" s="30">
        <v>0</v>
      </c>
      <c r="BU80" s="51">
        <v>3223180.1795453825</v>
      </c>
      <c r="BW80" s="221">
        <v>0</v>
      </c>
      <c r="BX80" s="222">
        <v>3126856.0368833952</v>
      </c>
    </row>
    <row r="81" spans="6:76" x14ac:dyDescent="0.2">
      <c r="F81" s="151">
        <v>77</v>
      </c>
      <c r="G81" s="30">
        <v>1961185.67</v>
      </c>
      <c r="H81" s="28">
        <v>0</v>
      </c>
      <c r="I81" s="28">
        <v>14499489.340975262</v>
      </c>
      <c r="J81" s="28">
        <v>0</v>
      </c>
      <c r="K81" s="28">
        <v>14499489.341</v>
      </c>
      <c r="L81" s="28">
        <v>0</v>
      </c>
      <c r="M81" s="27">
        <v>578908.09739855072</v>
      </c>
      <c r="N81" s="27">
        <v>380633.33333333331</v>
      </c>
      <c r="O81" s="51">
        <v>2920727.1007318841</v>
      </c>
      <c r="P81" s="5"/>
      <c r="Q81" s="30">
        <v>31666.666666666668</v>
      </c>
      <c r="R81" s="27">
        <v>31666.666666666668</v>
      </c>
      <c r="S81" s="27">
        <v>0</v>
      </c>
      <c r="T81" s="51">
        <v>2889060.4340652176</v>
      </c>
      <c r="U81" s="5"/>
      <c r="V81" s="30">
        <v>0</v>
      </c>
      <c r="W81" s="51">
        <v>2508427.1007318841</v>
      </c>
      <c r="Y81" s="30">
        <v>1315221.8349104717</v>
      </c>
      <c r="Z81" s="27">
        <v>1315221.8349104717</v>
      </c>
      <c r="AA81" s="27">
        <v>0</v>
      </c>
      <c r="AB81" s="51">
        <v>1708669.0102748496</v>
      </c>
      <c r="AD81" s="30">
        <v>28345198.277760044</v>
      </c>
      <c r="AE81" s="27">
        <v>132872.22168079135</v>
      </c>
      <c r="AF81" s="27">
        <v>28212326.056079254</v>
      </c>
      <c r="AG81" s="51">
        <v>1575796.7885940582</v>
      </c>
      <c r="AI81" s="30">
        <v>0</v>
      </c>
      <c r="AJ81" s="51">
        <v>1849960.565326388</v>
      </c>
      <c r="AL81" s="43">
        <v>380000</v>
      </c>
      <c r="AM81" s="52">
        <v>-633.33333333331393</v>
      </c>
      <c r="AN81" s="53">
        <v>380000</v>
      </c>
      <c r="AO81" s="54">
        <v>1850593.8986597212</v>
      </c>
      <c r="AQ81" s="30">
        <v>0</v>
      </c>
      <c r="AR81" s="27">
        <v>0</v>
      </c>
      <c r="AS81" s="27">
        <v>0</v>
      </c>
      <c r="AT81" s="51">
        <v>1850593.8986597212</v>
      </c>
      <c r="AV81" s="30">
        <v>477350.62804167182</v>
      </c>
      <c r="AW81" s="27">
        <v>-101557.46935687889</v>
      </c>
      <c r="AX81" s="27">
        <v>477350.62804167182</v>
      </c>
      <c r="AY81" s="51">
        <v>1952151.3680166001</v>
      </c>
      <c r="BA81" s="30">
        <v>0</v>
      </c>
      <c r="BB81" s="27">
        <v>0</v>
      </c>
      <c r="BC81" s="27">
        <v>0</v>
      </c>
      <c r="BD81" s="51">
        <v>1952151.3680166001</v>
      </c>
      <c r="BF81" s="30">
        <v>338406.66668139212</v>
      </c>
      <c r="BG81" s="27">
        <v>338406.66668139212</v>
      </c>
      <c r="BH81" s="27">
        <v>0</v>
      </c>
      <c r="BI81" s="51">
        <v>1613744.701335208</v>
      </c>
      <c r="BK81" s="30">
        <v>0</v>
      </c>
      <c r="BL81" s="27">
        <v>0</v>
      </c>
      <c r="BM81" s="27">
        <v>0</v>
      </c>
      <c r="BN81" s="51">
        <v>1613744.701335208</v>
      </c>
      <c r="BP81" s="30">
        <v>1613744.701335208</v>
      </c>
      <c r="BQ81" s="20">
        <v>73655652.276336044</v>
      </c>
      <c r="BR81" s="51">
        <v>0</v>
      </c>
      <c r="BT81" s="30">
        <v>0</v>
      </c>
      <c r="BU81" s="51">
        <v>417965.10468833742</v>
      </c>
      <c r="BW81" s="221">
        <v>0</v>
      </c>
      <c r="BX81" s="222">
        <v>338406.66668139212</v>
      </c>
    </row>
    <row r="82" spans="6:76" x14ac:dyDescent="0.2">
      <c r="F82" s="151">
        <v>78</v>
      </c>
      <c r="G82" s="30">
        <v>2590478.8199999998</v>
      </c>
      <c r="H82" s="28">
        <v>0</v>
      </c>
      <c r="I82" s="28">
        <v>14272844.401798461</v>
      </c>
      <c r="J82" s="28">
        <v>0</v>
      </c>
      <c r="K82" s="28">
        <v>14272844.401799999</v>
      </c>
      <c r="L82" s="28">
        <v>0</v>
      </c>
      <c r="M82" s="27">
        <v>478146.21242174128</v>
      </c>
      <c r="N82" s="27">
        <v>380633.33333333331</v>
      </c>
      <c r="O82" s="51">
        <v>3449258.3657550747</v>
      </c>
      <c r="P82" s="5"/>
      <c r="Q82" s="30">
        <v>31666.666666666668</v>
      </c>
      <c r="R82" s="27">
        <v>31666.666666666668</v>
      </c>
      <c r="S82" s="27">
        <v>0</v>
      </c>
      <c r="T82" s="51">
        <v>3417591.6990884081</v>
      </c>
      <c r="U82" s="5"/>
      <c r="V82" s="30">
        <v>0</v>
      </c>
      <c r="W82" s="51">
        <v>3036958.3657550747</v>
      </c>
      <c r="Y82" s="30">
        <v>1290747.1532006217</v>
      </c>
      <c r="Z82" s="27">
        <v>1290747.1532006217</v>
      </c>
      <c r="AA82" s="27">
        <v>0</v>
      </c>
      <c r="AB82" s="51">
        <v>1504086.7853167374</v>
      </c>
      <c r="AD82" s="30">
        <v>29818305.222804315</v>
      </c>
      <c r="AE82" s="27">
        <v>132872.22168079135</v>
      </c>
      <c r="AF82" s="27">
        <v>29685433.001123525</v>
      </c>
      <c r="AG82" s="51">
        <v>1371214.563635946</v>
      </c>
      <c r="AI82" s="30">
        <v>0</v>
      </c>
      <c r="AJ82" s="51">
        <v>2481068.1980399997</v>
      </c>
      <c r="AL82" s="43">
        <v>380000</v>
      </c>
      <c r="AM82" s="52">
        <v>-633.33333333331393</v>
      </c>
      <c r="AN82" s="53">
        <v>380000</v>
      </c>
      <c r="AO82" s="54">
        <v>2481701.5313733332</v>
      </c>
      <c r="AQ82" s="30">
        <v>0</v>
      </c>
      <c r="AR82" s="27">
        <v>0</v>
      </c>
      <c r="AS82" s="27">
        <v>0</v>
      </c>
      <c r="AT82" s="51">
        <v>2481701.5313733332</v>
      </c>
      <c r="AV82" s="30">
        <v>466463.73176000058</v>
      </c>
      <c r="AW82" s="27">
        <v>-11682.480661740701</v>
      </c>
      <c r="AX82" s="27">
        <v>466463.73176000058</v>
      </c>
      <c r="AY82" s="51">
        <v>2493384.0120350737</v>
      </c>
      <c r="BA82" s="30">
        <v>0</v>
      </c>
      <c r="BB82" s="27">
        <v>0</v>
      </c>
      <c r="BC82" s="27">
        <v>0</v>
      </c>
      <c r="BD82" s="51">
        <v>2493384.0120350737</v>
      </c>
      <c r="BF82" s="30">
        <v>226644.93920000084</v>
      </c>
      <c r="BG82" s="27">
        <v>226644.93920000084</v>
      </c>
      <c r="BH82" s="27">
        <v>0</v>
      </c>
      <c r="BI82" s="51">
        <v>2266739.0728350729</v>
      </c>
      <c r="BK82" s="30">
        <v>0</v>
      </c>
      <c r="BL82" s="27">
        <v>0</v>
      </c>
      <c r="BM82" s="27">
        <v>0</v>
      </c>
      <c r="BN82" s="51">
        <v>2266739.0728350729</v>
      </c>
      <c r="BP82" s="30">
        <v>2266739.0728350729</v>
      </c>
      <c r="BQ82" s="20">
        <v>75922391.349171117</v>
      </c>
      <c r="BR82" s="51">
        <v>0</v>
      </c>
      <c r="BT82" s="30">
        <v>0</v>
      </c>
      <c r="BU82" s="51">
        <v>304388.89449333429</v>
      </c>
      <c r="BW82" s="221">
        <v>0</v>
      </c>
      <c r="BX82" s="222">
        <v>226644.93920000084</v>
      </c>
    </row>
    <row r="83" spans="6:76" x14ac:dyDescent="0.2">
      <c r="F83" s="151">
        <v>79</v>
      </c>
      <c r="G83" s="30">
        <v>2815253.3</v>
      </c>
      <c r="H83" s="28">
        <v>0</v>
      </c>
      <c r="I83" s="28">
        <v>14044958.778009081</v>
      </c>
      <c r="J83" s="28">
        <v>0</v>
      </c>
      <c r="K83" s="28">
        <v>14044958.778000001</v>
      </c>
      <c r="L83" s="28">
        <v>0</v>
      </c>
      <c r="M83" s="27">
        <v>467241.1713129339</v>
      </c>
      <c r="N83" s="27">
        <v>380633.33333333331</v>
      </c>
      <c r="O83" s="51">
        <v>3663127.8046462671</v>
      </c>
      <c r="P83" s="5"/>
      <c r="Q83" s="30">
        <v>31666.666666666668</v>
      </c>
      <c r="R83" s="27">
        <v>31666.666666666668</v>
      </c>
      <c r="S83" s="27">
        <v>0</v>
      </c>
      <c r="T83" s="51">
        <v>3631461.1379796006</v>
      </c>
      <c r="U83" s="5"/>
      <c r="V83" s="30">
        <v>0</v>
      </c>
      <c r="W83" s="51">
        <v>3250827.8046462671</v>
      </c>
      <c r="Y83" s="30">
        <v>1269449.9654897347</v>
      </c>
      <c r="Z83" s="27">
        <v>1269449.9654897347</v>
      </c>
      <c r="AA83" s="27">
        <v>0</v>
      </c>
      <c r="AB83" s="51">
        <v>1063092.7645431294</v>
      </c>
      <c r="AD83" s="30">
        <v>31332974.794887207</v>
      </c>
      <c r="AE83" s="27">
        <v>132872.22168079135</v>
      </c>
      <c r="AF83" s="27">
        <v>31200102.573206417</v>
      </c>
      <c r="AG83" s="51">
        <v>930220.54286233801</v>
      </c>
      <c r="AI83" s="30">
        <v>0</v>
      </c>
      <c r="AJ83" s="51">
        <v>2707057.9121497143</v>
      </c>
      <c r="AL83" s="43">
        <v>380000</v>
      </c>
      <c r="AM83" s="52">
        <v>-633.33333333331393</v>
      </c>
      <c r="AN83" s="53">
        <v>380000</v>
      </c>
      <c r="AO83" s="54">
        <v>2707691.2454830478</v>
      </c>
      <c r="AQ83" s="30">
        <v>0</v>
      </c>
      <c r="AR83" s="27">
        <v>0</v>
      </c>
      <c r="AS83" s="27">
        <v>0</v>
      </c>
      <c r="AT83" s="51">
        <v>2707691.2454830478</v>
      </c>
      <c r="AV83" s="30">
        <v>459172.32710171357</v>
      </c>
      <c r="AW83" s="27">
        <v>-8068.8442112203338</v>
      </c>
      <c r="AX83" s="27">
        <v>459172.32710171357</v>
      </c>
      <c r="AY83" s="51">
        <v>2715760.0896942681</v>
      </c>
      <c r="BA83" s="30">
        <v>0</v>
      </c>
      <c r="BB83" s="27">
        <v>0</v>
      </c>
      <c r="BC83" s="27">
        <v>0</v>
      </c>
      <c r="BD83" s="51">
        <v>2715760.0896942681</v>
      </c>
      <c r="BF83" s="30">
        <v>227885.62379999831</v>
      </c>
      <c r="BG83" s="27">
        <v>227885.62379999831</v>
      </c>
      <c r="BH83" s="27">
        <v>0</v>
      </c>
      <c r="BI83" s="51">
        <v>2487874.4658942698</v>
      </c>
      <c r="BK83" s="30">
        <v>0</v>
      </c>
      <c r="BL83" s="27">
        <v>0</v>
      </c>
      <c r="BM83" s="27">
        <v>0</v>
      </c>
      <c r="BN83" s="51">
        <v>2487874.4658942698</v>
      </c>
      <c r="BP83" s="30">
        <v>2487874.4658942698</v>
      </c>
      <c r="BQ83" s="20">
        <v>78410265.815065384</v>
      </c>
      <c r="BR83" s="51">
        <v>0</v>
      </c>
      <c r="BT83" s="30">
        <v>0</v>
      </c>
      <c r="BU83" s="51">
        <v>304414.34498361725</v>
      </c>
      <c r="BW83" s="221">
        <v>0</v>
      </c>
      <c r="BX83" s="222">
        <v>227885.62379999831</v>
      </c>
    </row>
    <row r="84" spans="6:76" x14ac:dyDescent="0.2">
      <c r="F84" s="151">
        <v>80</v>
      </c>
      <c r="G84" s="30">
        <v>2371491.4500000002</v>
      </c>
      <c r="H84" s="28">
        <v>0</v>
      </c>
      <c r="I84" s="28">
        <v>13815825.677934142</v>
      </c>
      <c r="J84" s="28">
        <v>0</v>
      </c>
      <c r="K84" s="28">
        <v>13815825.6779</v>
      </c>
      <c r="L84" s="28">
        <v>0</v>
      </c>
      <c r="M84" s="27">
        <v>459937.61431354977</v>
      </c>
      <c r="N84" s="27">
        <v>380633.33333333331</v>
      </c>
      <c r="O84" s="51">
        <v>3212062.3976468835</v>
      </c>
      <c r="P84" s="5"/>
      <c r="Q84" s="30">
        <v>31666.666666666668</v>
      </c>
      <c r="R84" s="27">
        <v>31666.666666666668</v>
      </c>
      <c r="S84" s="27">
        <v>0</v>
      </c>
      <c r="T84" s="51">
        <v>3180395.730980217</v>
      </c>
      <c r="U84" s="5"/>
      <c r="V84" s="30">
        <v>0</v>
      </c>
      <c r="W84" s="51">
        <v>2799762.3976468835</v>
      </c>
      <c r="Y84" s="30">
        <v>1255002.1306728909</v>
      </c>
      <c r="Z84" s="27">
        <v>1255002.1306728909</v>
      </c>
      <c r="AA84" s="27">
        <v>0</v>
      </c>
      <c r="AB84" s="51">
        <v>1549575.9054906641</v>
      </c>
      <c r="AD84" s="30">
        <v>32890379.65290641</v>
      </c>
      <c r="AE84" s="27">
        <v>132872.22168079135</v>
      </c>
      <c r="AF84" s="27">
        <v>32757507.43122562</v>
      </c>
      <c r="AG84" s="51">
        <v>1416703.6838098727</v>
      </c>
      <c r="AI84" s="30">
        <v>0</v>
      </c>
      <c r="AJ84" s="51">
        <v>2264517.9486128883</v>
      </c>
      <c r="AL84" s="43">
        <v>380000</v>
      </c>
      <c r="AM84" s="52">
        <v>-633.33333333331393</v>
      </c>
      <c r="AN84" s="53">
        <v>380000</v>
      </c>
      <c r="AO84" s="54">
        <v>2265151.2819462218</v>
      </c>
      <c r="AQ84" s="30">
        <v>0</v>
      </c>
      <c r="AR84" s="27">
        <v>0</v>
      </c>
      <c r="AS84" s="27">
        <v>0</v>
      </c>
      <c r="AT84" s="51">
        <v>2265151.2819462218</v>
      </c>
      <c r="AV84" s="30">
        <v>451841.00832267082</v>
      </c>
      <c r="AW84" s="27">
        <v>-8096.6059908789466</v>
      </c>
      <c r="AX84" s="27">
        <v>451841.00832267082</v>
      </c>
      <c r="AY84" s="51">
        <v>2273247.8879371006</v>
      </c>
      <c r="BA84" s="30">
        <v>0</v>
      </c>
      <c r="BB84" s="27">
        <v>0</v>
      </c>
      <c r="BC84" s="27">
        <v>0</v>
      </c>
      <c r="BD84" s="51">
        <v>2273247.8879371006</v>
      </c>
      <c r="BF84" s="30">
        <v>229133.10010000132</v>
      </c>
      <c r="BG84" s="27">
        <v>229133.10010000132</v>
      </c>
      <c r="BH84" s="27">
        <v>0</v>
      </c>
      <c r="BI84" s="51">
        <v>2044114.7878370993</v>
      </c>
      <c r="BK84" s="30">
        <v>0</v>
      </c>
      <c r="BL84" s="27">
        <v>0</v>
      </c>
      <c r="BM84" s="27">
        <v>0</v>
      </c>
      <c r="BN84" s="51">
        <v>2044114.7878370993</v>
      </c>
      <c r="BP84" s="30">
        <v>2044114.7878370993</v>
      </c>
      <c r="BQ84" s="20">
        <v>80454380.602902487</v>
      </c>
      <c r="BR84" s="51">
        <v>0</v>
      </c>
      <c r="BT84" s="30">
        <v>0</v>
      </c>
      <c r="BU84" s="51">
        <v>304439.93482044648</v>
      </c>
      <c r="BW84" s="221">
        <v>0</v>
      </c>
      <c r="BX84" s="222">
        <v>229133.10010000132</v>
      </c>
    </row>
    <row r="85" spans="6:76" x14ac:dyDescent="0.2">
      <c r="F85" s="151">
        <v>81</v>
      </c>
      <c r="G85" s="30">
        <v>2406651.63</v>
      </c>
      <c r="H85" s="28">
        <v>0</v>
      </c>
      <c r="I85" s="28">
        <v>13585438.272722144</v>
      </c>
      <c r="J85" s="28">
        <v>0</v>
      </c>
      <c r="K85" s="28">
        <v>13585438.272700001</v>
      </c>
      <c r="L85" s="28">
        <v>0</v>
      </c>
      <c r="M85" s="27">
        <v>452594.0766698753</v>
      </c>
      <c r="N85" s="27">
        <v>380633.33333333331</v>
      </c>
      <c r="O85" s="51">
        <v>3239879.0400032084</v>
      </c>
      <c r="P85" s="5"/>
      <c r="Q85" s="30">
        <v>31666.666666666668</v>
      </c>
      <c r="R85" s="27">
        <v>31666.666666666668</v>
      </c>
      <c r="S85" s="27">
        <v>0</v>
      </c>
      <c r="T85" s="51">
        <v>3208212.3733365419</v>
      </c>
      <c r="U85" s="5"/>
      <c r="V85" s="30">
        <v>0</v>
      </c>
      <c r="W85" s="51">
        <v>2827579.0400032084</v>
      </c>
      <c r="Y85" s="30">
        <v>1232998.4230949902</v>
      </c>
      <c r="Z85" s="27">
        <v>1232998.4230949902</v>
      </c>
      <c r="AA85" s="27">
        <v>0</v>
      </c>
      <c r="AB85" s="51">
        <v>1684833.9545347001</v>
      </c>
      <c r="AD85" s="30">
        <v>34491725.54146637</v>
      </c>
      <c r="AE85" s="27">
        <v>132872.22168079135</v>
      </c>
      <c r="AF85" s="27">
        <v>34358853.31978558</v>
      </c>
      <c r="AG85" s="51">
        <v>1551961.7328539088</v>
      </c>
      <c r="AI85" s="30">
        <v>0</v>
      </c>
      <c r="AJ85" s="51">
        <v>2300906.7038455363</v>
      </c>
      <c r="AL85" s="43">
        <v>380000</v>
      </c>
      <c r="AM85" s="52">
        <v>-633.33333333331393</v>
      </c>
      <c r="AN85" s="53">
        <v>380000</v>
      </c>
      <c r="AO85" s="54">
        <v>2301540.0371788698</v>
      </c>
      <c r="AQ85" s="30">
        <v>0</v>
      </c>
      <c r="AR85" s="27">
        <v>0</v>
      </c>
      <c r="AS85" s="27">
        <v>0</v>
      </c>
      <c r="AT85" s="51">
        <v>2301540.0371788698</v>
      </c>
      <c r="AV85" s="30">
        <v>444469.55692678236</v>
      </c>
      <c r="AW85" s="27">
        <v>-8124.5197430929402</v>
      </c>
      <c r="AX85" s="27">
        <v>444469.55692678236</v>
      </c>
      <c r="AY85" s="51">
        <v>2309664.5569219626</v>
      </c>
      <c r="BA85" s="30">
        <v>0</v>
      </c>
      <c r="BB85" s="27">
        <v>0</v>
      </c>
      <c r="BC85" s="27">
        <v>0</v>
      </c>
      <c r="BD85" s="51">
        <v>2309664.5569219626</v>
      </c>
      <c r="BF85" s="30">
        <v>230387.40519999899</v>
      </c>
      <c r="BG85" s="27">
        <v>230387.40519999899</v>
      </c>
      <c r="BH85" s="27">
        <v>0</v>
      </c>
      <c r="BI85" s="51">
        <v>2079277.1517219637</v>
      </c>
      <c r="BK85" s="30">
        <v>0</v>
      </c>
      <c r="BL85" s="27">
        <v>0</v>
      </c>
      <c r="BM85" s="27">
        <v>0</v>
      </c>
      <c r="BN85" s="51">
        <v>2079277.1517219637</v>
      </c>
      <c r="BP85" s="30">
        <v>2079277.1517219637</v>
      </c>
      <c r="BQ85" s="20">
        <v>82533657.754624456</v>
      </c>
      <c r="BR85" s="51">
        <v>0</v>
      </c>
      <c r="BT85" s="30">
        <v>0</v>
      </c>
      <c r="BU85" s="51">
        <v>304465.66468779603</v>
      </c>
      <c r="BW85" s="221">
        <v>0</v>
      </c>
      <c r="BX85" s="222">
        <v>230387.40519999899</v>
      </c>
    </row>
    <row r="86" spans="6:76" x14ac:dyDescent="0.2">
      <c r="F86" s="151">
        <v>82</v>
      </c>
      <c r="G86" s="30">
        <v>3115530.5</v>
      </c>
      <c r="H86" s="28">
        <v>0</v>
      </c>
      <c r="I86" s="28">
        <v>13353789.696139552</v>
      </c>
      <c r="J86" s="28">
        <v>0</v>
      </c>
      <c r="K86" s="28">
        <v>13353789.6961</v>
      </c>
      <c r="L86" s="28">
        <v>0</v>
      </c>
      <c r="M86" s="27">
        <v>445210.33952166035</v>
      </c>
      <c r="N86" s="27">
        <v>380633.33333333331</v>
      </c>
      <c r="O86" s="51">
        <v>3941374.1728549935</v>
      </c>
      <c r="P86" s="5"/>
      <c r="Q86" s="30">
        <v>31666.666666666668</v>
      </c>
      <c r="R86" s="27">
        <v>31666.666666666668</v>
      </c>
      <c r="S86" s="27">
        <v>0</v>
      </c>
      <c r="T86" s="51">
        <v>3909707.506188327</v>
      </c>
      <c r="U86" s="5"/>
      <c r="V86" s="30">
        <v>0</v>
      </c>
      <c r="W86" s="51">
        <v>3529074.1728549935</v>
      </c>
      <c r="Y86" s="30">
        <v>1208893.9384860604</v>
      </c>
      <c r="Z86" s="27">
        <v>1208893.9384860604</v>
      </c>
      <c r="AA86" s="27">
        <v>0</v>
      </c>
      <c r="AB86" s="51">
        <v>2013909.6106901506</v>
      </c>
      <c r="AD86" s="30">
        <v>36138252.224367127</v>
      </c>
      <c r="AE86" s="27">
        <v>132872.22168079135</v>
      </c>
      <c r="AF86" s="27">
        <v>36005380.002686337</v>
      </c>
      <c r="AG86" s="51">
        <v>1881037.3890093593</v>
      </c>
      <c r="AI86" s="30">
        <v>0</v>
      </c>
      <c r="AJ86" s="51">
        <v>3011020.8744625975</v>
      </c>
      <c r="AL86" s="43">
        <v>380000</v>
      </c>
      <c r="AM86" s="52">
        <v>-633.33333333331393</v>
      </c>
      <c r="AN86" s="53">
        <v>380000</v>
      </c>
      <c r="AO86" s="54">
        <v>3011654.207795931</v>
      </c>
      <c r="AQ86" s="30">
        <v>0</v>
      </c>
      <c r="AR86" s="27">
        <v>0</v>
      </c>
      <c r="AS86" s="27">
        <v>0</v>
      </c>
      <c r="AT86" s="51">
        <v>3011654.207795931</v>
      </c>
      <c r="AV86" s="30">
        <v>437057.75322441262</v>
      </c>
      <c r="AW86" s="27">
        <v>-8152.5862972477335</v>
      </c>
      <c r="AX86" s="27">
        <v>437057.75322441262</v>
      </c>
      <c r="AY86" s="51">
        <v>3019806.7940931786</v>
      </c>
      <c r="BA86" s="30">
        <v>0</v>
      </c>
      <c r="BB86" s="27">
        <v>0</v>
      </c>
      <c r="BC86" s="27">
        <v>0</v>
      </c>
      <c r="BD86" s="51">
        <v>3019806.7940931786</v>
      </c>
      <c r="BF86" s="30">
        <v>231648.57660000026</v>
      </c>
      <c r="BG86" s="27">
        <v>231648.57660000026</v>
      </c>
      <c r="BH86" s="27">
        <v>0</v>
      </c>
      <c r="BI86" s="51">
        <v>2788158.2174931783</v>
      </c>
      <c r="BK86" s="30">
        <v>0</v>
      </c>
      <c r="BL86" s="27">
        <v>0</v>
      </c>
      <c r="BM86" s="27">
        <v>0</v>
      </c>
      <c r="BN86" s="51">
        <v>2788158.2174931783</v>
      </c>
      <c r="BP86" s="30">
        <v>2788158.2174931783</v>
      </c>
      <c r="BQ86" s="20">
        <v>85321815.972117633</v>
      </c>
      <c r="BR86" s="51">
        <v>0</v>
      </c>
      <c r="BT86" s="30">
        <v>0</v>
      </c>
      <c r="BU86" s="51">
        <v>304491.53547073569</v>
      </c>
      <c r="BW86" s="221">
        <v>0</v>
      </c>
      <c r="BX86" s="222">
        <v>231648.57660000026</v>
      </c>
    </row>
    <row r="87" spans="6:76" x14ac:dyDescent="0.2">
      <c r="F87" s="151">
        <v>83</v>
      </c>
      <c r="G87" s="30">
        <v>3305574.56</v>
      </c>
      <c r="H87" s="28">
        <v>0</v>
      </c>
      <c r="I87" s="28">
        <v>13120873.044366151</v>
      </c>
      <c r="J87" s="28">
        <v>0</v>
      </c>
      <c r="K87" s="28">
        <v>13120873.044399999</v>
      </c>
      <c r="L87" s="28">
        <v>0</v>
      </c>
      <c r="M87" s="27">
        <v>437786.18281311996</v>
      </c>
      <c r="N87" s="27">
        <v>380633.33333333331</v>
      </c>
      <c r="O87" s="51">
        <v>4123994.0761464532</v>
      </c>
      <c r="P87" s="5"/>
      <c r="Q87" s="30">
        <v>31666.666666666668</v>
      </c>
      <c r="R87" s="27">
        <v>31666.666666666668</v>
      </c>
      <c r="S87" s="27">
        <v>0</v>
      </c>
      <c r="T87" s="51">
        <v>4092327.4094797866</v>
      </c>
      <c r="U87" s="5"/>
      <c r="V87" s="30">
        <v>0</v>
      </c>
      <c r="W87" s="51">
        <v>3711694.0761464532</v>
      </c>
      <c r="Y87" s="30">
        <v>1179678.3748337147</v>
      </c>
      <c r="Z87" s="27">
        <v>1179678.3748337147</v>
      </c>
      <c r="AA87" s="27">
        <v>0</v>
      </c>
      <c r="AB87" s="51">
        <v>1932676.4685828271</v>
      </c>
      <c r="AD87" s="30">
        <v>37831234.444430858</v>
      </c>
      <c r="AE87" s="27">
        <v>132872.22168079135</v>
      </c>
      <c r="AF87" s="27">
        <v>37698362.222750068</v>
      </c>
      <c r="AG87" s="51">
        <v>1799804.2469020358</v>
      </c>
      <c r="AI87" s="30">
        <v>0</v>
      </c>
      <c r="AJ87" s="51">
        <v>3202306.9972800813</v>
      </c>
      <c r="AL87" s="43">
        <v>380000</v>
      </c>
      <c r="AM87" s="52">
        <v>-633.33333333331393</v>
      </c>
      <c r="AN87" s="53">
        <v>380000</v>
      </c>
      <c r="AO87" s="54">
        <v>3202940.3306134148</v>
      </c>
      <c r="AQ87" s="30">
        <v>0</v>
      </c>
      <c r="AR87" s="27">
        <v>0</v>
      </c>
      <c r="AS87" s="27">
        <v>0</v>
      </c>
      <c r="AT87" s="51">
        <v>3202940.3306134148</v>
      </c>
      <c r="AV87" s="30">
        <v>429605.3763195115</v>
      </c>
      <c r="AW87" s="27">
        <v>-8180.8064936084556</v>
      </c>
      <c r="AX87" s="27">
        <v>429605.3763195115</v>
      </c>
      <c r="AY87" s="51">
        <v>3211121.137107023</v>
      </c>
      <c r="BA87" s="30">
        <v>0</v>
      </c>
      <c r="BB87" s="27">
        <v>0</v>
      </c>
      <c r="BC87" s="27">
        <v>0</v>
      </c>
      <c r="BD87" s="51">
        <v>3211121.137107023</v>
      </c>
      <c r="BF87" s="30">
        <v>232916.65170000121</v>
      </c>
      <c r="BG87" s="27">
        <v>232916.65170000121</v>
      </c>
      <c r="BH87" s="27">
        <v>0</v>
      </c>
      <c r="BI87" s="51">
        <v>2978204.4854070218</v>
      </c>
      <c r="BK87" s="30">
        <v>0</v>
      </c>
      <c r="BL87" s="27">
        <v>0</v>
      </c>
      <c r="BM87" s="27">
        <v>0</v>
      </c>
      <c r="BN87" s="51">
        <v>2978204.4854070218</v>
      </c>
      <c r="BP87" s="30">
        <v>2978204.4854070218</v>
      </c>
      <c r="BQ87" s="20">
        <v>88300020.457524657</v>
      </c>
      <c r="BR87" s="51">
        <v>0</v>
      </c>
      <c r="BT87" s="30">
        <v>0</v>
      </c>
      <c r="BU87" s="51">
        <v>304517.54775325314</v>
      </c>
      <c r="BW87" s="221">
        <v>0</v>
      </c>
      <c r="BX87" s="222">
        <v>232916.65170000121</v>
      </c>
    </row>
    <row r="88" spans="6:76" x14ac:dyDescent="0.2">
      <c r="F88" s="151">
        <v>84</v>
      </c>
      <c r="G88" s="30">
        <v>3585001.01</v>
      </c>
      <c r="H88" s="28">
        <v>0</v>
      </c>
      <c r="I88" s="28">
        <v>12886681.375789287</v>
      </c>
      <c r="J88" s="28">
        <v>0</v>
      </c>
      <c r="K88" s="28">
        <v>12886681.375800001</v>
      </c>
      <c r="L88" s="28">
        <v>0</v>
      </c>
      <c r="M88" s="27">
        <v>430321.38528004399</v>
      </c>
      <c r="N88" s="27">
        <v>380633.33333333331</v>
      </c>
      <c r="O88" s="51">
        <v>4395955.7286133766</v>
      </c>
      <c r="P88" s="5"/>
      <c r="Q88" s="30">
        <v>31666.666666666668</v>
      </c>
      <c r="R88" s="27">
        <v>31666.666666666668</v>
      </c>
      <c r="S88" s="27">
        <v>0</v>
      </c>
      <c r="T88" s="51">
        <v>4364289.0619467096</v>
      </c>
      <c r="U88" s="5"/>
      <c r="V88" s="30">
        <v>0</v>
      </c>
      <c r="W88" s="51">
        <v>3983655.7286133762</v>
      </c>
      <c r="Y88" s="30">
        <v>1151724.4937230258</v>
      </c>
      <c r="Z88" s="27">
        <v>1151724.4937230258</v>
      </c>
      <c r="AA88" s="27">
        <v>0</v>
      </c>
      <c r="AB88" s="51">
        <v>1574456.1122222419</v>
      </c>
      <c r="AD88" s="30">
        <v>39571982.91040922</v>
      </c>
      <c r="AE88" s="27">
        <v>132872.22168079135</v>
      </c>
      <c r="AF88" s="27">
        <v>39439110.688728429</v>
      </c>
      <c r="AG88" s="51">
        <v>1441583.8905414506</v>
      </c>
      <c r="AI88" s="30">
        <v>0</v>
      </c>
      <c r="AJ88" s="51">
        <v>3482982.3093145271</v>
      </c>
      <c r="AL88" s="43">
        <v>380000</v>
      </c>
      <c r="AM88" s="52">
        <v>-633.33333333331393</v>
      </c>
      <c r="AN88" s="53">
        <v>380000</v>
      </c>
      <c r="AO88" s="54">
        <v>3483615.6426478606</v>
      </c>
      <c r="AQ88" s="30">
        <v>0</v>
      </c>
      <c r="AR88" s="27">
        <v>0</v>
      </c>
      <c r="AS88" s="27">
        <v>0</v>
      </c>
      <c r="AT88" s="51">
        <v>3483615.6426478606</v>
      </c>
      <c r="AV88" s="30">
        <v>422112.20411283197</v>
      </c>
      <c r="AW88" s="27">
        <v>-8209.1811672120239</v>
      </c>
      <c r="AX88" s="27">
        <v>422112.20411283197</v>
      </c>
      <c r="AY88" s="51">
        <v>3491824.8238150724</v>
      </c>
      <c r="BA88" s="30">
        <v>0</v>
      </c>
      <c r="BB88" s="27">
        <v>0</v>
      </c>
      <c r="BC88" s="27">
        <v>0</v>
      </c>
      <c r="BD88" s="51">
        <v>3491824.8238150724</v>
      </c>
      <c r="BF88" s="30">
        <v>234191.66859999858</v>
      </c>
      <c r="BG88" s="27">
        <v>234191.66859999858</v>
      </c>
      <c r="BH88" s="27">
        <v>0</v>
      </c>
      <c r="BI88" s="51">
        <v>3257633.1552150738</v>
      </c>
      <c r="BK88" s="30">
        <v>0</v>
      </c>
      <c r="BL88" s="27">
        <v>0</v>
      </c>
      <c r="BM88" s="27">
        <v>0</v>
      </c>
      <c r="BN88" s="51">
        <v>3257633.1552150738</v>
      </c>
      <c r="BP88" s="30">
        <v>3257633.1552150738</v>
      </c>
      <c r="BQ88" s="20">
        <v>91557653.612739727</v>
      </c>
      <c r="BR88" s="51">
        <v>0</v>
      </c>
      <c r="BT88" s="30">
        <v>0</v>
      </c>
      <c r="BU88" s="51">
        <v>304543.70261880389</v>
      </c>
      <c r="BW88" s="221">
        <v>0</v>
      </c>
      <c r="BX88" s="222">
        <v>234191.66859999858</v>
      </c>
    </row>
    <row r="89" spans="6:76" x14ac:dyDescent="0.2">
      <c r="F89" s="151">
        <v>85</v>
      </c>
      <c r="G89" s="30">
        <v>3407173.28</v>
      </c>
      <c r="H89" s="28">
        <v>0</v>
      </c>
      <c r="I89" s="28">
        <v>12651207.710796999</v>
      </c>
      <c r="J89" s="28">
        <v>0</v>
      </c>
      <c r="K89" s="28">
        <v>12651207.7108</v>
      </c>
      <c r="L89" s="28">
        <v>0</v>
      </c>
      <c r="M89" s="27">
        <v>422815.72445302003</v>
      </c>
      <c r="N89" s="27">
        <v>380633.33333333331</v>
      </c>
      <c r="O89" s="51">
        <v>4210622.3377863532</v>
      </c>
      <c r="P89" s="5"/>
      <c r="Q89" s="30">
        <v>31666.666666666668</v>
      </c>
      <c r="R89" s="27">
        <v>31666.666666666668</v>
      </c>
      <c r="S89" s="27">
        <v>0</v>
      </c>
      <c r="T89" s="51">
        <v>4178955.6711196867</v>
      </c>
      <c r="U89" s="5"/>
      <c r="V89" s="30">
        <v>0</v>
      </c>
      <c r="W89" s="51">
        <v>3798322.3377863532</v>
      </c>
      <c r="Y89" s="30">
        <v>1129334.356152985</v>
      </c>
      <c r="Z89" s="27">
        <v>1129334.356152985</v>
      </c>
      <c r="AA89" s="27">
        <v>0</v>
      </c>
      <c r="AB89" s="51">
        <v>2017720.8704693534</v>
      </c>
      <c r="AD89" s="30">
        <v>41361845.311735526</v>
      </c>
      <c r="AE89" s="27">
        <v>132872.22168079135</v>
      </c>
      <c r="AF89" s="27">
        <v>41228973.090054736</v>
      </c>
      <c r="AG89" s="51">
        <v>1884848.648788562</v>
      </c>
      <c r="AI89" s="30">
        <v>0</v>
      </c>
      <c r="AJ89" s="51">
        <v>3306410.2777867648</v>
      </c>
      <c r="AL89" s="43">
        <v>380000</v>
      </c>
      <c r="AM89" s="52">
        <v>-633.33333333331393</v>
      </c>
      <c r="AN89" s="53">
        <v>380000</v>
      </c>
      <c r="AO89" s="54">
        <v>3307043.6111200983</v>
      </c>
      <c r="AQ89" s="30">
        <v>0</v>
      </c>
      <c r="AR89" s="27">
        <v>0</v>
      </c>
      <c r="AS89" s="27">
        <v>0</v>
      </c>
      <c r="AT89" s="51">
        <v>3307043.6111200983</v>
      </c>
      <c r="AV89" s="30">
        <v>414578.01327941037</v>
      </c>
      <c r="AW89" s="27">
        <v>-8237.7111736096558</v>
      </c>
      <c r="AX89" s="27">
        <v>414578.01327941037</v>
      </c>
      <c r="AY89" s="51">
        <v>3315281.3222937081</v>
      </c>
      <c r="BA89" s="30">
        <v>0</v>
      </c>
      <c r="BB89" s="27">
        <v>0</v>
      </c>
      <c r="BC89" s="27">
        <v>0</v>
      </c>
      <c r="BD89" s="51">
        <v>3315281.3222937081</v>
      </c>
      <c r="BF89" s="30">
        <v>235473.66500000097</v>
      </c>
      <c r="BG89" s="27">
        <v>235473.66500000097</v>
      </c>
      <c r="BH89" s="27">
        <v>0</v>
      </c>
      <c r="BI89" s="51">
        <v>3079807.6572937071</v>
      </c>
      <c r="BK89" s="30">
        <v>0</v>
      </c>
      <c r="BL89" s="27">
        <v>0</v>
      </c>
      <c r="BM89" s="27">
        <v>0</v>
      </c>
      <c r="BN89" s="51">
        <v>3079807.6572937071</v>
      </c>
      <c r="BP89" s="30">
        <v>3079807.6572937071</v>
      </c>
      <c r="BQ89" s="20">
        <v>94637461.270033434</v>
      </c>
      <c r="BR89" s="51">
        <v>0</v>
      </c>
      <c r="BT89" s="30">
        <v>0</v>
      </c>
      <c r="BU89" s="51">
        <v>304570.00054656935</v>
      </c>
      <c r="BW89" s="221">
        <v>0</v>
      </c>
      <c r="BX89" s="222">
        <v>235473.66500000097</v>
      </c>
    </row>
    <row r="90" spans="6:76" x14ac:dyDescent="0.2">
      <c r="F90" s="151">
        <v>86</v>
      </c>
      <c r="G90" s="30">
        <v>2515142.48</v>
      </c>
      <c r="H90" s="28">
        <v>0</v>
      </c>
      <c r="I90" s="28">
        <v>12414445.031569999</v>
      </c>
      <c r="J90" s="28">
        <v>0</v>
      </c>
      <c r="K90" s="28">
        <v>12414445.0316</v>
      </c>
      <c r="L90" s="28">
        <v>0</v>
      </c>
      <c r="M90" s="27">
        <v>415268.97663487605</v>
      </c>
      <c r="N90" s="27">
        <v>380633.33333333331</v>
      </c>
      <c r="O90" s="51">
        <v>3311044.7899682093</v>
      </c>
      <c r="P90" s="5"/>
      <c r="Q90" s="30">
        <v>31666.666666666668</v>
      </c>
      <c r="R90" s="27">
        <v>31666.666666666668</v>
      </c>
      <c r="S90" s="27">
        <v>0</v>
      </c>
      <c r="T90" s="51">
        <v>3279378.1233015428</v>
      </c>
      <c r="U90" s="5"/>
      <c r="V90" s="30">
        <v>0</v>
      </c>
      <c r="W90" s="51">
        <v>2898744.7899682093</v>
      </c>
      <c r="Y90" s="30">
        <v>1100059.5974504373</v>
      </c>
      <c r="Z90" s="27">
        <v>1100059.5974504373</v>
      </c>
      <c r="AA90" s="27">
        <v>0</v>
      </c>
      <c r="AB90" s="51">
        <v>2123235.4215565799</v>
      </c>
      <c r="AD90" s="30">
        <v>43202207.361907445</v>
      </c>
      <c r="AE90" s="27">
        <v>132872.22168079135</v>
      </c>
      <c r="AF90" s="27">
        <v>43069335.140226655</v>
      </c>
      <c r="AG90" s="51">
        <v>1990363.1998757885</v>
      </c>
      <c r="AI90" s="30">
        <v>0</v>
      </c>
      <c r="AJ90" s="51">
        <v>2415642.0501197609</v>
      </c>
      <c r="AL90" s="43">
        <v>380000</v>
      </c>
      <c r="AM90" s="52">
        <v>-633.33333333331393</v>
      </c>
      <c r="AN90" s="53">
        <v>380000</v>
      </c>
      <c r="AO90" s="54">
        <v>2416275.3834530944</v>
      </c>
      <c r="AQ90" s="30">
        <v>0</v>
      </c>
      <c r="AR90" s="27">
        <v>0</v>
      </c>
      <c r="AS90" s="27">
        <v>0</v>
      </c>
      <c r="AT90" s="51">
        <v>2416275.3834530944</v>
      </c>
      <c r="AV90" s="30">
        <v>407002.57928143418</v>
      </c>
      <c r="AW90" s="27">
        <v>-8266.3973534418619</v>
      </c>
      <c r="AX90" s="27">
        <v>407002.57928143418</v>
      </c>
      <c r="AY90" s="51">
        <v>2424541.7808065363</v>
      </c>
      <c r="BA90" s="30">
        <v>0</v>
      </c>
      <c r="BB90" s="27">
        <v>0</v>
      </c>
      <c r="BC90" s="27">
        <v>0</v>
      </c>
      <c r="BD90" s="51">
        <v>2424541.7808065363</v>
      </c>
      <c r="BF90" s="30">
        <v>236762.6791999992</v>
      </c>
      <c r="BG90" s="27">
        <v>236762.6791999992</v>
      </c>
      <c r="BH90" s="27">
        <v>0</v>
      </c>
      <c r="BI90" s="51">
        <v>2187779.1016065371</v>
      </c>
      <c r="BK90" s="30">
        <v>0</v>
      </c>
      <c r="BL90" s="27">
        <v>0</v>
      </c>
      <c r="BM90" s="27">
        <v>0</v>
      </c>
      <c r="BN90" s="51">
        <v>2187779.1016065371</v>
      </c>
      <c r="BP90" s="30">
        <v>2187779.1016065371</v>
      </c>
      <c r="BQ90" s="20">
        <v>96825240.371639967</v>
      </c>
      <c r="BR90" s="51">
        <v>0</v>
      </c>
      <c r="BT90" s="30">
        <v>0</v>
      </c>
      <c r="BU90" s="51">
        <v>304596.44241357158</v>
      </c>
      <c r="BW90" s="221">
        <v>0</v>
      </c>
      <c r="BX90" s="222">
        <v>236762.6791999992</v>
      </c>
    </row>
    <row r="91" spans="6:76" x14ac:dyDescent="0.2">
      <c r="F91" s="151">
        <v>87</v>
      </c>
      <c r="G91" s="30">
        <v>3431480.88</v>
      </c>
      <c r="H91" s="28">
        <v>0</v>
      </c>
      <c r="I91" s="28">
        <v>12176386.281872511</v>
      </c>
      <c r="J91" s="28">
        <v>0</v>
      </c>
      <c r="K91" s="28">
        <v>12176386.2819</v>
      </c>
      <c r="L91" s="28">
        <v>0</v>
      </c>
      <c r="M91" s="27">
        <v>407680.9169135699</v>
      </c>
      <c r="N91" s="27">
        <v>380633.33333333331</v>
      </c>
      <c r="O91" s="51">
        <v>4219795.1302469028</v>
      </c>
      <c r="P91" s="5"/>
      <c r="Q91" s="30">
        <v>31666.666666666668</v>
      </c>
      <c r="R91" s="27">
        <v>31666.666666666668</v>
      </c>
      <c r="S91" s="27">
        <v>0</v>
      </c>
      <c r="T91" s="51">
        <v>4188128.4635802363</v>
      </c>
      <c r="U91" s="5"/>
      <c r="V91" s="30">
        <v>0</v>
      </c>
      <c r="W91" s="51">
        <v>3807495.1302469028</v>
      </c>
      <c r="Y91" s="30">
        <v>1069146.0265150496</v>
      </c>
      <c r="Z91" s="27">
        <v>1069146.0265150496</v>
      </c>
      <c r="AA91" s="27">
        <v>0</v>
      </c>
      <c r="AB91" s="51">
        <v>1986552.1505649483</v>
      </c>
      <c r="AD91" s="30">
        <v>45094493.871307977</v>
      </c>
      <c r="AE91" s="27">
        <v>132872.22168079135</v>
      </c>
      <c r="AF91" s="27">
        <v>44961621.649627186</v>
      </c>
      <c r="AG91" s="51">
        <v>1853679.928884157</v>
      </c>
      <c r="AI91" s="30">
        <v>0</v>
      </c>
      <c r="AJ91" s="51">
        <v>3333249.933941843</v>
      </c>
      <c r="AL91" s="43">
        <v>380000</v>
      </c>
      <c r="AM91" s="52">
        <v>-633.33333333331393</v>
      </c>
      <c r="AN91" s="53">
        <v>380000</v>
      </c>
      <c r="AO91" s="54">
        <v>3333883.2672751765</v>
      </c>
      <c r="AQ91" s="30">
        <v>0</v>
      </c>
      <c r="AR91" s="27">
        <v>0</v>
      </c>
      <c r="AS91" s="27">
        <v>0</v>
      </c>
      <c r="AT91" s="51">
        <v>3333883.2672751765</v>
      </c>
      <c r="AV91" s="30">
        <v>399385.67634894024</v>
      </c>
      <c r="AW91" s="27">
        <v>-8295.2405646296684</v>
      </c>
      <c r="AX91" s="27">
        <v>399385.67634894024</v>
      </c>
      <c r="AY91" s="51">
        <v>3342178.5078398064</v>
      </c>
      <c r="BA91" s="30">
        <v>0</v>
      </c>
      <c r="BB91" s="27">
        <v>0</v>
      </c>
      <c r="BC91" s="27">
        <v>0</v>
      </c>
      <c r="BD91" s="51">
        <v>3342178.5078398064</v>
      </c>
      <c r="BF91" s="30">
        <v>238058.74970000051</v>
      </c>
      <c r="BG91" s="27">
        <v>238058.74970000051</v>
      </c>
      <c r="BH91" s="27">
        <v>0</v>
      </c>
      <c r="BI91" s="51">
        <v>3104119.7581398059</v>
      </c>
      <c r="BK91" s="30">
        <v>0</v>
      </c>
      <c r="BL91" s="27">
        <v>0</v>
      </c>
      <c r="BM91" s="27">
        <v>0</v>
      </c>
      <c r="BN91" s="51">
        <v>3104119.7581398059</v>
      </c>
      <c r="BP91" s="30">
        <v>3104119.7581398059</v>
      </c>
      <c r="BQ91" s="20">
        <v>99929360.129779771</v>
      </c>
      <c r="BR91" s="51">
        <v>0</v>
      </c>
      <c r="BT91" s="30">
        <v>0</v>
      </c>
      <c r="BU91" s="51">
        <v>304623.02909149055</v>
      </c>
      <c r="BW91" s="221">
        <v>0</v>
      </c>
      <c r="BX91" s="222">
        <v>238058.74970000051</v>
      </c>
    </row>
    <row r="92" spans="6:76" x14ac:dyDescent="0.2">
      <c r="F92" s="151">
        <v>88</v>
      </c>
      <c r="G92" s="30">
        <v>2263423.91</v>
      </c>
      <c r="H92" s="28">
        <v>0</v>
      </c>
      <c r="I92" s="28">
        <v>11937024.366841998</v>
      </c>
      <c r="J92" s="28">
        <v>0</v>
      </c>
      <c r="K92" s="28">
        <v>11937024.366800001</v>
      </c>
      <c r="L92" s="28">
        <v>0</v>
      </c>
      <c r="M92" s="27">
        <v>400051.31914285512</v>
      </c>
      <c r="N92" s="27">
        <v>380633.33333333331</v>
      </c>
      <c r="O92" s="51">
        <v>3044108.5624761884</v>
      </c>
      <c r="P92" s="5"/>
      <c r="Q92" s="30">
        <v>31666.666666666668</v>
      </c>
      <c r="R92" s="27">
        <v>31666.666666666668</v>
      </c>
      <c r="S92" s="27">
        <v>0</v>
      </c>
      <c r="T92" s="51">
        <v>3012441.8958095219</v>
      </c>
      <c r="U92" s="5"/>
      <c r="V92" s="30">
        <v>0</v>
      </c>
      <c r="W92" s="51">
        <v>2631808.5624761884</v>
      </c>
      <c r="Y92" s="30">
        <v>1040355.3686207311</v>
      </c>
      <c r="Z92" s="27">
        <v>1040355.3686207311</v>
      </c>
      <c r="AA92" s="27">
        <v>0</v>
      </c>
      <c r="AB92" s="51">
        <v>1233470.6705113957</v>
      </c>
      <c r="AD92" s="30">
        <v>47040169.850295231</v>
      </c>
      <c r="AE92" s="27">
        <v>132872.22168079135</v>
      </c>
      <c r="AF92" s="27">
        <v>46907297.628614441</v>
      </c>
      <c r="AG92" s="51">
        <v>1100598.4488306043</v>
      </c>
      <c r="AI92" s="30">
        <v>0</v>
      </c>
      <c r="AJ92" s="51">
        <v>2166469.39708777</v>
      </c>
      <c r="AL92" s="43">
        <v>380000</v>
      </c>
      <c r="AM92" s="52">
        <v>-633.33333333331393</v>
      </c>
      <c r="AN92" s="53">
        <v>380000</v>
      </c>
      <c r="AO92" s="54">
        <v>2167102.7304211035</v>
      </c>
      <c r="AQ92" s="30">
        <v>0</v>
      </c>
      <c r="AR92" s="27">
        <v>0</v>
      </c>
      <c r="AS92" s="27">
        <v>0</v>
      </c>
      <c r="AT92" s="51">
        <v>2167102.7304211035</v>
      </c>
      <c r="AV92" s="30">
        <v>391727.07747337985</v>
      </c>
      <c r="AW92" s="27">
        <v>-8324.2416694752756</v>
      </c>
      <c r="AX92" s="27">
        <v>391727.07747337985</v>
      </c>
      <c r="AY92" s="51">
        <v>2175426.9720905786</v>
      </c>
      <c r="BA92" s="30">
        <v>0</v>
      </c>
      <c r="BB92" s="27">
        <v>0</v>
      </c>
      <c r="BC92" s="27">
        <v>0</v>
      </c>
      <c r="BD92" s="51">
        <v>2175426.9720905786</v>
      </c>
      <c r="BF92" s="30">
        <v>239361.91509999894</v>
      </c>
      <c r="BG92" s="27">
        <v>239361.91509999894</v>
      </c>
      <c r="BH92" s="27">
        <v>0</v>
      </c>
      <c r="BI92" s="51">
        <v>1936065.0569905797</v>
      </c>
      <c r="BK92" s="30">
        <v>0</v>
      </c>
      <c r="BL92" s="27">
        <v>0</v>
      </c>
      <c r="BM92" s="27">
        <v>0</v>
      </c>
      <c r="BN92" s="51">
        <v>1936065.0569905797</v>
      </c>
      <c r="BP92" s="30">
        <v>1936065.0569905797</v>
      </c>
      <c r="BQ92" s="20">
        <v>101865425.18677035</v>
      </c>
      <c r="BR92" s="51">
        <v>0</v>
      </c>
      <c r="BT92" s="30">
        <v>0</v>
      </c>
      <c r="BU92" s="51">
        <v>304649.76134556223</v>
      </c>
      <c r="BW92" s="221">
        <v>0</v>
      </c>
      <c r="BX92" s="222">
        <v>239361.91509999894</v>
      </c>
    </row>
    <row r="93" spans="6:76" x14ac:dyDescent="0.2">
      <c r="F93" s="151">
        <v>89</v>
      </c>
      <c r="G93" s="30">
        <v>2014356.25</v>
      </c>
      <c r="H93" s="28">
        <v>0</v>
      </c>
      <c r="I93" s="28">
        <v>11696352.152777694</v>
      </c>
      <c r="J93" s="28">
        <v>0</v>
      </c>
      <c r="K93" s="28">
        <v>11696352.152799999</v>
      </c>
      <c r="L93" s="28">
        <v>0</v>
      </c>
      <c r="M93" s="27">
        <v>392379.95593583549</v>
      </c>
      <c r="N93" s="27">
        <v>380633.33333333331</v>
      </c>
      <c r="O93" s="51">
        <v>2787369.5392691689</v>
      </c>
      <c r="P93" s="5"/>
      <c r="Q93" s="30">
        <v>31666.666666666668</v>
      </c>
      <c r="R93" s="27">
        <v>31666.666666666668</v>
      </c>
      <c r="S93" s="27">
        <v>0</v>
      </c>
      <c r="T93" s="51">
        <v>2755702.8726025023</v>
      </c>
      <c r="U93" s="5"/>
      <c r="V93" s="30">
        <v>0</v>
      </c>
      <c r="W93" s="51">
        <v>2375069.5392691689</v>
      </c>
      <c r="Y93" s="30">
        <v>1023261.2883938529</v>
      </c>
      <c r="Z93" s="27">
        <v>1023261.2883938529</v>
      </c>
      <c r="AA93" s="27">
        <v>0</v>
      </c>
      <c r="AB93" s="51">
        <v>1697511.8019141615</v>
      </c>
      <c r="AD93" s="30">
        <v>49040741.643415123</v>
      </c>
      <c r="AE93" s="27">
        <v>132872.22168079135</v>
      </c>
      <c r="AF93" s="27">
        <v>48907869.421734333</v>
      </c>
      <c r="AG93" s="51">
        <v>1564639.5802333702</v>
      </c>
      <c r="AI93" s="30">
        <v>0</v>
      </c>
      <c r="AJ93" s="51">
        <v>1918685.1575992666</v>
      </c>
      <c r="AL93" s="43">
        <v>380000</v>
      </c>
      <c r="AM93" s="52">
        <v>-633.33333333331393</v>
      </c>
      <c r="AN93" s="53">
        <v>380000</v>
      </c>
      <c r="AO93" s="54">
        <v>1919318.4909325999</v>
      </c>
      <c r="AQ93" s="30">
        <v>0</v>
      </c>
      <c r="AR93" s="27">
        <v>0</v>
      </c>
      <c r="AS93" s="27">
        <v>0</v>
      </c>
      <c r="AT93" s="51">
        <v>1919318.4909325999</v>
      </c>
      <c r="AV93" s="30">
        <v>384026.55440440221</v>
      </c>
      <c r="AW93" s="27">
        <v>-8353.4015314332792</v>
      </c>
      <c r="AX93" s="27">
        <v>384026.55440440221</v>
      </c>
      <c r="AY93" s="51">
        <v>1927671.8924640331</v>
      </c>
      <c r="BA93" s="30">
        <v>0</v>
      </c>
      <c r="BB93" s="27">
        <v>0</v>
      </c>
      <c r="BC93" s="27">
        <v>0</v>
      </c>
      <c r="BD93" s="51">
        <v>1927671.8924640331</v>
      </c>
      <c r="BF93" s="30">
        <v>240672.21400000155</v>
      </c>
      <c r="BG93" s="27">
        <v>240672.21400000155</v>
      </c>
      <c r="BH93" s="27">
        <v>0</v>
      </c>
      <c r="BI93" s="51">
        <v>1686999.6784640315</v>
      </c>
      <c r="BK93" s="30">
        <v>0</v>
      </c>
      <c r="BL93" s="27">
        <v>0</v>
      </c>
      <c r="BM93" s="27">
        <v>0</v>
      </c>
      <c r="BN93" s="51">
        <v>1686999.6784640315</v>
      </c>
      <c r="BP93" s="30">
        <v>1686999.6784640315</v>
      </c>
      <c r="BQ93" s="20">
        <v>103552424.86523438</v>
      </c>
      <c r="BR93" s="51">
        <v>0</v>
      </c>
      <c r="BT93" s="30">
        <v>0</v>
      </c>
      <c r="BU93" s="51">
        <v>304676.63973406859</v>
      </c>
      <c r="BW93" s="221">
        <v>0</v>
      </c>
      <c r="BX93" s="222">
        <v>240672.21400000155</v>
      </c>
    </row>
    <row r="94" spans="6:76" x14ac:dyDescent="0.2">
      <c r="F94" s="151">
        <v>90</v>
      </c>
      <c r="G94" s="30">
        <v>2105824.2799999998</v>
      </c>
      <c r="H94" s="28">
        <v>0</v>
      </c>
      <c r="I94" s="28">
        <v>11454362.466928007</v>
      </c>
      <c r="J94" s="28">
        <v>0</v>
      </c>
      <c r="K94" s="28">
        <v>11454362.4669</v>
      </c>
      <c r="L94" s="28">
        <v>0</v>
      </c>
      <c r="M94" s="27">
        <v>384666.59866174287</v>
      </c>
      <c r="N94" s="27">
        <v>380633.33333333331</v>
      </c>
      <c r="O94" s="51">
        <v>2871124.2119950759</v>
      </c>
      <c r="P94" s="5"/>
      <c r="Q94" s="30">
        <v>31666.666666666668</v>
      </c>
      <c r="R94" s="27">
        <v>31666.666666666668</v>
      </c>
      <c r="S94" s="27">
        <v>0</v>
      </c>
      <c r="T94" s="51">
        <v>2839457.5453284094</v>
      </c>
      <c r="U94" s="5"/>
      <c r="V94" s="30">
        <v>0</v>
      </c>
      <c r="W94" s="51">
        <v>2458824.2119950759</v>
      </c>
      <c r="Y94" s="30">
        <v>998959.89623845229</v>
      </c>
      <c r="Z94" s="27">
        <v>998959.89623845229</v>
      </c>
      <c r="AA94" s="27">
        <v>0</v>
      </c>
      <c r="AB94" s="51">
        <v>1952970.7164960862</v>
      </c>
      <c r="AD94" s="30">
        <v>51097758.095615037</v>
      </c>
      <c r="AE94" s="27">
        <v>132872.22168079135</v>
      </c>
      <c r="AF94" s="27">
        <v>50964885.873934247</v>
      </c>
      <c r="AG94" s="51">
        <v>1820098.4948152949</v>
      </c>
      <c r="AI94" s="30">
        <v>0</v>
      </c>
      <c r="AJ94" s="51">
        <v>2011443.6337250241</v>
      </c>
      <c r="AL94" s="43">
        <v>380000</v>
      </c>
      <c r="AM94" s="52">
        <v>-633.33333333331393</v>
      </c>
      <c r="AN94" s="53">
        <v>380000</v>
      </c>
      <c r="AO94" s="54">
        <v>2012076.9670583573</v>
      </c>
      <c r="AQ94" s="30">
        <v>0</v>
      </c>
      <c r="AR94" s="27">
        <v>0</v>
      </c>
      <c r="AS94" s="27">
        <v>0</v>
      </c>
      <c r="AT94" s="51">
        <v>2012076.9670583573</v>
      </c>
      <c r="AV94" s="30">
        <v>376283.87764985388</v>
      </c>
      <c r="AW94" s="27">
        <v>-8382.7210118889925</v>
      </c>
      <c r="AX94" s="27">
        <v>376283.87764985388</v>
      </c>
      <c r="AY94" s="51">
        <v>2020459.6880702463</v>
      </c>
      <c r="BA94" s="30">
        <v>0</v>
      </c>
      <c r="BB94" s="27">
        <v>0</v>
      </c>
      <c r="BC94" s="27">
        <v>0</v>
      </c>
      <c r="BD94" s="51">
        <v>2020459.6880702463</v>
      </c>
      <c r="BF94" s="30">
        <v>241989.68589999899</v>
      </c>
      <c r="BG94" s="27">
        <v>241989.68589999899</v>
      </c>
      <c r="BH94" s="27">
        <v>0</v>
      </c>
      <c r="BI94" s="51">
        <v>1778470.0021702473</v>
      </c>
      <c r="BK94" s="30">
        <v>0</v>
      </c>
      <c r="BL94" s="27">
        <v>0</v>
      </c>
      <c r="BM94" s="27">
        <v>0</v>
      </c>
      <c r="BN94" s="51">
        <v>1778470.0021702473</v>
      </c>
      <c r="BP94" s="30">
        <v>1778470.0021702473</v>
      </c>
      <c r="BQ94" s="20">
        <v>105330894.86740462</v>
      </c>
      <c r="BR94" s="51">
        <v>0</v>
      </c>
      <c r="BT94" s="30">
        <v>0</v>
      </c>
      <c r="BU94" s="51">
        <v>304703.66550830798</v>
      </c>
      <c r="BW94" s="221">
        <v>0</v>
      </c>
      <c r="BX94" s="222">
        <v>241989.68589999899</v>
      </c>
    </row>
    <row r="95" spans="6:76" x14ac:dyDescent="0.2">
      <c r="F95" s="151">
        <v>91</v>
      </c>
      <c r="G95" s="30">
        <v>2576786.42</v>
      </c>
      <c r="H95" s="28">
        <v>0</v>
      </c>
      <c r="I95" s="28">
        <v>11211048.09727673</v>
      </c>
      <c r="J95" s="28">
        <v>0</v>
      </c>
      <c r="K95" s="28">
        <v>11211048.0973</v>
      </c>
      <c r="L95" s="28">
        <v>0</v>
      </c>
      <c r="M95" s="27">
        <v>376911.01744593697</v>
      </c>
      <c r="N95" s="27">
        <v>380633.33333333331</v>
      </c>
      <c r="O95" s="51">
        <v>3334330.7707792702</v>
      </c>
      <c r="P95" s="5"/>
      <c r="Q95" s="30">
        <v>31666.666666666668</v>
      </c>
      <c r="R95" s="27">
        <v>31666.666666666668</v>
      </c>
      <c r="S95" s="27">
        <v>0</v>
      </c>
      <c r="T95" s="51">
        <v>3302664.1041126037</v>
      </c>
      <c r="U95" s="5"/>
      <c r="V95" s="30">
        <v>0</v>
      </c>
      <c r="W95" s="51">
        <v>2922030.7707792702</v>
      </c>
      <c r="Y95" s="30">
        <v>970690.81251927151</v>
      </c>
      <c r="Z95" s="27">
        <v>970690.81251927151</v>
      </c>
      <c r="AA95" s="27">
        <v>0</v>
      </c>
      <c r="AB95" s="51">
        <v>2011551.7367093833</v>
      </c>
      <c r="AD95" s="30">
        <v>53212811.75136131</v>
      </c>
      <c r="AE95" s="27">
        <v>132872.22168079135</v>
      </c>
      <c r="AF95" s="27">
        <v>53079939.52968052</v>
      </c>
      <c r="AG95" s="51">
        <v>1878679.515028592</v>
      </c>
      <c r="AI95" s="30">
        <v>0</v>
      </c>
      <c r="AJ95" s="51">
        <v>2483703.2839255291</v>
      </c>
      <c r="AL95" s="43">
        <v>380000</v>
      </c>
      <c r="AM95" s="52">
        <v>-633.33333333331393</v>
      </c>
      <c r="AN95" s="53">
        <v>380000</v>
      </c>
      <c r="AO95" s="54">
        <v>2484336.6172588626</v>
      </c>
      <c r="AQ95" s="30">
        <v>0</v>
      </c>
      <c r="AR95" s="27">
        <v>0</v>
      </c>
      <c r="AS95" s="27">
        <v>0</v>
      </c>
      <c r="AT95" s="51">
        <v>2484336.6172588626</v>
      </c>
      <c r="AV95" s="30">
        <v>368498.8164468254</v>
      </c>
      <c r="AW95" s="27">
        <v>-8412.2009991115774</v>
      </c>
      <c r="AX95" s="27">
        <v>368498.8164468254</v>
      </c>
      <c r="AY95" s="51">
        <v>2492748.818257974</v>
      </c>
      <c r="BA95" s="30">
        <v>0</v>
      </c>
      <c r="BB95" s="27">
        <v>0</v>
      </c>
      <c r="BC95" s="27">
        <v>0</v>
      </c>
      <c r="BD95" s="51">
        <v>2492748.818257974</v>
      </c>
      <c r="BF95" s="30">
        <v>243314.36959999986</v>
      </c>
      <c r="BG95" s="27">
        <v>243314.36959999986</v>
      </c>
      <c r="BH95" s="27">
        <v>0</v>
      </c>
      <c r="BI95" s="51">
        <v>2249434.4486579741</v>
      </c>
      <c r="BK95" s="30">
        <v>0</v>
      </c>
      <c r="BL95" s="27">
        <v>0</v>
      </c>
      <c r="BM95" s="27">
        <v>0</v>
      </c>
      <c r="BN95" s="51">
        <v>2249434.4486579741</v>
      </c>
      <c r="BP95" s="30">
        <v>2249434.4486579741</v>
      </c>
      <c r="BQ95" s="20">
        <v>107580329.3160626</v>
      </c>
      <c r="BR95" s="51">
        <v>0</v>
      </c>
      <c r="BT95" s="30">
        <v>0</v>
      </c>
      <c r="BU95" s="51">
        <v>304730.83900780411</v>
      </c>
      <c r="BW95" s="221">
        <v>0</v>
      </c>
      <c r="BX95" s="222">
        <v>243314.36959999986</v>
      </c>
    </row>
    <row r="96" spans="6:76" x14ac:dyDescent="0.2">
      <c r="F96" s="151">
        <v>92</v>
      </c>
      <c r="G96" s="30">
        <v>1910063.85</v>
      </c>
      <c r="H96" s="28">
        <v>0</v>
      </c>
      <c r="I96" s="28">
        <v>10966401.792328145</v>
      </c>
      <c r="J96" s="28">
        <v>0</v>
      </c>
      <c r="K96" s="28">
        <v>10966401.792300001</v>
      </c>
      <c r="L96" s="28">
        <v>0</v>
      </c>
      <c r="M96" s="27">
        <v>369112.98114090343</v>
      </c>
      <c r="N96" s="27">
        <v>380633.33333333331</v>
      </c>
      <c r="O96" s="51">
        <v>2659810.1644742368</v>
      </c>
      <c r="P96" s="5"/>
      <c r="Q96" s="30">
        <v>31666.666666666668</v>
      </c>
      <c r="R96" s="27">
        <v>31666.666666666668</v>
      </c>
      <c r="S96" s="27">
        <v>0</v>
      </c>
      <c r="T96" s="51">
        <v>2628143.4978075703</v>
      </c>
      <c r="U96" s="5"/>
      <c r="V96" s="30">
        <v>0</v>
      </c>
      <c r="W96" s="51">
        <v>2247510.1644742368</v>
      </c>
      <c r="Y96" s="30">
        <v>941511.87047677371</v>
      </c>
      <c r="Z96" s="27">
        <v>941511.87047677371</v>
      </c>
      <c r="AA96" s="27">
        <v>0</v>
      </c>
      <c r="AB96" s="51">
        <v>2166951.3400096213</v>
      </c>
      <c r="AD96" s="30">
        <v>55387540.087588988</v>
      </c>
      <c r="AE96" s="27">
        <v>132872.22168079135</v>
      </c>
      <c r="AF96" s="27">
        <v>55254667.865908198</v>
      </c>
      <c r="AG96" s="51">
        <v>2034079.11832883</v>
      </c>
      <c r="AI96" s="30">
        <v>0</v>
      </c>
      <c r="AJ96" s="51">
        <v>1818285.326869305</v>
      </c>
      <c r="AL96" s="43">
        <v>380000</v>
      </c>
      <c r="AM96" s="52">
        <v>-633.33333333331393</v>
      </c>
      <c r="AN96" s="53">
        <v>380000</v>
      </c>
      <c r="AO96" s="54">
        <v>1818918.6602026382</v>
      </c>
      <c r="AQ96" s="30">
        <v>0</v>
      </c>
      <c r="AR96" s="27">
        <v>0</v>
      </c>
      <c r="AS96" s="27">
        <v>0</v>
      </c>
      <c r="AT96" s="51">
        <v>1818918.6602026382</v>
      </c>
      <c r="AV96" s="30">
        <v>360671.13878417056</v>
      </c>
      <c r="AW96" s="27">
        <v>-8441.8423567328718</v>
      </c>
      <c r="AX96" s="27">
        <v>360671.13878417056</v>
      </c>
      <c r="AY96" s="51">
        <v>1827360.5025593711</v>
      </c>
      <c r="BA96" s="30">
        <v>0</v>
      </c>
      <c r="BB96" s="27">
        <v>0</v>
      </c>
      <c r="BC96" s="27">
        <v>0</v>
      </c>
      <c r="BD96" s="51">
        <v>1827360.5025593711</v>
      </c>
      <c r="BF96" s="30">
        <v>244646.3049999997</v>
      </c>
      <c r="BG96" s="27">
        <v>244646.3049999997</v>
      </c>
      <c r="BH96" s="27">
        <v>0</v>
      </c>
      <c r="BI96" s="51">
        <v>1582714.1975593714</v>
      </c>
      <c r="BK96" s="30">
        <v>0</v>
      </c>
      <c r="BL96" s="27">
        <v>0</v>
      </c>
      <c r="BM96" s="27">
        <v>0</v>
      </c>
      <c r="BN96" s="51">
        <v>1582714.1975593714</v>
      </c>
      <c r="BP96" s="30">
        <v>1582714.1975593714</v>
      </c>
      <c r="BQ96" s="20">
        <v>109163043.51362197</v>
      </c>
      <c r="BR96" s="51">
        <v>0</v>
      </c>
      <c r="BT96" s="30">
        <v>0</v>
      </c>
      <c r="BU96" s="51">
        <v>304758.16146402812</v>
      </c>
      <c r="BW96" s="221">
        <v>0</v>
      </c>
      <c r="BX96" s="222">
        <v>244646.3049999997</v>
      </c>
    </row>
    <row r="97" spans="6:76" x14ac:dyDescent="0.2">
      <c r="F97" s="151">
        <v>93</v>
      </c>
      <c r="G97" s="30">
        <v>2153947.37</v>
      </c>
      <c r="H97" s="28">
        <v>0</v>
      </c>
      <c r="I97" s="28">
        <v>10720416.260890862</v>
      </c>
      <c r="J97" s="28">
        <v>0</v>
      </c>
      <c r="K97" s="28">
        <v>10720416.2609</v>
      </c>
      <c r="L97" s="28">
        <v>0</v>
      </c>
      <c r="M97" s="27">
        <v>361272.25734881085</v>
      </c>
      <c r="N97" s="27">
        <v>380633.33333333331</v>
      </c>
      <c r="O97" s="51">
        <v>2895852.9606821444</v>
      </c>
      <c r="P97" s="5"/>
      <c r="Q97" s="30">
        <v>31666.666666666668</v>
      </c>
      <c r="R97" s="27">
        <v>31666.666666666668</v>
      </c>
      <c r="S97" s="27">
        <v>0</v>
      </c>
      <c r="T97" s="51">
        <v>2864186.2940154779</v>
      </c>
      <c r="U97" s="5"/>
      <c r="V97" s="30">
        <v>0</v>
      </c>
      <c r="W97" s="51">
        <v>2483552.9606821444</v>
      </c>
      <c r="Y97" s="30">
        <v>909919.32037507696</v>
      </c>
      <c r="Z97" s="27">
        <v>909919.32037507696</v>
      </c>
      <c r="AA97" s="27">
        <v>0</v>
      </c>
      <c r="AB97" s="51">
        <v>2161201.8467148514</v>
      </c>
      <c r="AD97" s="30">
        <v>57623626.781438313</v>
      </c>
      <c r="AE97" s="27">
        <v>132872.22168079135</v>
      </c>
      <c r="AF97" s="27">
        <v>57490754.559757523</v>
      </c>
      <c r="AG97" s="51">
        <v>2028329.6250340601</v>
      </c>
      <c r="AI97" s="30">
        <v>0</v>
      </c>
      <c r="AJ97" s="51">
        <v>2063480.6014388138</v>
      </c>
      <c r="AL97" s="43">
        <v>380000</v>
      </c>
      <c r="AM97" s="52">
        <v>-633.33333333331393</v>
      </c>
      <c r="AN97" s="53">
        <v>380000</v>
      </c>
      <c r="AO97" s="54">
        <v>2064113.9347721471</v>
      </c>
      <c r="AQ97" s="30">
        <v>0</v>
      </c>
      <c r="AR97" s="27">
        <v>0</v>
      </c>
      <c r="AS97" s="27">
        <v>0</v>
      </c>
      <c r="AT97" s="51">
        <v>2064113.9347721471</v>
      </c>
      <c r="AV97" s="30">
        <v>352800.61136711843</v>
      </c>
      <c r="AW97" s="27">
        <v>-8471.645981692418</v>
      </c>
      <c r="AX97" s="27">
        <v>352800.61136711843</v>
      </c>
      <c r="AY97" s="51">
        <v>2072585.5807538396</v>
      </c>
      <c r="BA97" s="30">
        <v>0</v>
      </c>
      <c r="BB97" s="27">
        <v>0</v>
      </c>
      <c r="BC97" s="27">
        <v>0</v>
      </c>
      <c r="BD97" s="51">
        <v>2072585.5807538396</v>
      </c>
      <c r="BF97" s="30">
        <v>245985.53140000068</v>
      </c>
      <c r="BG97" s="27">
        <v>245985.53140000068</v>
      </c>
      <c r="BH97" s="27">
        <v>0</v>
      </c>
      <c r="BI97" s="51">
        <v>1826600.0493538389</v>
      </c>
      <c r="BK97" s="30">
        <v>0</v>
      </c>
      <c r="BL97" s="27">
        <v>0</v>
      </c>
      <c r="BM97" s="27">
        <v>0</v>
      </c>
      <c r="BN97" s="51">
        <v>1826600.0493538389</v>
      </c>
      <c r="BP97" s="30">
        <v>1826600.0493538389</v>
      </c>
      <c r="BQ97" s="20">
        <v>110989643.56297581</v>
      </c>
      <c r="BR97" s="51">
        <v>0</v>
      </c>
      <c r="BT97" s="30">
        <v>0</v>
      </c>
      <c r="BU97" s="51">
        <v>304785.63329452043</v>
      </c>
      <c r="BW97" s="221">
        <v>0</v>
      </c>
      <c r="BX97" s="222">
        <v>245985.53140000068</v>
      </c>
    </row>
    <row r="98" spans="6:76" x14ac:dyDescent="0.2">
      <c r="F98" s="151">
        <v>94</v>
      </c>
      <c r="G98" s="30">
        <v>2156425.09</v>
      </c>
      <c r="H98" s="28">
        <v>0</v>
      </c>
      <c r="I98" s="28">
        <v>10473084.171860533</v>
      </c>
      <c r="J98" s="28">
        <v>0</v>
      </c>
      <c r="K98" s="28">
        <v>10473084.1719</v>
      </c>
      <c r="L98" s="28">
        <v>0</v>
      </c>
      <c r="M98" s="27">
        <v>353388.61238606361</v>
      </c>
      <c r="N98" s="27">
        <v>380633.33333333331</v>
      </c>
      <c r="O98" s="51">
        <v>2890447.0357193965</v>
      </c>
      <c r="P98" s="5"/>
      <c r="Q98" s="30">
        <v>31666.666666666668</v>
      </c>
      <c r="R98" s="27">
        <v>31666.666666666668</v>
      </c>
      <c r="S98" s="27">
        <v>0</v>
      </c>
      <c r="T98" s="51">
        <v>2858780.36905273</v>
      </c>
      <c r="U98" s="5"/>
      <c r="V98" s="30">
        <v>0</v>
      </c>
      <c r="W98" s="51">
        <v>2478147.0357193965</v>
      </c>
      <c r="Y98" s="30">
        <v>878416.06923591206</v>
      </c>
      <c r="Z98" s="27">
        <v>878416.06923591206</v>
      </c>
      <c r="AA98" s="27">
        <v>0</v>
      </c>
      <c r="AB98" s="51">
        <v>2271558.6116612246</v>
      </c>
      <c r="AD98" s="30">
        <v>59922803.013759464</v>
      </c>
      <c r="AE98" s="27">
        <v>132872.22168079135</v>
      </c>
      <c r="AF98" s="27">
        <v>59789930.792078674</v>
      </c>
      <c r="AG98" s="51">
        <v>2138686.3899804335</v>
      </c>
      <c r="AI98" s="30">
        <v>0</v>
      </c>
      <c r="AJ98" s="51">
        <v>2067277.2567272368</v>
      </c>
      <c r="AL98" s="43">
        <v>380000</v>
      </c>
      <c r="AM98" s="52">
        <v>-633.33333333331393</v>
      </c>
      <c r="AN98" s="53">
        <v>380000</v>
      </c>
      <c r="AO98" s="54">
        <v>2067910.59006057</v>
      </c>
      <c r="AQ98" s="30">
        <v>0</v>
      </c>
      <c r="AR98" s="27">
        <v>0</v>
      </c>
      <c r="AS98" s="27">
        <v>0</v>
      </c>
      <c r="AT98" s="51">
        <v>2067910.59006057</v>
      </c>
      <c r="AV98" s="30">
        <v>344886.9996365761</v>
      </c>
      <c r="AW98" s="27">
        <v>-8501.6127494875109</v>
      </c>
      <c r="AX98" s="27">
        <v>344886.9996365761</v>
      </c>
      <c r="AY98" s="51">
        <v>2076412.2028100574</v>
      </c>
      <c r="BA98" s="30">
        <v>0</v>
      </c>
      <c r="BB98" s="27">
        <v>0</v>
      </c>
      <c r="BC98" s="27">
        <v>0</v>
      </c>
      <c r="BD98" s="51">
        <v>2076412.2028100574</v>
      </c>
      <c r="BF98" s="30">
        <v>247332.08899999969</v>
      </c>
      <c r="BG98" s="27">
        <v>247332.08899999969</v>
      </c>
      <c r="BH98" s="27">
        <v>0</v>
      </c>
      <c r="BI98" s="51">
        <v>1829080.1138100578</v>
      </c>
      <c r="BK98" s="30">
        <v>0</v>
      </c>
      <c r="BL98" s="27">
        <v>0</v>
      </c>
      <c r="BM98" s="27">
        <v>0</v>
      </c>
      <c r="BN98" s="51">
        <v>1829080.1138100578</v>
      </c>
      <c r="BP98" s="30">
        <v>1829080.1138100578</v>
      </c>
      <c r="BQ98" s="20">
        <v>112818723.67678587</v>
      </c>
      <c r="BR98" s="51">
        <v>0</v>
      </c>
      <c r="BT98" s="30">
        <v>0</v>
      </c>
      <c r="BU98" s="51">
        <v>304813.25560609571</v>
      </c>
      <c r="BW98" s="221">
        <v>0</v>
      </c>
      <c r="BX98" s="222">
        <v>247332.08899999969</v>
      </c>
    </row>
    <row r="99" spans="6:76" x14ac:dyDescent="0.2">
      <c r="F99" s="151">
        <v>95</v>
      </c>
      <c r="G99" s="30">
        <v>3371316.01</v>
      </c>
      <c r="H99" s="28">
        <v>0</v>
      </c>
      <c r="I99" s="28">
        <v>10224398.154001379</v>
      </c>
      <c r="J99" s="28">
        <v>0</v>
      </c>
      <c r="K99" s="28">
        <v>10224398.153999999</v>
      </c>
      <c r="L99" s="28">
        <v>0</v>
      </c>
      <c r="M99" s="27">
        <v>345461.81130263704</v>
      </c>
      <c r="N99" s="27">
        <v>380633.33333333331</v>
      </c>
      <c r="O99" s="51">
        <v>4097411.15463597</v>
      </c>
      <c r="P99" s="5"/>
      <c r="Q99" s="30">
        <v>31666.666666666668</v>
      </c>
      <c r="R99" s="27">
        <v>31666.666666666668</v>
      </c>
      <c r="S99" s="27">
        <v>0</v>
      </c>
      <c r="T99" s="51">
        <v>4065744.4879693035</v>
      </c>
      <c r="U99" s="5"/>
      <c r="V99" s="30">
        <v>0</v>
      </c>
      <c r="W99" s="51">
        <v>3685111.15463597</v>
      </c>
      <c r="Y99" s="30">
        <v>845198.79842356266</v>
      </c>
      <c r="Z99" s="27">
        <v>845198.79842356266</v>
      </c>
      <c r="AA99" s="27">
        <v>0</v>
      </c>
      <c r="AB99" s="51">
        <v>1745887.576505505</v>
      </c>
      <c r="AD99" s="30">
        <v>62286848.80939474</v>
      </c>
      <c r="AE99" s="27">
        <v>132872.22168079135</v>
      </c>
      <c r="AF99" s="27">
        <v>62153976.587713949</v>
      </c>
      <c r="AG99" s="51">
        <v>1613015.3548247137</v>
      </c>
      <c r="AI99" s="30">
        <v>0</v>
      </c>
      <c r="AJ99" s="51">
        <v>3283494.3320433036</v>
      </c>
      <c r="AL99" s="43">
        <v>380000</v>
      </c>
      <c r="AM99" s="52">
        <v>-633.33333333331393</v>
      </c>
      <c r="AN99" s="53">
        <v>380000</v>
      </c>
      <c r="AO99" s="54">
        <v>3284127.6653766371</v>
      </c>
      <c r="AQ99" s="30">
        <v>0</v>
      </c>
      <c r="AR99" s="27">
        <v>0</v>
      </c>
      <c r="AS99" s="27">
        <v>0</v>
      </c>
      <c r="AT99" s="51">
        <v>3284127.6653766371</v>
      </c>
      <c r="AV99" s="30">
        <v>336930.06774017459</v>
      </c>
      <c r="AW99" s="27">
        <v>-8531.7435624624486</v>
      </c>
      <c r="AX99" s="27">
        <v>336930.06774017459</v>
      </c>
      <c r="AY99" s="51">
        <v>3292659.4089390994</v>
      </c>
      <c r="BA99" s="30">
        <v>0</v>
      </c>
      <c r="BB99" s="27">
        <v>0</v>
      </c>
      <c r="BC99" s="27">
        <v>0</v>
      </c>
      <c r="BD99" s="51">
        <v>3292659.4089390994</v>
      </c>
      <c r="BF99" s="30">
        <v>248686.01790000126</v>
      </c>
      <c r="BG99" s="27">
        <v>248686.01790000126</v>
      </c>
      <c r="BH99" s="27">
        <v>0</v>
      </c>
      <c r="BI99" s="51">
        <v>3043973.3910390981</v>
      </c>
      <c r="BK99" s="30">
        <v>0</v>
      </c>
      <c r="BL99" s="27">
        <v>0</v>
      </c>
      <c r="BM99" s="27">
        <v>0</v>
      </c>
      <c r="BN99" s="51">
        <v>3043973.3910390981</v>
      </c>
      <c r="BP99" s="30">
        <v>3043973.3910390981</v>
      </c>
      <c r="BQ99" s="20">
        <v>115862697.06782497</v>
      </c>
      <c r="BR99" s="51">
        <v>0</v>
      </c>
      <c r="BT99" s="30">
        <v>0</v>
      </c>
      <c r="BU99" s="51">
        <v>304841.02919003036</v>
      </c>
      <c r="BW99" s="221">
        <v>0</v>
      </c>
      <c r="BX99" s="222">
        <v>248686.01790000126</v>
      </c>
    </row>
    <row r="100" spans="6:76" x14ac:dyDescent="0.2">
      <c r="F100" s="151">
        <v>96</v>
      </c>
      <c r="G100" s="30">
        <v>3777319.56</v>
      </c>
      <c r="H100" s="28">
        <v>0</v>
      </c>
      <c r="I100" s="28">
        <v>9974350.7957264986</v>
      </c>
      <c r="J100" s="28">
        <v>0</v>
      </c>
      <c r="K100" s="28">
        <v>9974350.7957000006</v>
      </c>
      <c r="L100" s="28">
        <v>0</v>
      </c>
      <c r="M100" s="27">
        <v>337491.61785307486</v>
      </c>
      <c r="N100" s="27">
        <v>380633.33333333331</v>
      </c>
      <c r="O100" s="51">
        <v>4495444.5111864079</v>
      </c>
      <c r="P100" s="5"/>
      <c r="Q100" s="30">
        <v>31666.666666666668</v>
      </c>
      <c r="R100" s="27">
        <v>31666.666666666668</v>
      </c>
      <c r="S100" s="27">
        <v>0</v>
      </c>
      <c r="T100" s="51">
        <v>4463777.8445197409</v>
      </c>
      <c r="U100" s="5"/>
      <c r="V100" s="30">
        <v>0</v>
      </c>
      <c r="W100" s="51">
        <v>4083144.5111864074</v>
      </c>
      <c r="Y100" s="30">
        <v>820146.05197288701</v>
      </c>
      <c r="Z100" s="27">
        <v>820146.05197288701</v>
      </c>
      <c r="AA100" s="27">
        <v>0</v>
      </c>
      <c r="AB100" s="51">
        <v>1861753.8495664224</v>
      </c>
      <c r="AD100" s="30">
        <v>64717594.415275805</v>
      </c>
      <c r="AE100" s="27">
        <v>132872.22168079135</v>
      </c>
      <c r="AF100" s="27">
        <v>64584722.193595015</v>
      </c>
      <c r="AG100" s="51">
        <v>1728881.6278856311</v>
      </c>
      <c r="AI100" s="30">
        <v>0</v>
      </c>
      <c r="AJ100" s="51">
        <v>3690831.2969107516</v>
      </c>
      <c r="AL100" s="43">
        <v>380000</v>
      </c>
      <c r="AM100" s="52">
        <v>-633.33333333331393</v>
      </c>
      <c r="AN100" s="53">
        <v>380000</v>
      </c>
      <c r="AO100" s="54">
        <v>3691464.6302440851</v>
      </c>
      <c r="AQ100" s="30">
        <v>0</v>
      </c>
      <c r="AR100" s="27">
        <v>0</v>
      </c>
      <c r="AS100" s="27">
        <v>0</v>
      </c>
      <c r="AT100" s="51">
        <v>3691464.6302440851</v>
      </c>
      <c r="AV100" s="30">
        <v>328929.57853548595</v>
      </c>
      <c r="AW100" s="27">
        <v>-8562.0393175889039</v>
      </c>
      <c r="AX100" s="27">
        <v>328929.57853548595</v>
      </c>
      <c r="AY100" s="51">
        <v>3700026.6695616739</v>
      </c>
      <c r="BA100" s="30">
        <v>0</v>
      </c>
      <c r="BB100" s="27">
        <v>0</v>
      </c>
      <c r="BC100" s="27">
        <v>0</v>
      </c>
      <c r="BD100" s="51">
        <v>3700026.6695616739</v>
      </c>
      <c r="BF100" s="30">
        <v>250047.35829999857</v>
      </c>
      <c r="BG100" s="27">
        <v>250047.35829999857</v>
      </c>
      <c r="BH100" s="27">
        <v>0</v>
      </c>
      <c r="BI100" s="51">
        <v>3449979.3112616753</v>
      </c>
      <c r="BK100" s="30">
        <v>0</v>
      </c>
      <c r="BL100" s="27">
        <v>0</v>
      </c>
      <c r="BM100" s="27">
        <v>0</v>
      </c>
      <c r="BN100" s="51">
        <v>3449979.3112616753</v>
      </c>
      <c r="BP100" s="30">
        <v>3449979.3112616753</v>
      </c>
      <c r="BQ100" s="20">
        <v>119312676.37908664</v>
      </c>
      <c r="BR100" s="51">
        <v>0</v>
      </c>
      <c r="BT100" s="30">
        <v>0</v>
      </c>
      <c r="BU100" s="51">
        <v>304868.95472257957</v>
      </c>
      <c r="BW100" s="221">
        <v>0</v>
      </c>
      <c r="BX100" s="222">
        <v>250047.35829999857</v>
      </c>
    </row>
    <row r="101" spans="6:76" x14ac:dyDescent="0.2">
      <c r="F101" s="151">
        <v>97</v>
      </c>
      <c r="G101" s="30">
        <v>2141306.52</v>
      </c>
      <c r="H101" s="28">
        <v>0</v>
      </c>
      <c r="I101" s="28">
        <v>9722934.6448769569</v>
      </c>
      <c r="J101" s="28">
        <v>0</v>
      </c>
      <c r="K101" s="28">
        <v>9722934.6448999997</v>
      </c>
      <c r="L101" s="28">
        <v>0</v>
      </c>
      <c r="M101" s="27">
        <v>329477.79449971177</v>
      </c>
      <c r="N101" s="27">
        <v>380633.33333333331</v>
      </c>
      <c r="O101" s="51">
        <v>2851417.6478330451</v>
      </c>
      <c r="P101" s="5"/>
      <c r="Q101" s="30">
        <v>31666.666666666668</v>
      </c>
      <c r="R101" s="27">
        <v>31666.666666666668</v>
      </c>
      <c r="S101" s="27">
        <v>0</v>
      </c>
      <c r="T101" s="51">
        <v>2819750.9811663786</v>
      </c>
      <c r="U101" s="5"/>
      <c r="V101" s="30">
        <v>0</v>
      </c>
      <c r="W101" s="51">
        <v>2439117.6478330451</v>
      </c>
      <c r="Y101" s="30">
        <v>793293.71424584987</v>
      </c>
      <c r="Z101" s="27">
        <v>793293.71424584987</v>
      </c>
      <c r="AA101" s="27">
        <v>0</v>
      </c>
      <c r="AB101" s="51">
        <v>2432539.1247062334</v>
      </c>
      <c r="AD101" s="30">
        <v>67216921.717402935</v>
      </c>
      <c r="AE101" s="27">
        <v>132872.22168079135</v>
      </c>
      <c r="AF101" s="27">
        <v>67084049.495722145</v>
      </c>
      <c r="AG101" s="51">
        <v>2299666.9030254418</v>
      </c>
      <c r="AI101" s="30">
        <v>0</v>
      </c>
      <c r="AJ101" s="51">
        <v>2056158.9710688654</v>
      </c>
      <c r="AL101" s="43">
        <v>380000</v>
      </c>
      <c r="AM101" s="52">
        <v>-633.33333333331393</v>
      </c>
      <c r="AN101" s="53">
        <v>380000</v>
      </c>
      <c r="AO101" s="54">
        <v>2056792.3044021986</v>
      </c>
      <c r="AQ101" s="30">
        <v>0</v>
      </c>
      <c r="AR101" s="27">
        <v>0</v>
      </c>
      <c r="AS101" s="27">
        <v>0</v>
      </c>
      <c r="AT101" s="51">
        <v>2056792.3044021986</v>
      </c>
      <c r="AV101" s="30">
        <v>320885.29358680628</v>
      </c>
      <c r="AW101" s="27">
        <v>-8592.5009129054961</v>
      </c>
      <c r="AX101" s="27">
        <v>320885.29358680628</v>
      </c>
      <c r="AY101" s="51">
        <v>2065384.8053151041</v>
      </c>
      <c r="BA101" s="30">
        <v>0</v>
      </c>
      <c r="BB101" s="27">
        <v>0</v>
      </c>
      <c r="BC101" s="27">
        <v>0</v>
      </c>
      <c r="BD101" s="51">
        <v>2065384.8053151041</v>
      </c>
      <c r="BF101" s="30">
        <v>251416.15080000088</v>
      </c>
      <c r="BG101" s="27">
        <v>251416.15080000088</v>
      </c>
      <c r="BH101" s="27">
        <v>0</v>
      </c>
      <c r="BI101" s="51">
        <v>1813968.6545151032</v>
      </c>
      <c r="BK101" s="30">
        <v>0</v>
      </c>
      <c r="BL101" s="27">
        <v>0</v>
      </c>
      <c r="BM101" s="27">
        <v>0</v>
      </c>
      <c r="BN101" s="51">
        <v>1813968.6545151032</v>
      </c>
      <c r="BP101" s="30">
        <v>1813968.6545151032</v>
      </c>
      <c r="BQ101" s="20">
        <v>121126645.03360175</v>
      </c>
      <c r="BR101" s="51">
        <v>0</v>
      </c>
      <c r="BT101" s="30">
        <v>0</v>
      </c>
      <c r="BU101" s="51">
        <v>304897.03306446859</v>
      </c>
      <c r="BW101" s="221">
        <v>0</v>
      </c>
      <c r="BX101" s="222">
        <v>251416.15080000088</v>
      </c>
    </row>
    <row r="102" spans="6:76" x14ac:dyDescent="0.2">
      <c r="F102" s="151">
        <v>98</v>
      </c>
      <c r="G102" s="30">
        <v>1621335.09</v>
      </c>
      <c r="H102" s="28">
        <v>0</v>
      </c>
      <c r="I102" s="28">
        <v>9470142.2084997166</v>
      </c>
      <c r="J102" s="28">
        <v>0</v>
      </c>
      <c r="K102" s="28">
        <v>9470142.2084999997</v>
      </c>
      <c r="L102" s="28">
        <v>0</v>
      </c>
      <c r="M102" s="27">
        <v>321420.10240945098</v>
      </c>
      <c r="N102" s="27">
        <v>380633.33333333331</v>
      </c>
      <c r="O102" s="51">
        <v>2323388.5257427841</v>
      </c>
      <c r="P102" s="5"/>
      <c r="Q102" s="30">
        <v>31666.666666666668</v>
      </c>
      <c r="R102" s="27">
        <v>31666.666666666668</v>
      </c>
      <c r="S102" s="27">
        <v>0</v>
      </c>
      <c r="T102" s="51">
        <v>2291721.8590761176</v>
      </c>
      <c r="U102" s="5"/>
      <c r="V102" s="30">
        <v>0</v>
      </c>
      <c r="W102" s="51">
        <v>1911088.5257427844</v>
      </c>
      <c r="Y102" s="30">
        <v>757576.15478791925</v>
      </c>
      <c r="Z102" s="27">
        <v>757576.15478791925</v>
      </c>
      <c r="AA102" s="27">
        <v>0</v>
      </c>
      <c r="AB102" s="51">
        <v>1518998.2013779676</v>
      </c>
      <c r="AD102" s="30">
        <v>69786765.697803304</v>
      </c>
      <c r="AE102" s="27">
        <v>132872.22168079135</v>
      </c>
      <c r="AF102" s="27">
        <v>69653893.476122513</v>
      </c>
      <c r="AG102" s="51">
        <v>1386125.9796971763</v>
      </c>
      <c r="AI102" s="30">
        <v>0</v>
      </c>
      <c r="AJ102" s="51">
        <v>1537535.5944746188</v>
      </c>
      <c r="AL102" s="43">
        <v>380000</v>
      </c>
      <c r="AM102" s="52">
        <v>-633.33333333331393</v>
      </c>
      <c r="AN102" s="53">
        <v>380000</v>
      </c>
      <c r="AO102" s="54">
        <v>1538168.927807952</v>
      </c>
      <c r="AQ102" s="30">
        <v>0</v>
      </c>
      <c r="AR102" s="27">
        <v>0</v>
      </c>
      <c r="AS102" s="27">
        <v>0</v>
      </c>
      <c r="AT102" s="51">
        <v>1538168.927807952</v>
      </c>
      <c r="AV102" s="30">
        <v>312796.97315228713</v>
      </c>
      <c r="AW102" s="27">
        <v>-8623.1292571638478</v>
      </c>
      <c r="AX102" s="27">
        <v>312796.97315228713</v>
      </c>
      <c r="AY102" s="51">
        <v>1546792.0570651158</v>
      </c>
      <c r="BA102" s="30">
        <v>0</v>
      </c>
      <c r="BB102" s="27">
        <v>0</v>
      </c>
      <c r="BC102" s="27">
        <v>0</v>
      </c>
      <c r="BD102" s="51">
        <v>1546792.0570651158</v>
      </c>
      <c r="BF102" s="30">
        <v>252792.43640000001</v>
      </c>
      <c r="BG102" s="27">
        <v>252792.43640000001</v>
      </c>
      <c r="BH102" s="27">
        <v>0</v>
      </c>
      <c r="BI102" s="51">
        <v>1293999.6206651158</v>
      </c>
      <c r="BK102" s="30">
        <v>0</v>
      </c>
      <c r="BL102" s="27">
        <v>0</v>
      </c>
      <c r="BM102" s="27">
        <v>0</v>
      </c>
      <c r="BN102" s="51">
        <v>1293999.6206651158</v>
      </c>
      <c r="BP102" s="30">
        <v>1293999.6206651158</v>
      </c>
      <c r="BQ102" s="20">
        <v>122420644.65426686</v>
      </c>
      <c r="BR102" s="51">
        <v>0</v>
      </c>
      <c r="BT102" s="30">
        <v>0</v>
      </c>
      <c r="BU102" s="51">
        <v>304925.26525871456</v>
      </c>
      <c r="BW102" s="221">
        <v>0</v>
      </c>
      <c r="BX102" s="222">
        <v>252792.43640000001</v>
      </c>
    </row>
    <row r="103" spans="6:76" x14ac:dyDescent="0.2">
      <c r="F103" s="151">
        <v>99</v>
      </c>
      <c r="G103" s="30">
        <v>2995612.89</v>
      </c>
      <c r="H103" s="28">
        <v>0</v>
      </c>
      <c r="I103" s="28">
        <v>9215965.9526243266</v>
      </c>
      <c r="J103" s="28">
        <v>0</v>
      </c>
      <c r="K103" s="28">
        <v>9215965.9526000004</v>
      </c>
      <c r="L103" s="28">
        <v>0</v>
      </c>
      <c r="M103" s="27">
        <v>313318.30144087429</v>
      </c>
      <c r="N103" s="27">
        <v>380633.33333333331</v>
      </c>
      <c r="O103" s="51">
        <v>3689564.5247742077</v>
      </c>
      <c r="P103" s="5"/>
      <c r="Q103" s="30">
        <v>31666.666666666668</v>
      </c>
      <c r="R103" s="27">
        <v>31666.666666666668</v>
      </c>
      <c r="S103" s="27">
        <v>0</v>
      </c>
      <c r="T103" s="51">
        <v>3657897.8581075412</v>
      </c>
      <c r="U103" s="5"/>
      <c r="V103" s="30">
        <v>0</v>
      </c>
      <c r="W103" s="51">
        <v>3277264.5247742077</v>
      </c>
      <c r="Y103" s="30">
        <v>736047.36858375988</v>
      </c>
      <c r="Z103" s="27">
        <v>736047.36858375988</v>
      </c>
      <c r="AA103" s="27">
        <v>0</v>
      </c>
      <c r="AB103" s="51">
        <v>1851276.4975877278</v>
      </c>
      <c r="AD103" s="30">
        <v>72429115.932596236</v>
      </c>
      <c r="AE103" s="27">
        <v>132872.22168079135</v>
      </c>
      <c r="AF103" s="27">
        <v>72296243.710915446</v>
      </c>
      <c r="AG103" s="51">
        <v>1718404.2759069365</v>
      </c>
      <c r="AI103" s="30">
        <v>0</v>
      </c>
      <c r="AJ103" s="51">
        <v>2913168.8273048224</v>
      </c>
      <c r="AL103" s="43">
        <v>380000</v>
      </c>
      <c r="AM103" s="52">
        <v>-633.33333333331393</v>
      </c>
      <c r="AN103" s="53">
        <v>380000</v>
      </c>
      <c r="AO103" s="54">
        <v>2913802.1606381559</v>
      </c>
      <c r="AQ103" s="30">
        <v>0</v>
      </c>
      <c r="AR103" s="27">
        <v>0</v>
      </c>
      <c r="AS103" s="27">
        <v>0</v>
      </c>
      <c r="AT103" s="51">
        <v>2913802.1606381559</v>
      </c>
      <c r="AV103" s="30">
        <v>304664.37617106724</v>
      </c>
      <c r="AW103" s="27">
        <v>-8653.9252698070486</v>
      </c>
      <c r="AX103" s="27">
        <v>304664.37617106724</v>
      </c>
      <c r="AY103" s="51">
        <v>2922456.0859079631</v>
      </c>
      <c r="BA103" s="30">
        <v>0</v>
      </c>
      <c r="BB103" s="27">
        <v>0</v>
      </c>
      <c r="BC103" s="27">
        <v>0</v>
      </c>
      <c r="BD103" s="51">
        <v>2922456.0859079631</v>
      </c>
      <c r="BF103" s="30">
        <v>254176.25589999929</v>
      </c>
      <c r="BG103" s="27">
        <v>254176.25589999929</v>
      </c>
      <c r="BH103" s="27">
        <v>0</v>
      </c>
      <c r="BI103" s="51">
        <v>2668279.8300079638</v>
      </c>
      <c r="BK103" s="30">
        <v>0</v>
      </c>
      <c r="BL103" s="27">
        <v>0</v>
      </c>
      <c r="BM103" s="27">
        <v>0</v>
      </c>
      <c r="BN103" s="51">
        <v>2668279.8300079638</v>
      </c>
      <c r="BP103" s="30">
        <v>2668279.8300079638</v>
      </c>
      <c r="BQ103" s="20">
        <v>125088924.48427483</v>
      </c>
      <c r="BR103" s="51">
        <v>0</v>
      </c>
      <c r="BT103" s="30">
        <v>0</v>
      </c>
      <c r="BU103" s="51">
        <v>304953.65192851052</v>
      </c>
      <c r="BW103" s="221">
        <v>0</v>
      </c>
      <c r="BX103" s="222">
        <v>254176.25589999929</v>
      </c>
    </row>
    <row r="104" spans="6:76" x14ac:dyDescent="0.2">
      <c r="F104" s="151">
        <v>100</v>
      </c>
      <c r="G104" s="30">
        <v>2599888.7999999998</v>
      </c>
      <c r="H104" s="28">
        <v>0</v>
      </c>
      <c r="I104" s="28">
        <v>8960398.3020383529</v>
      </c>
      <c r="J104" s="28">
        <v>0</v>
      </c>
      <c r="K104" s="28">
        <v>8960398.3019999992</v>
      </c>
      <c r="L104" s="28">
        <v>0</v>
      </c>
      <c r="M104" s="27">
        <v>305172.15013135236</v>
      </c>
      <c r="N104" s="27">
        <v>380633.33333333331</v>
      </c>
      <c r="O104" s="51">
        <v>3285694.2834646855</v>
      </c>
      <c r="P104" s="5"/>
      <c r="Q104" s="30">
        <v>31666.666666666668</v>
      </c>
      <c r="R104" s="27">
        <v>31666.666666666668</v>
      </c>
      <c r="S104" s="27">
        <v>0</v>
      </c>
      <c r="T104" s="51">
        <v>3254027.616798019</v>
      </c>
      <c r="U104" s="5"/>
      <c r="V104" s="30">
        <v>0</v>
      </c>
      <c r="W104" s="51">
        <v>2873394.2834646855</v>
      </c>
      <c r="Y104" s="30">
        <v>709357.76113812486</v>
      </c>
      <c r="Z104" s="27">
        <v>709357.76113812486</v>
      </c>
      <c r="AA104" s="27">
        <v>0</v>
      </c>
      <c r="AB104" s="51">
        <v>2251134.6455263309</v>
      </c>
      <c r="AD104" s="30">
        <v>75146018.132325307</v>
      </c>
      <c r="AE104" s="27">
        <v>132872.22168079135</v>
      </c>
      <c r="AF104" s="27">
        <v>75013145.910644516</v>
      </c>
      <c r="AG104" s="51">
        <v>2118262.4238455398</v>
      </c>
      <c r="AI104" s="30">
        <v>0</v>
      </c>
      <c r="AJ104" s="51">
        <v>2518807.5899550486</v>
      </c>
      <c r="AL104" s="43">
        <v>380000</v>
      </c>
      <c r="AM104" s="52">
        <v>-633.33333333331393</v>
      </c>
      <c r="AN104" s="53">
        <v>380000</v>
      </c>
      <c r="AO104" s="54">
        <v>2519440.9232883821</v>
      </c>
      <c r="AQ104" s="30">
        <v>0</v>
      </c>
      <c r="AR104" s="27">
        <v>0</v>
      </c>
      <c r="AS104" s="27">
        <v>0</v>
      </c>
      <c r="AT104" s="51">
        <v>2519440.9232883821</v>
      </c>
      <c r="AV104" s="30">
        <v>296487.26026970672</v>
      </c>
      <c r="AW104" s="27">
        <v>-8684.8898616456427</v>
      </c>
      <c r="AX104" s="27">
        <v>296487.26026970672</v>
      </c>
      <c r="AY104" s="51">
        <v>2528125.8131500278</v>
      </c>
      <c r="BA104" s="30">
        <v>0</v>
      </c>
      <c r="BB104" s="27">
        <v>0</v>
      </c>
      <c r="BC104" s="27">
        <v>0</v>
      </c>
      <c r="BD104" s="51">
        <v>2528125.8131500278</v>
      </c>
      <c r="BF104" s="30">
        <v>255567.65060000122</v>
      </c>
      <c r="BG104" s="27">
        <v>255567.65060000122</v>
      </c>
      <c r="BH104" s="27">
        <v>0</v>
      </c>
      <c r="BI104" s="51">
        <v>2272558.1625500266</v>
      </c>
      <c r="BK104" s="30">
        <v>0</v>
      </c>
      <c r="BL104" s="27">
        <v>0</v>
      </c>
      <c r="BM104" s="27">
        <v>0</v>
      </c>
      <c r="BN104" s="51">
        <v>2272558.1625500266</v>
      </c>
      <c r="BP104" s="30">
        <v>2272558.1625500266</v>
      </c>
      <c r="BQ104" s="20">
        <v>127361482.64682487</v>
      </c>
      <c r="BR104" s="51">
        <v>0</v>
      </c>
      <c r="BT104" s="30">
        <v>0</v>
      </c>
      <c r="BU104" s="51">
        <v>304982.19397828565</v>
      </c>
      <c r="BW104" s="221">
        <v>0</v>
      </c>
      <c r="BX104" s="222">
        <v>255567.65060000122</v>
      </c>
    </row>
    <row r="105" spans="6:76" x14ac:dyDescent="0.2">
      <c r="F105" s="151">
        <v>101</v>
      </c>
      <c r="G105" s="30">
        <v>3258468.58</v>
      </c>
      <c r="H105" s="28">
        <v>0</v>
      </c>
      <c r="I105" s="28">
        <v>8703431.6400616709</v>
      </c>
      <c r="J105" s="28">
        <v>0</v>
      </c>
      <c r="K105" s="28">
        <v>8703431.6401000004</v>
      </c>
      <c r="L105" s="28">
        <v>0</v>
      </c>
      <c r="M105" s="27">
        <v>296981.40570348955</v>
      </c>
      <c r="N105" s="27">
        <v>380633.33333333331</v>
      </c>
      <c r="O105" s="51">
        <v>3936083.3190368228</v>
      </c>
      <c r="P105" s="5"/>
      <c r="Q105" s="30">
        <v>31666.666666666668</v>
      </c>
      <c r="R105" s="27">
        <v>31666.666666666668</v>
      </c>
      <c r="S105" s="27">
        <v>0</v>
      </c>
      <c r="T105" s="51">
        <v>3904416.6523701563</v>
      </c>
      <c r="U105" s="5"/>
      <c r="V105" s="30">
        <v>0</v>
      </c>
      <c r="W105" s="51">
        <v>3523783.3190368228</v>
      </c>
      <c r="Y105" s="30">
        <v>676457.70766878733</v>
      </c>
      <c r="Z105" s="27">
        <v>676457.70766878733</v>
      </c>
      <c r="AA105" s="27">
        <v>0</v>
      </c>
      <c r="AB105" s="51">
        <v>2323329.609646793</v>
      </c>
      <c r="AD105" s="30">
        <v>77939575.725749746</v>
      </c>
      <c r="AE105" s="27">
        <v>132872.22168079135</v>
      </c>
      <c r="AF105" s="27">
        <v>77806703.504068956</v>
      </c>
      <c r="AG105" s="51">
        <v>2190457.3879660014</v>
      </c>
      <c r="AI105" s="30">
        <v>0</v>
      </c>
      <c r="AJ105" s="51">
        <v>3178757.6830423162</v>
      </c>
      <c r="AL105" s="43">
        <v>380000</v>
      </c>
      <c r="AM105" s="52">
        <v>-633.33333333331393</v>
      </c>
      <c r="AN105" s="53">
        <v>380000</v>
      </c>
      <c r="AO105" s="54">
        <v>3179391.0163756497</v>
      </c>
      <c r="AQ105" s="30">
        <v>0</v>
      </c>
      <c r="AR105" s="27">
        <v>0</v>
      </c>
      <c r="AS105" s="27">
        <v>0</v>
      </c>
      <c r="AT105" s="51">
        <v>3179391.0163756497</v>
      </c>
      <c r="AV105" s="30">
        <v>288265.38174610137</v>
      </c>
      <c r="AW105" s="27">
        <v>-8716.0239573881845</v>
      </c>
      <c r="AX105" s="27">
        <v>288265.38174610137</v>
      </c>
      <c r="AY105" s="51">
        <v>3188107.0403330377</v>
      </c>
      <c r="BA105" s="30">
        <v>0</v>
      </c>
      <c r="BB105" s="27">
        <v>0</v>
      </c>
      <c r="BC105" s="27">
        <v>0</v>
      </c>
      <c r="BD105" s="51">
        <v>3188107.0403330377</v>
      </c>
      <c r="BF105" s="30">
        <v>256966.66189999878</v>
      </c>
      <c r="BG105" s="27">
        <v>256966.66189999878</v>
      </c>
      <c r="BH105" s="27">
        <v>0</v>
      </c>
      <c r="BI105" s="51">
        <v>2931140.3784330389</v>
      </c>
      <c r="BK105" s="30">
        <v>0</v>
      </c>
      <c r="BL105" s="27">
        <v>0</v>
      </c>
      <c r="BM105" s="27">
        <v>0</v>
      </c>
      <c r="BN105" s="51">
        <v>2931140.3784330389</v>
      </c>
      <c r="BP105" s="30">
        <v>2931140.3784330389</v>
      </c>
      <c r="BQ105" s="20">
        <v>130292623.0252579</v>
      </c>
      <c r="BR105" s="51">
        <v>0</v>
      </c>
      <c r="BT105" s="30">
        <v>0</v>
      </c>
      <c r="BU105" s="51">
        <v>305010.89219101565</v>
      </c>
      <c r="BW105" s="221">
        <v>0</v>
      </c>
      <c r="BX105" s="222">
        <v>256966.66189999878</v>
      </c>
    </row>
    <row r="106" spans="6:76" x14ac:dyDescent="0.2">
      <c r="F106" s="151">
        <v>102</v>
      </c>
      <c r="G106" s="30">
        <v>2140223.14</v>
      </c>
      <c r="H106" s="28">
        <v>0</v>
      </c>
      <c r="I106" s="28">
        <v>8445058.3083194084</v>
      </c>
      <c r="J106" s="28">
        <v>0</v>
      </c>
      <c r="K106" s="28">
        <v>8445058.3082999997</v>
      </c>
      <c r="L106" s="28">
        <v>0</v>
      </c>
      <c r="M106" s="27">
        <v>288745.82404901151</v>
      </c>
      <c r="N106" s="27">
        <v>380633.33333333331</v>
      </c>
      <c r="O106" s="51">
        <v>2809602.297382345</v>
      </c>
      <c r="P106" s="5"/>
      <c r="Q106" s="30">
        <v>31666.666666666668</v>
      </c>
      <c r="R106" s="27">
        <v>31666.666666666668</v>
      </c>
      <c r="S106" s="27">
        <v>0</v>
      </c>
      <c r="T106" s="51">
        <v>2777935.6307156784</v>
      </c>
      <c r="U106" s="5"/>
      <c r="V106" s="30">
        <v>0</v>
      </c>
      <c r="W106" s="51">
        <v>2397302.297382345</v>
      </c>
      <c r="Y106" s="30">
        <v>642436.34923126351</v>
      </c>
      <c r="Z106" s="27">
        <v>642436.34923126351</v>
      </c>
      <c r="AA106" s="27">
        <v>0</v>
      </c>
      <c r="AB106" s="51">
        <v>2513805.961920226</v>
      </c>
      <c r="AD106" s="30">
        <v>80811951.488321379</v>
      </c>
      <c r="AE106" s="27">
        <v>132872.22168079135</v>
      </c>
      <c r="AF106" s="27">
        <v>80679079.266640589</v>
      </c>
      <c r="AG106" s="51">
        <v>2380933.7402394349</v>
      </c>
      <c r="AI106" s="30">
        <v>0</v>
      </c>
      <c r="AJ106" s="51">
        <v>2061890.0574056224</v>
      </c>
      <c r="AL106" s="43">
        <v>380000</v>
      </c>
      <c r="AM106" s="52">
        <v>-633.33333333331393</v>
      </c>
      <c r="AN106" s="53">
        <v>380000</v>
      </c>
      <c r="AO106" s="54">
        <v>2062523.3907389557</v>
      </c>
      <c r="AQ106" s="30">
        <v>0</v>
      </c>
      <c r="AR106" s="27">
        <v>0</v>
      </c>
      <c r="AS106" s="27">
        <v>0</v>
      </c>
      <c r="AT106" s="51">
        <v>2062523.3907389557</v>
      </c>
      <c r="AV106" s="30">
        <v>279998.49556626595</v>
      </c>
      <c r="AW106" s="27">
        <v>-8747.3284827455645</v>
      </c>
      <c r="AX106" s="27">
        <v>279998.49556626595</v>
      </c>
      <c r="AY106" s="51">
        <v>2071270.7192217014</v>
      </c>
      <c r="BA106" s="30">
        <v>0</v>
      </c>
      <c r="BB106" s="27">
        <v>0</v>
      </c>
      <c r="BC106" s="27">
        <v>0</v>
      </c>
      <c r="BD106" s="51">
        <v>2071270.7192217014</v>
      </c>
      <c r="BF106" s="30">
        <v>258373.33180000074</v>
      </c>
      <c r="BG106" s="27">
        <v>258373.33180000074</v>
      </c>
      <c r="BH106" s="27">
        <v>0</v>
      </c>
      <c r="BI106" s="51">
        <v>1812897.3874217006</v>
      </c>
      <c r="BK106" s="30">
        <v>0</v>
      </c>
      <c r="BL106" s="27">
        <v>0</v>
      </c>
      <c r="BM106" s="27">
        <v>0</v>
      </c>
      <c r="BN106" s="51">
        <v>1812897.3874217006</v>
      </c>
      <c r="BP106" s="30">
        <v>1812897.3874217006</v>
      </c>
      <c r="BQ106" s="20">
        <v>132105520.4126796</v>
      </c>
      <c r="BR106" s="51">
        <v>0</v>
      </c>
      <c r="BT106" s="30">
        <v>0</v>
      </c>
      <c r="BU106" s="51">
        <v>305039.74772771174</v>
      </c>
      <c r="BW106" s="221">
        <v>0</v>
      </c>
      <c r="BX106" s="222">
        <v>258373.33180000074</v>
      </c>
    </row>
    <row r="107" spans="6:76" x14ac:dyDescent="0.2">
      <c r="F107" s="151">
        <v>103</v>
      </c>
      <c r="G107" s="30">
        <v>2642715.02</v>
      </c>
      <c r="H107" s="28">
        <v>0</v>
      </c>
      <c r="I107" s="28">
        <v>8185270.6065137358</v>
      </c>
      <c r="J107" s="28">
        <v>0</v>
      </c>
      <c r="K107" s="28">
        <v>8185270.6064999998</v>
      </c>
      <c r="L107" s="28">
        <v>0</v>
      </c>
      <c r="M107" s="27">
        <v>280465.15972554305</v>
      </c>
      <c r="N107" s="27">
        <v>380633.33333333331</v>
      </c>
      <c r="O107" s="51">
        <v>3303813.5130588766</v>
      </c>
      <c r="P107" s="5"/>
      <c r="Q107" s="30">
        <v>31666.666666666668</v>
      </c>
      <c r="R107" s="27">
        <v>31666.666666666668</v>
      </c>
      <c r="S107" s="27">
        <v>0</v>
      </c>
      <c r="T107" s="51">
        <v>3272146.8463922101</v>
      </c>
      <c r="U107" s="5"/>
      <c r="V107" s="30">
        <v>0</v>
      </c>
      <c r="W107" s="51">
        <v>2891513.5130588766</v>
      </c>
      <c r="Y107" s="30">
        <v>605456.58389198116</v>
      </c>
      <c r="Z107" s="27">
        <v>605456.58389198116</v>
      </c>
      <c r="AA107" s="27">
        <v>0</v>
      </c>
      <c r="AB107" s="51">
        <v>1778019.3635231522</v>
      </c>
      <c r="AD107" s="30">
        <v>83765369.216607839</v>
      </c>
      <c r="AE107" s="27">
        <v>132872.22168079135</v>
      </c>
      <c r="AF107" s="27">
        <v>83632496.994927049</v>
      </c>
      <c r="AG107" s="51">
        <v>1645147.1418423608</v>
      </c>
      <c r="AI107" s="30">
        <v>0</v>
      </c>
      <c r="AJ107" s="51">
        <v>2565767.2941091615</v>
      </c>
      <c r="AL107" s="43">
        <v>380000</v>
      </c>
      <c r="AM107" s="52">
        <v>-633.33333333331393</v>
      </c>
      <c r="AN107" s="53">
        <v>380000</v>
      </c>
      <c r="AO107" s="54">
        <v>2566400.627442495</v>
      </c>
      <c r="AQ107" s="30">
        <v>0</v>
      </c>
      <c r="AR107" s="27">
        <v>0</v>
      </c>
      <c r="AS107" s="27">
        <v>0</v>
      </c>
      <c r="AT107" s="51">
        <v>2566400.627442495</v>
      </c>
      <c r="AV107" s="30">
        <v>271686.35534503101</v>
      </c>
      <c r="AW107" s="27">
        <v>-8778.8043805120396</v>
      </c>
      <c r="AX107" s="27">
        <v>271686.35534503101</v>
      </c>
      <c r="AY107" s="51">
        <v>2575179.4318230068</v>
      </c>
      <c r="BA107" s="30">
        <v>0</v>
      </c>
      <c r="BB107" s="27">
        <v>0</v>
      </c>
      <c r="BC107" s="27">
        <v>0</v>
      </c>
      <c r="BD107" s="51">
        <v>2575179.4318230068</v>
      </c>
      <c r="BF107" s="30">
        <v>259787.70179999992</v>
      </c>
      <c r="BG107" s="27">
        <v>259787.70179999992</v>
      </c>
      <c r="BH107" s="27">
        <v>0</v>
      </c>
      <c r="BI107" s="51">
        <v>2315391.7300230069</v>
      </c>
      <c r="BK107" s="30">
        <v>0</v>
      </c>
      <c r="BL107" s="27">
        <v>0</v>
      </c>
      <c r="BM107" s="27">
        <v>0</v>
      </c>
      <c r="BN107" s="51">
        <v>2315391.7300230069</v>
      </c>
      <c r="BP107" s="30">
        <v>2315391.7300230069</v>
      </c>
      <c r="BQ107" s="20">
        <v>134420912.14270261</v>
      </c>
      <c r="BR107" s="51">
        <v>0</v>
      </c>
      <c r="BT107" s="30">
        <v>0</v>
      </c>
      <c r="BU107" s="51">
        <v>305068.76102417178</v>
      </c>
      <c r="BW107" s="221">
        <v>0</v>
      </c>
      <c r="BX107" s="222">
        <v>259787.70179999992</v>
      </c>
    </row>
    <row r="108" spans="6:76" x14ac:dyDescent="0.2">
      <c r="F108" s="151">
        <v>104</v>
      </c>
      <c r="G108" s="30">
        <v>2765823.72</v>
      </c>
      <c r="H108" s="28">
        <v>0</v>
      </c>
      <c r="I108" s="28">
        <v>7924060.7921943674</v>
      </c>
      <c r="J108" s="28">
        <v>0</v>
      </c>
      <c r="K108" s="28">
        <v>7924060.7922</v>
      </c>
      <c r="L108" s="28">
        <v>0</v>
      </c>
      <c r="M108" s="27">
        <v>272139.16593727272</v>
      </c>
      <c r="N108" s="27">
        <v>380633.33333333331</v>
      </c>
      <c r="O108" s="51">
        <v>3418596.2192706061</v>
      </c>
      <c r="P108" s="5"/>
      <c r="Q108" s="30">
        <v>31666.666666666668</v>
      </c>
      <c r="R108" s="27">
        <v>31666.666666666668</v>
      </c>
      <c r="S108" s="27">
        <v>0</v>
      </c>
      <c r="T108" s="51">
        <v>3386929.5526039395</v>
      </c>
      <c r="U108" s="5"/>
      <c r="V108" s="30">
        <v>0</v>
      </c>
      <c r="W108" s="51">
        <v>3006296.2192706061</v>
      </c>
      <c r="Y108" s="30">
        <v>579904.77863770991</v>
      </c>
      <c r="Z108" s="27">
        <v>579904.77863770991</v>
      </c>
      <c r="AA108" s="27">
        <v>0</v>
      </c>
      <c r="AB108" s="51">
        <v>2908365.9947546553</v>
      </c>
      <c r="AD108" s="30">
        <v>86802115.449958354</v>
      </c>
      <c r="AE108" s="27">
        <v>132872.22168079135</v>
      </c>
      <c r="AF108" s="27">
        <v>86669243.228277564</v>
      </c>
      <c r="AG108" s="51">
        <v>2775493.7730738642</v>
      </c>
      <c r="AI108" s="30">
        <v>0</v>
      </c>
      <c r="AJ108" s="51">
        <v>2690268.9344396451</v>
      </c>
      <c r="AL108" s="43">
        <v>380000</v>
      </c>
      <c r="AM108" s="52">
        <v>-633.33333333331393</v>
      </c>
      <c r="AN108" s="53">
        <v>380000</v>
      </c>
      <c r="AO108" s="54">
        <v>2690902.2677729786</v>
      </c>
      <c r="AQ108" s="30">
        <v>0</v>
      </c>
      <c r="AR108" s="27">
        <v>0</v>
      </c>
      <c r="AS108" s="27">
        <v>0</v>
      </c>
      <c r="AT108" s="51">
        <v>2690902.2677729786</v>
      </c>
      <c r="AV108" s="30">
        <v>263328.713362129</v>
      </c>
      <c r="AW108" s="27">
        <v>-8810.4525751437177</v>
      </c>
      <c r="AX108" s="27">
        <v>263328.713362129</v>
      </c>
      <c r="AY108" s="51">
        <v>2699712.7203481225</v>
      </c>
      <c r="BA108" s="30">
        <v>0</v>
      </c>
      <c r="BB108" s="27">
        <v>0</v>
      </c>
      <c r="BC108" s="27">
        <v>0</v>
      </c>
      <c r="BD108" s="51">
        <v>2699712.7203481225</v>
      </c>
      <c r="BF108" s="30">
        <v>261209.81429999974</v>
      </c>
      <c r="BG108" s="27">
        <v>261209.81429999974</v>
      </c>
      <c r="BH108" s="27">
        <v>0</v>
      </c>
      <c r="BI108" s="51">
        <v>2438502.9060481228</v>
      </c>
      <c r="BK108" s="30">
        <v>0</v>
      </c>
      <c r="BL108" s="27">
        <v>0</v>
      </c>
      <c r="BM108" s="27">
        <v>0</v>
      </c>
      <c r="BN108" s="51">
        <v>2438502.9060481228</v>
      </c>
      <c r="BP108" s="30">
        <v>2438502.9060481228</v>
      </c>
      <c r="BQ108" s="20">
        <v>136859415.04875073</v>
      </c>
      <c r="BR108" s="51">
        <v>0</v>
      </c>
      <c r="BT108" s="30">
        <v>0</v>
      </c>
      <c r="BU108" s="51">
        <v>305097.93319368787</v>
      </c>
      <c r="BW108" s="221">
        <v>0</v>
      </c>
      <c r="BX108" s="222">
        <v>261209.81429999974</v>
      </c>
    </row>
    <row r="109" spans="6:76" x14ac:dyDescent="0.2">
      <c r="F109" s="151">
        <v>105</v>
      </c>
      <c r="G109" s="30">
        <v>2761509.23</v>
      </c>
      <c r="H109" s="28">
        <v>0</v>
      </c>
      <c r="I109" s="28">
        <v>7661421.0805278113</v>
      </c>
      <c r="J109" s="28">
        <v>0</v>
      </c>
      <c r="K109" s="28">
        <v>7661421.0805000002</v>
      </c>
      <c r="L109" s="28">
        <v>0</v>
      </c>
      <c r="M109" s="27">
        <v>263767.59455106588</v>
      </c>
      <c r="N109" s="27">
        <v>380633.33333333331</v>
      </c>
      <c r="O109" s="51">
        <v>3405910.1578843994</v>
      </c>
      <c r="P109" s="5"/>
      <c r="Q109" s="30">
        <v>31666.666666666668</v>
      </c>
      <c r="R109" s="27">
        <v>31666.666666666668</v>
      </c>
      <c r="S109" s="27">
        <v>0</v>
      </c>
      <c r="T109" s="51">
        <v>3374243.4912177329</v>
      </c>
      <c r="U109" s="5"/>
      <c r="V109" s="30">
        <v>0</v>
      </c>
      <c r="W109" s="51">
        <v>2993610.1578843994</v>
      </c>
      <c r="Y109" s="30">
        <v>536796.85560135136</v>
      </c>
      <c r="Z109" s="27">
        <v>536796.85560135136</v>
      </c>
      <c r="AA109" s="27">
        <v>0</v>
      </c>
      <c r="AB109" s="51">
        <v>2657195.3168498971</v>
      </c>
      <c r="AD109" s="30">
        <v>89924541.240745142</v>
      </c>
      <c r="AE109" s="27">
        <v>132872.22168079135</v>
      </c>
      <c r="AF109" s="27">
        <v>89791669.019064352</v>
      </c>
      <c r="AG109" s="51">
        <v>2524323.0951691056</v>
      </c>
      <c r="AI109" s="30">
        <v>0</v>
      </c>
      <c r="AJ109" s="51">
        <v>2687355.0099111269</v>
      </c>
      <c r="AL109" s="43">
        <v>380000</v>
      </c>
      <c r="AM109" s="52">
        <v>-633.33333333331393</v>
      </c>
      <c r="AN109" s="53">
        <v>380000</v>
      </c>
      <c r="AO109" s="54">
        <v>2687988.3432444604</v>
      </c>
      <c r="AQ109" s="30">
        <v>0</v>
      </c>
      <c r="AR109" s="27">
        <v>0</v>
      </c>
      <c r="AS109" s="27">
        <v>0</v>
      </c>
      <c r="AT109" s="51">
        <v>2687988.3432444604</v>
      </c>
      <c r="AV109" s="30">
        <v>254925.32053323978</v>
      </c>
      <c r="AW109" s="27">
        <v>-8842.274017826101</v>
      </c>
      <c r="AX109" s="27">
        <v>254925.32053323978</v>
      </c>
      <c r="AY109" s="51">
        <v>2696830.6172622866</v>
      </c>
      <c r="BA109" s="30">
        <v>0</v>
      </c>
      <c r="BB109" s="27">
        <v>0</v>
      </c>
      <c r="BC109" s="27">
        <v>0</v>
      </c>
      <c r="BD109" s="51">
        <v>2696830.6172622866</v>
      </c>
      <c r="BF109" s="30">
        <v>262639.71169999987</v>
      </c>
      <c r="BG109" s="27">
        <v>262639.71169999987</v>
      </c>
      <c r="BH109" s="27">
        <v>0</v>
      </c>
      <c r="BI109" s="51">
        <v>2434190.9055622867</v>
      </c>
      <c r="BK109" s="30">
        <v>0</v>
      </c>
      <c r="BL109" s="27">
        <v>0</v>
      </c>
      <c r="BM109" s="27">
        <v>0</v>
      </c>
      <c r="BN109" s="51">
        <v>2434190.9055622867</v>
      </c>
      <c r="BP109" s="30">
        <v>2434190.9055622867</v>
      </c>
      <c r="BQ109" s="20">
        <v>139293605.95431301</v>
      </c>
      <c r="BR109" s="51">
        <v>0</v>
      </c>
      <c r="BT109" s="30">
        <v>0</v>
      </c>
      <c r="BU109" s="51">
        <v>305127.26512220647</v>
      </c>
      <c r="BW109" s="221">
        <v>0</v>
      </c>
      <c r="BX109" s="222">
        <v>262639.71169999987</v>
      </c>
    </row>
    <row r="110" spans="6:76" x14ac:dyDescent="0.2">
      <c r="F110" s="151">
        <v>106</v>
      </c>
      <c r="G110" s="30">
        <v>3658063.36</v>
      </c>
      <c r="H110" s="28">
        <v>0</v>
      </c>
      <c r="I110" s="28">
        <v>7397343.6440653633</v>
      </c>
      <c r="J110" s="28">
        <v>0</v>
      </c>
      <c r="K110" s="28">
        <v>7397343.6441000002</v>
      </c>
      <c r="L110" s="28">
        <v>0</v>
      </c>
      <c r="M110" s="27">
        <v>255350.19606746183</v>
      </c>
      <c r="N110" s="27">
        <v>380633.33333333331</v>
      </c>
      <c r="O110" s="51">
        <v>4294046.8894007951</v>
      </c>
      <c r="P110" s="5"/>
      <c r="Q110" s="30">
        <v>31666.666666666668</v>
      </c>
      <c r="R110" s="27">
        <v>31666.666666666668</v>
      </c>
      <c r="S110" s="27">
        <v>0</v>
      </c>
      <c r="T110" s="51">
        <v>4262380.2227341281</v>
      </c>
      <c r="U110" s="5"/>
      <c r="V110" s="30">
        <v>0</v>
      </c>
      <c r="W110" s="51">
        <v>3881746.8894007946</v>
      </c>
      <c r="Y110" s="30">
        <v>497590.02085319202</v>
      </c>
      <c r="Z110" s="27">
        <v>497590.02085319202</v>
      </c>
      <c r="AA110" s="27">
        <v>0</v>
      </c>
      <c r="AB110" s="51">
        <v>2736017.7411109977</v>
      </c>
      <c r="AD110" s="30">
        <v>93135063.974550784</v>
      </c>
      <c r="AE110" s="27">
        <v>132872.22168079135</v>
      </c>
      <c r="AF110" s="27">
        <v>93002191.752869993</v>
      </c>
      <c r="AG110" s="51">
        <v>2603145.5194302062</v>
      </c>
      <c r="AI110" s="30">
        <v>0</v>
      </c>
      <c r="AJ110" s="51">
        <v>3585317.3722650008</v>
      </c>
      <c r="AL110" s="43">
        <v>380000</v>
      </c>
      <c r="AM110" s="52">
        <v>-633.33333333331393</v>
      </c>
      <c r="AN110" s="53">
        <v>380000</v>
      </c>
      <c r="AO110" s="54">
        <v>3585950.7055983343</v>
      </c>
      <c r="AQ110" s="30">
        <v>0</v>
      </c>
      <c r="AR110" s="27">
        <v>0</v>
      </c>
      <c r="AS110" s="27">
        <v>0</v>
      </c>
      <c r="AT110" s="51">
        <v>3585950.7055983343</v>
      </c>
      <c r="AV110" s="30">
        <v>246475.92640999108</v>
      </c>
      <c r="AW110" s="27">
        <v>-8874.2696574707516</v>
      </c>
      <c r="AX110" s="27">
        <v>246475.92640999108</v>
      </c>
      <c r="AY110" s="51">
        <v>3594824.9752558051</v>
      </c>
      <c r="BA110" s="30">
        <v>0</v>
      </c>
      <c r="BB110" s="27">
        <v>0</v>
      </c>
      <c r="BC110" s="27">
        <v>0</v>
      </c>
      <c r="BD110" s="51">
        <v>3594824.9752558051</v>
      </c>
      <c r="BF110" s="30">
        <v>264077.43640000001</v>
      </c>
      <c r="BG110" s="27">
        <v>264077.43640000001</v>
      </c>
      <c r="BH110" s="27">
        <v>0</v>
      </c>
      <c r="BI110" s="51">
        <v>3330747.5388558051</v>
      </c>
      <c r="BK110" s="30">
        <v>0</v>
      </c>
      <c r="BL110" s="27">
        <v>0</v>
      </c>
      <c r="BM110" s="27">
        <v>0</v>
      </c>
      <c r="BN110" s="51">
        <v>3330747.5388558051</v>
      </c>
      <c r="BP110" s="30">
        <v>3330747.5388558051</v>
      </c>
      <c r="BQ110" s="20">
        <v>142624353.4931688</v>
      </c>
      <c r="BR110" s="51">
        <v>0</v>
      </c>
      <c r="BT110" s="30">
        <v>0</v>
      </c>
      <c r="BU110" s="51">
        <v>305156.75746833184</v>
      </c>
      <c r="BW110" s="221">
        <v>0</v>
      </c>
      <c r="BX110" s="222">
        <v>264077.43640000001</v>
      </c>
    </row>
    <row r="111" spans="6:76" x14ac:dyDescent="0.2">
      <c r="F111" s="151">
        <v>107</v>
      </c>
      <c r="G111" s="30">
        <v>2594324.15</v>
      </c>
      <c r="H111" s="28">
        <v>0</v>
      </c>
      <c r="I111" s="28">
        <v>7131820.6125098141</v>
      </c>
      <c r="J111" s="28">
        <v>0</v>
      </c>
      <c r="K111" s="28">
        <v>7131820.6124999998</v>
      </c>
      <c r="L111" s="28">
        <v>0</v>
      </c>
      <c r="M111" s="27">
        <v>246886.71962067441</v>
      </c>
      <c r="N111" s="27">
        <v>380633.33333333331</v>
      </c>
      <c r="O111" s="51">
        <v>3221844.2029540078</v>
      </c>
      <c r="P111" s="5"/>
      <c r="Q111" s="30">
        <v>31666.666666666668</v>
      </c>
      <c r="R111" s="27">
        <v>31666.666666666668</v>
      </c>
      <c r="S111" s="27">
        <v>0</v>
      </c>
      <c r="T111" s="51">
        <v>3190177.5362873413</v>
      </c>
      <c r="U111" s="5"/>
      <c r="V111" s="30">
        <v>0</v>
      </c>
      <c r="W111" s="51">
        <v>2809544.2029540078</v>
      </c>
      <c r="Y111" s="30">
        <v>457158.94592422206</v>
      </c>
      <c r="Z111" s="27">
        <v>457158.94592422206</v>
      </c>
      <c r="AA111" s="27">
        <v>0</v>
      </c>
      <c r="AB111" s="51">
        <v>3532527.4433248644</v>
      </c>
      <c r="AD111" s="30">
        <v>96436169.241710901</v>
      </c>
      <c r="AE111" s="27">
        <v>132872.22168079135</v>
      </c>
      <c r="AF111" s="27">
        <v>96303297.020030111</v>
      </c>
      <c r="AG111" s="51">
        <v>3399655.2216440728</v>
      </c>
      <c r="AI111" s="30">
        <v>0</v>
      </c>
      <c r="AJ111" s="51">
        <v>2522994.103470007</v>
      </c>
      <c r="AL111" s="43">
        <v>380000</v>
      </c>
      <c r="AM111" s="52">
        <v>-633.33333333331393</v>
      </c>
      <c r="AN111" s="53">
        <v>380000</v>
      </c>
      <c r="AO111" s="54">
        <v>2523627.4368033404</v>
      </c>
      <c r="AQ111" s="30">
        <v>0</v>
      </c>
      <c r="AR111" s="27">
        <v>0</v>
      </c>
      <c r="AS111" s="27">
        <v>0</v>
      </c>
      <c r="AT111" s="51">
        <v>2523627.4368033404</v>
      </c>
      <c r="AV111" s="30">
        <v>237980.27917995819</v>
      </c>
      <c r="AW111" s="27">
        <v>-8906.4404407162219</v>
      </c>
      <c r="AX111" s="27">
        <v>237980.27917995819</v>
      </c>
      <c r="AY111" s="51">
        <v>2532533.8772440567</v>
      </c>
      <c r="BA111" s="30">
        <v>0</v>
      </c>
      <c r="BB111" s="27">
        <v>0</v>
      </c>
      <c r="BC111" s="27">
        <v>0</v>
      </c>
      <c r="BD111" s="51">
        <v>2532533.8772440567</v>
      </c>
      <c r="BF111" s="30">
        <v>265523.03160000034</v>
      </c>
      <c r="BG111" s="27">
        <v>265523.03160000034</v>
      </c>
      <c r="BH111" s="27">
        <v>0</v>
      </c>
      <c r="BI111" s="51">
        <v>2267010.8456440563</v>
      </c>
      <c r="BK111" s="30">
        <v>0</v>
      </c>
      <c r="BL111" s="27">
        <v>0</v>
      </c>
      <c r="BM111" s="27">
        <v>0</v>
      </c>
      <c r="BN111" s="51">
        <v>2267010.8456440563</v>
      </c>
      <c r="BP111" s="30">
        <v>2267010.8456440563</v>
      </c>
      <c r="BQ111" s="20">
        <v>144891364.33881286</v>
      </c>
      <c r="BR111" s="51">
        <v>0</v>
      </c>
      <c r="BT111" s="30">
        <v>0</v>
      </c>
      <c r="BU111" s="51">
        <v>305186.41146332672</v>
      </c>
      <c r="BW111" s="221">
        <v>0</v>
      </c>
      <c r="BX111" s="222">
        <v>265523.03160000034</v>
      </c>
    </row>
    <row r="112" spans="6:76" x14ac:dyDescent="0.2">
      <c r="F112" s="151">
        <v>108</v>
      </c>
      <c r="G112" s="30">
        <v>2961683.08</v>
      </c>
      <c r="H112" s="28">
        <v>0</v>
      </c>
      <c r="I112" s="28">
        <v>6864844.0724809039</v>
      </c>
      <c r="J112" s="28">
        <v>0</v>
      </c>
      <c r="K112" s="28">
        <v>6864844.0724999998</v>
      </c>
      <c r="L112" s="28">
        <v>0</v>
      </c>
      <c r="M112" s="27">
        <v>238376.91297859146</v>
      </c>
      <c r="N112" s="27">
        <v>380633.33333333331</v>
      </c>
      <c r="O112" s="51">
        <v>3580693.326311925</v>
      </c>
      <c r="P112" s="5"/>
      <c r="Q112" s="30">
        <v>31666.666666666668</v>
      </c>
      <c r="R112" s="27">
        <v>31666.666666666668</v>
      </c>
      <c r="S112" s="27">
        <v>0</v>
      </c>
      <c r="T112" s="51">
        <v>3549026.6596452584</v>
      </c>
      <c r="U112" s="5"/>
      <c r="V112" s="30">
        <v>0</v>
      </c>
      <c r="W112" s="51">
        <v>3168393.326311925</v>
      </c>
      <c r="Y112" s="30">
        <v>404356.78255187167</v>
      </c>
      <c r="Z112" s="27">
        <v>404356.78255187167</v>
      </c>
      <c r="AA112" s="27">
        <v>0</v>
      </c>
      <c r="AB112" s="51">
        <v>3340812.0258968836</v>
      </c>
      <c r="AD112" s="30">
        <v>99830412.761660993</v>
      </c>
      <c r="AE112" s="27">
        <v>132872.22168079135</v>
      </c>
      <c r="AF112" s="27">
        <v>99697540.539980203</v>
      </c>
      <c r="AG112" s="51">
        <v>3207939.8042160925</v>
      </c>
      <c r="AI112" s="30">
        <v>0</v>
      </c>
      <c r="AJ112" s="51">
        <v>2891776.7257265123</v>
      </c>
      <c r="AL112" s="43">
        <v>380000</v>
      </c>
      <c r="AM112" s="52">
        <v>-633.33333333331393</v>
      </c>
      <c r="AN112" s="53">
        <v>380000</v>
      </c>
      <c r="AO112" s="54">
        <v>2892410.0590598457</v>
      </c>
      <c r="AQ112" s="30">
        <v>0</v>
      </c>
      <c r="AR112" s="27">
        <v>0</v>
      </c>
      <c r="AS112" s="27">
        <v>0</v>
      </c>
      <c r="AT112" s="51">
        <v>2892410.0590598457</v>
      </c>
      <c r="AV112" s="30">
        <v>229438.12564092723</v>
      </c>
      <c r="AW112" s="27">
        <v>-8938.7873376642237</v>
      </c>
      <c r="AX112" s="27">
        <v>229438.12564092723</v>
      </c>
      <c r="AY112" s="51">
        <v>2901348.8463975098</v>
      </c>
      <c r="BA112" s="30">
        <v>0</v>
      </c>
      <c r="BB112" s="27">
        <v>0</v>
      </c>
      <c r="BC112" s="27">
        <v>0</v>
      </c>
      <c r="BD112" s="51">
        <v>2901348.8463975098</v>
      </c>
      <c r="BF112" s="30">
        <v>266976.54000000004</v>
      </c>
      <c r="BG112" s="27">
        <v>266976.54000000004</v>
      </c>
      <c r="BH112" s="27">
        <v>0</v>
      </c>
      <c r="BI112" s="51">
        <v>2634372.3063975098</v>
      </c>
      <c r="BK112" s="30">
        <v>0</v>
      </c>
      <c r="BL112" s="27">
        <v>0</v>
      </c>
      <c r="BM112" s="27">
        <v>0</v>
      </c>
      <c r="BN112" s="51">
        <v>2634372.3063975098</v>
      </c>
      <c r="BP112" s="30">
        <v>2634372.3063975098</v>
      </c>
      <c r="BQ112" s="20">
        <v>147525736.64521036</v>
      </c>
      <c r="BR112" s="51">
        <v>0</v>
      </c>
      <c r="BT112" s="30">
        <v>0</v>
      </c>
      <c r="BU112" s="51">
        <v>305216.22760682122</v>
      </c>
      <c r="BW112" s="221">
        <v>0</v>
      </c>
      <c r="BX112" s="222">
        <v>266976.54000000004</v>
      </c>
    </row>
    <row r="113" spans="6:76" x14ac:dyDescent="0.2">
      <c r="F113" s="151">
        <v>109</v>
      </c>
      <c r="G113" s="30">
        <v>2435079.14</v>
      </c>
      <c r="H113" s="28">
        <v>0</v>
      </c>
      <c r="I113" s="28">
        <v>6596406.0672794683</v>
      </c>
      <c r="J113" s="28">
        <v>0</v>
      </c>
      <c r="K113" s="28">
        <v>6596406.0673000002</v>
      </c>
      <c r="L113" s="28">
        <v>0</v>
      </c>
      <c r="M113" s="27">
        <v>229820.52251699544</v>
      </c>
      <c r="N113" s="27">
        <v>380633.33333333331</v>
      </c>
      <c r="O113" s="51">
        <v>3045532.9958503288</v>
      </c>
      <c r="P113" s="5"/>
      <c r="Q113" s="30">
        <v>31666.666666666668</v>
      </c>
      <c r="R113" s="27">
        <v>31666.666666666668</v>
      </c>
      <c r="S113" s="27">
        <v>0</v>
      </c>
      <c r="T113" s="51">
        <v>3013866.3291836623</v>
      </c>
      <c r="U113" s="5"/>
      <c r="V113" s="30">
        <v>0</v>
      </c>
      <c r="W113" s="51">
        <v>2633232.9958503288</v>
      </c>
      <c r="Y113" s="30">
        <v>354532.27077418362</v>
      </c>
      <c r="Z113" s="27">
        <v>354532.27077418362</v>
      </c>
      <c r="AA113" s="27">
        <v>0</v>
      </c>
      <c r="AB113" s="51">
        <v>2117249.2040864755</v>
      </c>
      <c r="AD113" s="30">
        <v>103320422.36157733</v>
      </c>
      <c r="AE113" s="27">
        <v>132872.22168079135</v>
      </c>
      <c r="AF113" s="27">
        <v>103187550.13989654</v>
      </c>
      <c r="AG113" s="51">
        <v>1984376.9824056842</v>
      </c>
      <c r="AI113" s="30">
        <v>0</v>
      </c>
      <c r="AJ113" s="51">
        <v>2366604.2714638365</v>
      </c>
      <c r="AL113" s="43">
        <v>380000</v>
      </c>
      <c r="AM113" s="52">
        <v>-633.33333333331393</v>
      </c>
      <c r="AN113" s="53">
        <v>380000</v>
      </c>
      <c r="AO113" s="54">
        <v>2367237.60479717</v>
      </c>
      <c r="AQ113" s="30">
        <v>0</v>
      </c>
      <c r="AR113" s="27">
        <v>0</v>
      </c>
      <c r="AS113" s="27">
        <v>0</v>
      </c>
      <c r="AT113" s="51">
        <v>2367237.60479717</v>
      </c>
      <c r="AV113" s="30">
        <v>220849.21121698074</v>
      </c>
      <c r="AW113" s="27">
        <v>-8971.3113000146986</v>
      </c>
      <c r="AX113" s="27">
        <v>220849.21121698074</v>
      </c>
      <c r="AY113" s="51">
        <v>2376208.9160971846</v>
      </c>
      <c r="BA113" s="30">
        <v>0</v>
      </c>
      <c r="BB113" s="27">
        <v>0</v>
      </c>
      <c r="BC113" s="27">
        <v>0</v>
      </c>
      <c r="BD113" s="51">
        <v>2376208.9160971846</v>
      </c>
      <c r="BF113" s="30">
        <v>268438.00519999955</v>
      </c>
      <c r="BG113" s="27">
        <v>268438.00519999955</v>
      </c>
      <c r="BH113" s="27">
        <v>0</v>
      </c>
      <c r="BI113" s="51">
        <v>2107770.9108971851</v>
      </c>
      <c r="BK113" s="30">
        <v>0</v>
      </c>
      <c r="BL113" s="27">
        <v>0</v>
      </c>
      <c r="BM113" s="27">
        <v>0</v>
      </c>
      <c r="BN113" s="51">
        <v>2107770.9108971851</v>
      </c>
      <c r="BP113" s="30">
        <v>2107770.9108971851</v>
      </c>
      <c r="BQ113" s="20">
        <v>149633507.55610755</v>
      </c>
      <c r="BR113" s="51">
        <v>0</v>
      </c>
      <c r="BT113" s="30">
        <v>0</v>
      </c>
      <c r="BU113" s="51">
        <v>305246.20706949633</v>
      </c>
      <c r="BW113" s="221">
        <v>0</v>
      </c>
      <c r="BX113" s="222">
        <v>268438.00519999955</v>
      </c>
    </row>
    <row r="114" spans="6:76" x14ac:dyDescent="0.2">
      <c r="F114" s="151">
        <v>110</v>
      </c>
      <c r="G114" s="30">
        <v>3030870.53</v>
      </c>
      <c r="H114" s="28">
        <v>0</v>
      </c>
      <c r="I114" s="28">
        <v>6326498.5966503238</v>
      </c>
      <c r="J114" s="28">
        <v>0</v>
      </c>
      <c r="K114" s="28">
        <v>6326498.5966999996</v>
      </c>
      <c r="L114" s="28">
        <v>0</v>
      </c>
      <c r="M114" s="27">
        <v>221217.29323567569</v>
      </c>
      <c r="N114" s="27">
        <v>380633.33333333331</v>
      </c>
      <c r="O114" s="51">
        <v>3632721.1565690087</v>
      </c>
      <c r="P114" s="5"/>
      <c r="Q114" s="30">
        <v>31666.666666666668</v>
      </c>
      <c r="R114" s="27">
        <v>31666.666666666668</v>
      </c>
      <c r="S114" s="27">
        <v>0</v>
      </c>
      <c r="T114" s="51">
        <v>3601054.4899023422</v>
      </c>
      <c r="U114" s="5"/>
      <c r="V114" s="30">
        <v>0</v>
      </c>
      <c r="W114" s="51">
        <v>3220421.1565690087</v>
      </c>
      <c r="Y114" s="30">
        <v>323711.67551198369</v>
      </c>
      <c r="Z114" s="27">
        <v>323711.67551198369</v>
      </c>
      <c r="AA114" s="27">
        <v>0</v>
      </c>
      <c r="AB114" s="51">
        <v>2916617.4089119588</v>
      </c>
      <c r="AD114" s="30">
        <v>106908900.01084372</v>
      </c>
      <c r="AE114" s="27">
        <v>132872.22168079135</v>
      </c>
      <c r="AF114" s="27">
        <v>106776027.78916293</v>
      </c>
      <c r="AG114" s="51">
        <v>2783745.1872311672</v>
      </c>
      <c r="AI114" s="30">
        <v>0</v>
      </c>
      <c r="AJ114" s="51">
        <v>2963834.9833450755</v>
      </c>
      <c r="AL114" s="43">
        <v>380000</v>
      </c>
      <c r="AM114" s="52">
        <v>-633.33333333331393</v>
      </c>
      <c r="AN114" s="53">
        <v>380000</v>
      </c>
      <c r="AO114" s="54">
        <v>2964468.316678409</v>
      </c>
      <c r="AQ114" s="30">
        <v>0</v>
      </c>
      <c r="AR114" s="27">
        <v>0</v>
      </c>
      <c r="AS114" s="27">
        <v>0</v>
      </c>
      <c r="AT114" s="51">
        <v>2964468.316678409</v>
      </c>
      <c r="AV114" s="30">
        <v>212213.27992954367</v>
      </c>
      <c r="AW114" s="27">
        <v>-9004.013306132023</v>
      </c>
      <c r="AX114" s="27">
        <v>212213.27992954367</v>
      </c>
      <c r="AY114" s="51">
        <v>2973472.3299845411</v>
      </c>
      <c r="BA114" s="30">
        <v>0</v>
      </c>
      <c r="BB114" s="27">
        <v>0</v>
      </c>
      <c r="BC114" s="27">
        <v>0</v>
      </c>
      <c r="BD114" s="51">
        <v>2973472.3299845411</v>
      </c>
      <c r="BF114" s="30">
        <v>269907.47060000058</v>
      </c>
      <c r="BG114" s="27">
        <v>269907.47060000058</v>
      </c>
      <c r="BH114" s="27">
        <v>0</v>
      </c>
      <c r="BI114" s="51">
        <v>2703564.8593845405</v>
      </c>
      <c r="BK114" s="30">
        <v>0</v>
      </c>
      <c r="BL114" s="27">
        <v>0</v>
      </c>
      <c r="BM114" s="27">
        <v>0</v>
      </c>
      <c r="BN114" s="51">
        <v>2703564.8593845405</v>
      </c>
      <c r="BP114" s="30">
        <v>2703564.8593845405</v>
      </c>
      <c r="BQ114" s="20">
        <v>152337072.41549209</v>
      </c>
      <c r="BR114" s="51">
        <v>0</v>
      </c>
      <c r="BT114" s="30">
        <v>0</v>
      </c>
      <c r="BU114" s="51">
        <v>305276.35058825789</v>
      </c>
      <c r="BW114" s="221">
        <v>0</v>
      </c>
      <c r="BX114" s="222">
        <v>269907.47060000058</v>
      </c>
    </row>
    <row r="115" spans="6:76" x14ac:dyDescent="0.2">
      <c r="F115" s="151">
        <v>111</v>
      </c>
      <c r="G115" s="30">
        <v>2336274.35</v>
      </c>
      <c r="H115" s="28">
        <v>0</v>
      </c>
      <c r="I115" s="28">
        <v>6055113.6165438155</v>
      </c>
      <c r="J115" s="28">
        <v>0</v>
      </c>
      <c r="K115" s="28">
        <v>6055113.6164999995</v>
      </c>
      <c r="L115" s="28">
        <v>0</v>
      </c>
      <c r="M115" s="27">
        <v>212566.96872942624</v>
      </c>
      <c r="N115" s="27">
        <v>380633.33333333331</v>
      </c>
      <c r="O115" s="51">
        <v>2929474.6520627597</v>
      </c>
      <c r="P115" s="5"/>
      <c r="Q115" s="30">
        <v>31666.666666666668</v>
      </c>
      <c r="R115" s="27">
        <v>31666.666666666668</v>
      </c>
      <c r="S115" s="27">
        <v>0</v>
      </c>
      <c r="T115" s="51">
        <v>2897807.9853960932</v>
      </c>
      <c r="U115" s="5"/>
      <c r="V115" s="30">
        <v>0</v>
      </c>
      <c r="W115" s="51">
        <v>2517174.6520627597</v>
      </c>
      <c r="Y115" s="30">
        <v>280475.59462137771</v>
      </c>
      <c r="Z115" s="27">
        <v>280475.59462137771</v>
      </c>
      <c r="AA115" s="27">
        <v>0</v>
      </c>
      <c r="AB115" s="51">
        <v>3057838.746843521</v>
      </c>
      <c r="AD115" s="30">
        <v>110598623.91291928</v>
      </c>
      <c r="AE115" s="27">
        <v>132872.22168079135</v>
      </c>
      <c r="AF115" s="27">
        <v>110465751.69123849</v>
      </c>
      <c r="AG115" s="51">
        <v>2924966.5251627294</v>
      </c>
      <c r="AI115" s="30">
        <v>0</v>
      </c>
      <c r="AJ115" s="51">
        <v>2270686.0042660306</v>
      </c>
      <c r="AL115" s="43">
        <v>380000</v>
      </c>
      <c r="AM115" s="52">
        <v>-633.33333333331393</v>
      </c>
      <c r="AN115" s="53">
        <v>380000</v>
      </c>
      <c r="AO115" s="54">
        <v>2271319.3375993641</v>
      </c>
      <c r="AQ115" s="30">
        <v>0</v>
      </c>
      <c r="AR115" s="27">
        <v>0</v>
      </c>
      <c r="AS115" s="27">
        <v>0</v>
      </c>
      <c r="AT115" s="51">
        <v>2271319.3375993641</v>
      </c>
      <c r="AV115" s="30">
        <v>203530.0744038175</v>
      </c>
      <c r="AW115" s="27">
        <v>-9036.8943256087368</v>
      </c>
      <c r="AX115" s="27">
        <v>203530.0744038175</v>
      </c>
      <c r="AY115" s="51">
        <v>2280356.231924973</v>
      </c>
      <c r="BA115" s="30">
        <v>0</v>
      </c>
      <c r="BB115" s="27">
        <v>0</v>
      </c>
      <c r="BC115" s="27">
        <v>0</v>
      </c>
      <c r="BD115" s="51">
        <v>2280356.231924973</v>
      </c>
      <c r="BF115" s="30">
        <v>271384.98020000011</v>
      </c>
      <c r="BG115" s="27">
        <v>271384.98020000011</v>
      </c>
      <c r="BH115" s="27">
        <v>0</v>
      </c>
      <c r="BI115" s="51">
        <v>2008971.2517249729</v>
      </c>
      <c r="BK115" s="30">
        <v>0</v>
      </c>
      <c r="BL115" s="27">
        <v>0</v>
      </c>
      <c r="BM115" s="27">
        <v>0</v>
      </c>
      <c r="BN115" s="51">
        <v>2008971.2517249729</v>
      </c>
      <c r="BP115" s="30">
        <v>2008971.2517249729</v>
      </c>
      <c r="BQ115" s="20">
        <v>154346043.66721705</v>
      </c>
      <c r="BR115" s="51">
        <v>0</v>
      </c>
      <c r="BT115" s="30">
        <v>0</v>
      </c>
      <c r="BU115" s="51">
        <v>305306.65926730301</v>
      </c>
      <c r="BW115" s="221">
        <v>0</v>
      </c>
      <c r="BX115" s="222">
        <v>271384.98020000011</v>
      </c>
    </row>
    <row r="116" spans="6:76" x14ac:dyDescent="0.2">
      <c r="F116" s="151">
        <v>112</v>
      </c>
      <c r="G116" s="30">
        <v>2390159.21</v>
      </c>
      <c r="H116" s="28">
        <v>0</v>
      </c>
      <c r="I116" s="28">
        <v>5782243.0388760762</v>
      </c>
      <c r="J116" s="28">
        <v>0</v>
      </c>
      <c r="K116" s="28">
        <v>5782243.0389</v>
      </c>
      <c r="L116" s="28">
        <v>0</v>
      </c>
      <c r="M116" s="27">
        <v>203869.29119449054</v>
      </c>
      <c r="N116" s="27">
        <v>380633.33333333331</v>
      </c>
      <c r="O116" s="51">
        <v>2974661.8345278236</v>
      </c>
      <c r="P116" s="5"/>
      <c r="Q116" s="30">
        <v>31666.666666666668</v>
      </c>
      <c r="R116" s="27">
        <v>31666.666666666668</v>
      </c>
      <c r="S116" s="27">
        <v>0</v>
      </c>
      <c r="T116" s="51">
        <v>2942995.1678611571</v>
      </c>
      <c r="U116" s="5"/>
      <c r="V116" s="30">
        <v>0</v>
      </c>
      <c r="W116" s="51">
        <v>2562361.8345278236</v>
      </c>
      <c r="Y116" s="30">
        <v>235046.11714465613</v>
      </c>
      <c r="Z116" s="27">
        <v>235046.11714465613</v>
      </c>
      <c r="AA116" s="27">
        <v>0</v>
      </c>
      <c r="AB116" s="51">
        <v>3429734.3777455371</v>
      </c>
      <c r="AD116" s="30">
        <v>114392450.65622668</v>
      </c>
      <c r="AE116" s="27">
        <v>132872.22168079135</v>
      </c>
      <c r="AF116" s="27">
        <v>114259578.43454589</v>
      </c>
      <c r="AG116" s="51">
        <v>3296862.156064746</v>
      </c>
      <c r="AI116" s="30">
        <v>0</v>
      </c>
      <c r="AJ116" s="51">
        <v>2326025.9873584202</v>
      </c>
      <c r="AL116" s="43">
        <v>380000</v>
      </c>
      <c r="AM116" s="52">
        <v>-633.33333333331393</v>
      </c>
      <c r="AN116" s="53">
        <v>380000</v>
      </c>
      <c r="AO116" s="54">
        <v>2326659.3206917536</v>
      </c>
      <c r="AQ116" s="30">
        <v>0</v>
      </c>
      <c r="AR116" s="27">
        <v>0</v>
      </c>
      <c r="AS116" s="27">
        <v>0</v>
      </c>
      <c r="AT116" s="51">
        <v>2326659.3206917536</v>
      </c>
      <c r="AV116" s="30">
        <v>194799.33584947782</v>
      </c>
      <c r="AW116" s="27">
        <v>-9069.9553450127132</v>
      </c>
      <c r="AX116" s="27">
        <v>194799.33584947782</v>
      </c>
      <c r="AY116" s="51">
        <v>2335729.2760367664</v>
      </c>
      <c r="BA116" s="30">
        <v>0</v>
      </c>
      <c r="BB116" s="27">
        <v>0</v>
      </c>
      <c r="BC116" s="27">
        <v>0</v>
      </c>
      <c r="BD116" s="51">
        <v>2335729.2760367664</v>
      </c>
      <c r="BF116" s="30">
        <v>272870.57759999949</v>
      </c>
      <c r="BG116" s="27">
        <v>272870.57759999949</v>
      </c>
      <c r="BH116" s="27">
        <v>0</v>
      </c>
      <c r="BI116" s="51">
        <v>2062858.6984367669</v>
      </c>
      <c r="BK116" s="30">
        <v>0</v>
      </c>
      <c r="BL116" s="27">
        <v>0</v>
      </c>
      <c r="BM116" s="27">
        <v>0</v>
      </c>
      <c r="BN116" s="51">
        <v>2062858.6984367669</v>
      </c>
      <c r="BP116" s="30">
        <v>2062858.6984367669</v>
      </c>
      <c r="BQ116" s="20">
        <v>156408902.36565381</v>
      </c>
      <c r="BR116" s="51">
        <v>0</v>
      </c>
      <c r="BT116" s="30">
        <v>0</v>
      </c>
      <c r="BU116" s="51">
        <v>305337.13357491244</v>
      </c>
      <c r="BW116" s="221">
        <v>0</v>
      </c>
      <c r="BX116" s="222">
        <v>272870.57759999949</v>
      </c>
    </row>
    <row r="117" spans="6:76" x14ac:dyDescent="0.2">
      <c r="F117" s="151">
        <v>113</v>
      </c>
      <c r="G117" s="30">
        <v>2371331.63</v>
      </c>
      <c r="H117" s="28">
        <v>0</v>
      </c>
      <c r="I117" s="28">
        <v>5507878.731288014</v>
      </c>
      <c r="J117" s="28">
        <v>0</v>
      </c>
      <c r="K117" s="28">
        <v>5507878.7313000001</v>
      </c>
      <c r="L117" s="28">
        <v>0</v>
      </c>
      <c r="M117" s="27">
        <v>195124.00140922694</v>
      </c>
      <c r="N117" s="27">
        <v>380633.33333333331</v>
      </c>
      <c r="O117" s="51">
        <v>2947088.9647425599</v>
      </c>
      <c r="P117" s="5"/>
      <c r="Q117" s="30">
        <v>31666.666666666668</v>
      </c>
      <c r="R117" s="27">
        <v>31666.666666666668</v>
      </c>
      <c r="S117" s="27">
        <v>0</v>
      </c>
      <c r="T117" s="51">
        <v>2915422.2980758934</v>
      </c>
      <c r="U117" s="5"/>
      <c r="V117" s="30">
        <v>0</v>
      </c>
      <c r="W117" s="51">
        <v>2534788.9647425599</v>
      </c>
      <c r="Y117" s="30">
        <v>183840.49691812502</v>
      </c>
      <c r="Z117" s="27">
        <v>183840.49691812502</v>
      </c>
      <c r="AA117" s="27">
        <v>0</v>
      </c>
      <c r="AB117" s="51">
        <v>4891796.3145290194</v>
      </c>
      <c r="AD117" s="30">
        <v>118293317.42572613</v>
      </c>
      <c r="AE117" s="27">
        <v>132872.22168079135</v>
      </c>
      <c r="AF117" s="27">
        <v>118160445.20404534</v>
      </c>
      <c r="AG117" s="51">
        <v>4758924.0928482283</v>
      </c>
      <c r="AI117" s="30">
        <v>0</v>
      </c>
      <c r="AJ117" s="51">
        <v>2308661.4959877427</v>
      </c>
      <c r="AL117" s="43">
        <v>380000</v>
      </c>
      <c r="AM117" s="52">
        <v>-633.33333333331393</v>
      </c>
      <c r="AN117" s="53">
        <v>380000</v>
      </c>
      <c r="AO117" s="54">
        <v>2309294.8293210762</v>
      </c>
      <c r="AQ117" s="30">
        <v>0</v>
      </c>
      <c r="AR117" s="27">
        <v>0</v>
      </c>
      <c r="AS117" s="27">
        <v>0</v>
      </c>
      <c r="AT117" s="51">
        <v>2309294.8293210762</v>
      </c>
      <c r="AV117" s="30">
        <v>186020.80407354259</v>
      </c>
      <c r="AW117" s="27">
        <v>-9103.1973356843519</v>
      </c>
      <c r="AX117" s="27">
        <v>186020.80407354259</v>
      </c>
      <c r="AY117" s="51">
        <v>2318398.0266567604</v>
      </c>
      <c r="BA117" s="30">
        <v>0</v>
      </c>
      <c r="BB117" s="27">
        <v>0</v>
      </c>
      <c r="BC117" s="27">
        <v>0</v>
      </c>
      <c r="BD117" s="51">
        <v>2318398.0266567604</v>
      </c>
      <c r="BF117" s="30">
        <v>274364.30759999994</v>
      </c>
      <c r="BG117" s="27">
        <v>274364.30759999994</v>
      </c>
      <c r="BH117" s="27">
        <v>0</v>
      </c>
      <c r="BI117" s="51">
        <v>2044033.7190567604</v>
      </c>
      <c r="BK117" s="30">
        <v>0</v>
      </c>
      <c r="BL117" s="27">
        <v>0</v>
      </c>
      <c r="BM117" s="27">
        <v>0</v>
      </c>
      <c r="BN117" s="51">
        <v>2044033.7190567604</v>
      </c>
      <c r="BP117" s="30">
        <v>2044033.7190567604</v>
      </c>
      <c r="BQ117" s="20">
        <v>158452936.08471057</v>
      </c>
      <c r="BR117" s="51">
        <v>0</v>
      </c>
      <c r="BT117" s="30">
        <v>0</v>
      </c>
      <c r="BU117" s="51">
        <v>305367.77494559035</v>
      </c>
      <c r="BW117" s="221">
        <v>0</v>
      </c>
      <c r="BX117" s="222">
        <v>274364.30759999994</v>
      </c>
    </row>
    <row r="118" spans="6:76" x14ac:dyDescent="0.2">
      <c r="F118" s="151">
        <v>114</v>
      </c>
      <c r="G118" s="30">
        <v>2758543.53</v>
      </c>
      <c r="H118" s="28">
        <v>0</v>
      </c>
      <c r="I118" s="28">
        <v>5232012.5169028947</v>
      </c>
      <c r="J118" s="28">
        <v>0</v>
      </c>
      <c r="K118" s="28">
        <v>5232012.5169000002</v>
      </c>
      <c r="L118" s="28">
        <v>0</v>
      </c>
      <c r="M118" s="27">
        <v>186330.83874699849</v>
      </c>
      <c r="N118" s="27">
        <v>380633.33333333331</v>
      </c>
      <c r="O118" s="51">
        <v>3325507.7020803317</v>
      </c>
      <c r="P118" s="5"/>
      <c r="Q118" s="30">
        <v>31666.666666666668</v>
      </c>
      <c r="R118" s="27">
        <v>31666.666666666668</v>
      </c>
      <c r="S118" s="27">
        <v>0</v>
      </c>
      <c r="T118" s="51">
        <v>3293841.0354136652</v>
      </c>
      <c r="U118" s="5"/>
      <c r="V118" s="30">
        <v>0</v>
      </c>
      <c r="W118" s="51">
        <v>2913207.7020803317</v>
      </c>
      <c r="Y118" s="30">
        <v>109926.68182670331</v>
      </c>
      <c r="Z118" s="27">
        <v>109926.68182670331</v>
      </c>
      <c r="AA118" s="27">
        <v>0</v>
      </c>
      <c r="AB118" s="51">
        <v>2817767.9599319743</v>
      </c>
      <c r="AD118" s="30">
        <v>122304244.27688733</v>
      </c>
      <c r="AE118" s="27">
        <v>132872.22168079135</v>
      </c>
      <c r="AF118" s="27">
        <v>122171372.05520654</v>
      </c>
      <c r="AG118" s="51">
        <v>2684895.7382511832</v>
      </c>
      <c r="AI118" s="30">
        <v>0</v>
      </c>
      <c r="AJ118" s="51">
        <v>2697344.4937597057</v>
      </c>
      <c r="AL118" s="43">
        <v>380000</v>
      </c>
      <c r="AM118" s="52">
        <v>-633.33333333331393</v>
      </c>
      <c r="AN118" s="53">
        <v>380000</v>
      </c>
      <c r="AO118" s="54">
        <v>2697977.8270930392</v>
      </c>
      <c r="AQ118" s="30">
        <v>0</v>
      </c>
      <c r="AR118" s="27">
        <v>0</v>
      </c>
      <c r="AS118" s="27">
        <v>0</v>
      </c>
      <c r="AT118" s="51">
        <v>2697977.8270930392</v>
      </c>
      <c r="AV118" s="30">
        <v>177194.2174417669</v>
      </c>
      <c r="AW118" s="27">
        <v>-9136.621305231587</v>
      </c>
      <c r="AX118" s="27">
        <v>177194.2174417669</v>
      </c>
      <c r="AY118" s="51">
        <v>2707114.4483982706</v>
      </c>
      <c r="BA118" s="30">
        <v>0</v>
      </c>
      <c r="BB118" s="27">
        <v>0</v>
      </c>
      <c r="BC118" s="27">
        <v>0</v>
      </c>
      <c r="BD118" s="51">
        <v>2707114.4483982706</v>
      </c>
      <c r="BF118" s="30">
        <v>275866.21439999994</v>
      </c>
      <c r="BG118" s="27">
        <v>275866.21439999994</v>
      </c>
      <c r="BH118" s="27">
        <v>0</v>
      </c>
      <c r="BI118" s="51">
        <v>2431248.2339982707</v>
      </c>
      <c r="BK118" s="30">
        <v>0</v>
      </c>
      <c r="BL118" s="27">
        <v>0</v>
      </c>
      <c r="BM118" s="27">
        <v>0</v>
      </c>
      <c r="BN118" s="51">
        <v>2431248.2339982707</v>
      </c>
      <c r="BP118" s="30">
        <v>2431248.2339982707</v>
      </c>
      <c r="BQ118" s="20">
        <v>160884184.31870884</v>
      </c>
      <c r="BR118" s="51">
        <v>0</v>
      </c>
      <c r="BT118" s="30">
        <v>0</v>
      </c>
      <c r="BU118" s="51">
        <v>305398.58397362777</v>
      </c>
      <c r="BW118" s="221">
        <v>0</v>
      </c>
      <c r="BX118" s="222">
        <v>275866.21439999994</v>
      </c>
    </row>
    <row r="119" spans="6:76" x14ac:dyDescent="0.2">
      <c r="F119" s="151">
        <v>115</v>
      </c>
      <c r="G119" s="30">
        <v>2944236.2</v>
      </c>
      <c r="H119" s="28">
        <v>0</v>
      </c>
      <c r="I119" s="28">
        <v>4954636.1740826899</v>
      </c>
      <c r="J119" s="28">
        <v>0</v>
      </c>
      <c r="K119" s="28">
        <v>4954636.1741000004</v>
      </c>
      <c r="L119" s="28">
        <v>0</v>
      </c>
      <c r="M119" s="27">
        <v>177489.54113750317</v>
      </c>
      <c r="N119" s="27">
        <v>380633.33333333331</v>
      </c>
      <c r="O119" s="51">
        <v>3502359.0744708367</v>
      </c>
      <c r="P119" s="5"/>
      <c r="Q119" s="30">
        <v>31666.666666666668</v>
      </c>
      <c r="R119" s="27">
        <v>31666.666666666668</v>
      </c>
      <c r="S119" s="27">
        <v>0</v>
      </c>
      <c r="T119" s="51">
        <v>3470692.4078041702</v>
      </c>
      <c r="U119" s="5"/>
      <c r="V119" s="30">
        <v>0</v>
      </c>
      <c r="W119" s="51">
        <v>3090059.0744708367</v>
      </c>
      <c r="Y119" s="30">
        <v>68225.89331547686</v>
      </c>
      <c r="Z119" s="27">
        <v>68225.89331547686</v>
      </c>
      <c r="AA119" s="27">
        <v>0</v>
      </c>
      <c r="AB119" s="51">
        <v>3316730.8147589792</v>
      </c>
      <c r="AD119" s="30">
        <v>126428336.47381981</v>
      </c>
      <c r="AE119" s="27">
        <v>132872.22168079135</v>
      </c>
      <c r="AF119" s="27">
        <v>126295464.25213902</v>
      </c>
      <c r="AG119" s="51">
        <v>3183858.5930781877</v>
      </c>
      <c r="AI119" s="30">
        <v>0</v>
      </c>
      <c r="AJ119" s="51">
        <v>2884516.3145170095</v>
      </c>
      <c r="AL119" s="43">
        <v>380000</v>
      </c>
      <c r="AM119" s="52">
        <v>-633.33333333331393</v>
      </c>
      <c r="AN119" s="53">
        <v>380000</v>
      </c>
      <c r="AO119" s="54">
        <v>2885149.647850343</v>
      </c>
      <c r="AQ119" s="30">
        <v>0</v>
      </c>
      <c r="AR119" s="27">
        <v>0</v>
      </c>
      <c r="AS119" s="27">
        <v>0</v>
      </c>
      <c r="AT119" s="51">
        <v>2885149.647850343</v>
      </c>
      <c r="AV119" s="30">
        <v>168319.3128979457</v>
      </c>
      <c r="AW119" s="27">
        <v>-9170.228239557473</v>
      </c>
      <c r="AX119" s="27">
        <v>168319.3128979457</v>
      </c>
      <c r="AY119" s="51">
        <v>2894319.8760899007</v>
      </c>
      <c r="BA119" s="30">
        <v>0</v>
      </c>
      <c r="BB119" s="27">
        <v>0</v>
      </c>
      <c r="BC119" s="27">
        <v>0</v>
      </c>
      <c r="BD119" s="51">
        <v>2894319.8760899007</v>
      </c>
      <c r="BF119" s="30">
        <v>277376.34279999975</v>
      </c>
      <c r="BG119" s="27">
        <v>277376.34279999975</v>
      </c>
      <c r="BH119" s="27">
        <v>0</v>
      </c>
      <c r="BI119" s="51">
        <v>2616943.533289901</v>
      </c>
      <c r="BK119" s="30">
        <v>0</v>
      </c>
      <c r="BL119" s="27">
        <v>0</v>
      </c>
      <c r="BM119" s="27">
        <v>0</v>
      </c>
      <c r="BN119" s="51">
        <v>2616943.533289901</v>
      </c>
      <c r="BP119" s="30">
        <v>2616943.533289901</v>
      </c>
      <c r="BQ119" s="20">
        <v>163501127.85199875</v>
      </c>
      <c r="BR119" s="51">
        <v>0</v>
      </c>
      <c r="BT119" s="30">
        <v>0</v>
      </c>
      <c r="BU119" s="51">
        <v>305429.561616324</v>
      </c>
      <c r="BW119" s="221">
        <v>0</v>
      </c>
      <c r="BX119" s="222">
        <v>277376.34279999975</v>
      </c>
    </row>
    <row r="120" spans="6:76" x14ac:dyDescent="0.2">
      <c r="F120" s="151">
        <v>116</v>
      </c>
      <c r="G120" s="30">
        <v>3005597.37</v>
      </c>
      <c r="H120" s="28">
        <v>0</v>
      </c>
      <c r="I120" s="28">
        <v>4675741.4361830214</v>
      </c>
      <c r="J120" s="28">
        <v>0</v>
      </c>
      <c r="K120" s="28">
        <v>4675741.4362000003</v>
      </c>
      <c r="L120" s="28">
        <v>0</v>
      </c>
      <c r="M120" s="27">
        <v>168599.84508610895</v>
      </c>
      <c r="N120" s="27">
        <v>380633.33333333331</v>
      </c>
      <c r="O120" s="51">
        <v>3554830.5484194425</v>
      </c>
      <c r="P120" s="5"/>
      <c r="Q120" s="30">
        <v>31666.666666666668</v>
      </c>
      <c r="R120" s="27">
        <v>31666.666666666668</v>
      </c>
      <c r="S120" s="27">
        <v>0</v>
      </c>
      <c r="T120" s="51">
        <v>3523163.881752776</v>
      </c>
      <c r="U120" s="5"/>
      <c r="V120" s="30">
        <v>0</v>
      </c>
      <c r="W120" s="51">
        <v>3142530.5484194425</v>
      </c>
      <c r="Y120" s="30">
        <v>18775.401831556395</v>
      </c>
      <c r="Z120" s="27">
        <v>18775.401831556395</v>
      </c>
      <c r="AA120" s="27">
        <v>0</v>
      </c>
      <c r="AB120" s="51">
        <v>2709315.6755649862</v>
      </c>
      <c r="AD120" s="30">
        <v>130668786.89337192</v>
      </c>
      <c r="AE120" s="27">
        <v>132872.22168079135</v>
      </c>
      <c r="AF120" s="27">
        <v>130535914.67169113</v>
      </c>
      <c r="AG120" s="51">
        <v>2576443.4538841946</v>
      </c>
      <c r="AI120" s="30">
        <v>0</v>
      </c>
      <c r="AJ120" s="51">
        <v>2947364.732342565</v>
      </c>
      <c r="AL120" s="43">
        <v>380000</v>
      </c>
      <c r="AM120" s="52">
        <v>-633.33333333331393</v>
      </c>
      <c r="AN120" s="53">
        <v>380000</v>
      </c>
      <c r="AO120" s="54">
        <v>2947998.0656758985</v>
      </c>
      <c r="AQ120" s="30">
        <v>0</v>
      </c>
      <c r="AR120" s="27">
        <v>0</v>
      </c>
      <c r="AS120" s="27">
        <v>0</v>
      </c>
      <c r="AT120" s="51">
        <v>2947998.0656758985</v>
      </c>
      <c r="AV120" s="30">
        <v>159395.82594461099</v>
      </c>
      <c r="AW120" s="27">
        <v>-9204.0191414979636</v>
      </c>
      <c r="AX120" s="27">
        <v>159395.82594461099</v>
      </c>
      <c r="AY120" s="51">
        <v>2957202.0848173965</v>
      </c>
      <c r="BA120" s="30">
        <v>0</v>
      </c>
      <c r="BB120" s="27">
        <v>0</v>
      </c>
      <c r="BC120" s="27">
        <v>0</v>
      </c>
      <c r="BD120" s="51">
        <v>2957202.0848173965</v>
      </c>
      <c r="BF120" s="30">
        <v>278894.73790000007</v>
      </c>
      <c r="BG120" s="27">
        <v>278894.73790000007</v>
      </c>
      <c r="BH120" s="27">
        <v>0</v>
      </c>
      <c r="BI120" s="51">
        <v>2678307.3469173964</v>
      </c>
      <c r="BK120" s="30">
        <v>0</v>
      </c>
      <c r="BL120" s="27">
        <v>0</v>
      </c>
      <c r="BM120" s="27">
        <v>0</v>
      </c>
      <c r="BN120" s="51">
        <v>2678307.3469173964</v>
      </c>
      <c r="BP120" s="30">
        <v>2678307.3469173964</v>
      </c>
      <c r="BQ120" s="20">
        <v>166179435.19891614</v>
      </c>
      <c r="BR120" s="51">
        <v>0</v>
      </c>
      <c r="BT120" s="30">
        <v>0</v>
      </c>
      <c r="BU120" s="51">
        <v>305460.70889076858</v>
      </c>
      <c r="BW120" s="221">
        <v>0</v>
      </c>
      <c r="BX120" s="222">
        <v>278894.73790000007</v>
      </c>
    </row>
    <row r="121" spans="6:76" x14ac:dyDescent="0.2">
      <c r="F121" s="151">
        <v>117</v>
      </c>
      <c r="G121" s="30">
        <v>2845324.5</v>
      </c>
      <c r="H121" s="28">
        <v>0</v>
      </c>
      <c r="I121" s="28">
        <v>4395319.9913067902</v>
      </c>
      <c r="J121" s="28">
        <v>0</v>
      </c>
      <c r="K121" s="28">
        <v>4395319.9912999999</v>
      </c>
      <c r="L121" s="28">
        <v>0</v>
      </c>
      <c r="M121" s="27">
        <v>159661.48565451868</v>
      </c>
      <c r="N121" s="27">
        <v>380633.33333333331</v>
      </c>
      <c r="O121" s="51">
        <v>3385619.318987852</v>
      </c>
      <c r="P121" s="5"/>
      <c r="Q121" s="30">
        <v>31666.666666666668</v>
      </c>
      <c r="R121" s="27">
        <v>31666.666666666668</v>
      </c>
      <c r="S121" s="27">
        <v>0</v>
      </c>
      <c r="T121" s="51">
        <v>3353952.6523211855</v>
      </c>
      <c r="U121" s="5"/>
      <c r="V121" s="30">
        <v>0</v>
      </c>
      <c r="W121" s="51">
        <v>2973319.318987852</v>
      </c>
      <c r="Y121" s="30">
        <v>0</v>
      </c>
      <c r="Z121" s="27">
        <v>0</v>
      </c>
      <c r="AA121" s="27">
        <v>0</v>
      </c>
      <c r="AB121" s="51">
        <v>2850900.4590054909</v>
      </c>
      <c r="AD121" s="30">
        <v>134990292.8541913</v>
      </c>
      <c r="AE121" s="27">
        <v>132872.22168079135</v>
      </c>
      <c r="AF121" s="27">
        <v>134857420.63251051</v>
      </c>
      <c r="AG121" s="51">
        <v>2718028.2373246998</v>
      </c>
      <c r="AI121" s="30">
        <v>0</v>
      </c>
      <c r="AJ121" s="51">
        <v>2788587.2515611034</v>
      </c>
      <c r="AL121" s="43">
        <v>380000</v>
      </c>
      <c r="AM121" s="52">
        <v>-633.33333333331393</v>
      </c>
      <c r="AN121" s="53">
        <v>380000</v>
      </c>
      <c r="AO121" s="54">
        <v>2789220.5848944369</v>
      </c>
      <c r="AQ121" s="30">
        <v>0</v>
      </c>
      <c r="AR121" s="27">
        <v>0</v>
      </c>
      <c r="AS121" s="27">
        <v>0</v>
      </c>
      <c r="AT121" s="51">
        <v>2789220.5848944369</v>
      </c>
      <c r="AV121" s="30">
        <v>150423.49063338072</v>
      </c>
      <c r="AW121" s="27">
        <v>-9237.9950211379619</v>
      </c>
      <c r="AX121" s="27">
        <v>150423.49063338072</v>
      </c>
      <c r="AY121" s="51">
        <v>2798458.5799155748</v>
      </c>
      <c r="BA121" s="30">
        <v>0</v>
      </c>
      <c r="BB121" s="27">
        <v>0</v>
      </c>
      <c r="BC121" s="27">
        <v>0</v>
      </c>
      <c r="BD121" s="51">
        <v>2798458.5799155748</v>
      </c>
      <c r="BF121" s="30">
        <v>280421.44490000047</v>
      </c>
      <c r="BG121" s="27">
        <v>280421.44490000047</v>
      </c>
      <c r="BH121" s="27">
        <v>0</v>
      </c>
      <c r="BI121" s="51">
        <v>2518037.1350155743</v>
      </c>
      <c r="BK121" s="30">
        <v>0</v>
      </c>
      <c r="BL121" s="27">
        <v>0</v>
      </c>
      <c r="BM121" s="27">
        <v>0</v>
      </c>
      <c r="BN121" s="51">
        <v>2518037.1350155743</v>
      </c>
      <c r="BP121" s="30">
        <v>2518037.1350155743</v>
      </c>
      <c r="BQ121" s="20">
        <v>168697472.33393171</v>
      </c>
      <c r="BR121" s="51">
        <v>0</v>
      </c>
      <c r="BT121" s="30">
        <v>0</v>
      </c>
      <c r="BU121" s="51">
        <v>305492.02667223057</v>
      </c>
      <c r="BW121" s="221">
        <v>0</v>
      </c>
      <c r="BX121" s="222">
        <v>280421.44490000047</v>
      </c>
    </row>
    <row r="122" spans="6:76" x14ac:dyDescent="0.2">
      <c r="F122" s="151">
        <v>118</v>
      </c>
      <c r="G122" s="30">
        <v>2593636.09</v>
      </c>
      <c r="H122" s="28">
        <v>0</v>
      </c>
      <c r="I122" s="28">
        <v>4113363.4820564743</v>
      </c>
      <c r="J122" s="28">
        <v>0</v>
      </c>
      <c r="K122" s="28">
        <v>4113363.4821000001</v>
      </c>
      <c r="L122" s="28">
        <v>0</v>
      </c>
      <c r="M122" s="27">
        <v>150674.19645110302</v>
      </c>
      <c r="N122" s="27">
        <v>380633.33333333331</v>
      </c>
      <c r="O122" s="51">
        <v>3124943.6197844362</v>
      </c>
      <c r="P122" s="5"/>
      <c r="Q122" s="30">
        <v>31666.666666666668</v>
      </c>
      <c r="R122" s="27">
        <v>31666.666666666668</v>
      </c>
      <c r="S122" s="27">
        <v>0</v>
      </c>
      <c r="T122" s="51">
        <v>3093276.9531177697</v>
      </c>
      <c r="U122" s="5"/>
      <c r="V122" s="30">
        <v>0</v>
      </c>
      <c r="W122" s="51">
        <v>2712643.6197844362</v>
      </c>
      <c r="Y122" s="30">
        <v>0</v>
      </c>
      <c r="Z122" s="27">
        <v>0</v>
      </c>
      <c r="AA122" s="27">
        <v>0</v>
      </c>
      <c r="AB122" s="51">
        <v>4150608.3926718924</v>
      </c>
      <c r="AD122" s="30">
        <v>139357039.75750339</v>
      </c>
      <c r="AE122" s="27">
        <v>132872.22168079135</v>
      </c>
      <c r="AF122" s="27">
        <v>139224167.5358226</v>
      </c>
      <c r="AG122" s="51">
        <v>4017736.1709911013</v>
      </c>
      <c r="AI122" s="30">
        <v>0</v>
      </c>
      <c r="AJ122" s="51">
        <v>2538402.4167397097</v>
      </c>
      <c r="AL122" s="43">
        <v>380000</v>
      </c>
      <c r="AM122" s="52">
        <v>-633.33333333331393</v>
      </c>
      <c r="AN122" s="53">
        <v>380000</v>
      </c>
      <c r="AO122" s="54">
        <v>2539035.7500730432</v>
      </c>
      <c r="AQ122" s="30">
        <v>0</v>
      </c>
      <c r="AR122" s="27">
        <v>0</v>
      </c>
      <c r="AS122" s="27">
        <v>0</v>
      </c>
      <c r="AT122" s="51">
        <v>2539035.7500730432</v>
      </c>
      <c r="AV122" s="30">
        <v>141402.03956174152</v>
      </c>
      <c r="AW122" s="27">
        <v>-9272.156889361504</v>
      </c>
      <c r="AX122" s="27">
        <v>141402.03956174152</v>
      </c>
      <c r="AY122" s="51">
        <v>2548307.9069624045</v>
      </c>
      <c r="BA122" s="30">
        <v>0</v>
      </c>
      <c r="BB122" s="27">
        <v>0</v>
      </c>
      <c r="BC122" s="27">
        <v>0</v>
      </c>
      <c r="BD122" s="51">
        <v>2548307.9069624045</v>
      </c>
      <c r="BF122" s="30">
        <v>281956.50919999974</v>
      </c>
      <c r="BG122" s="27">
        <v>281956.50919999974</v>
      </c>
      <c r="BH122" s="27">
        <v>0</v>
      </c>
      <c r="BI122" s="51">
        <v>2266351.3977624048</v>
      </c>
      <c r="BK122" s="30">
        <v>0</v>
      </c>
      <c r="BL122" s="27">
        <v>0</v>
      </c>
      <c r="BM122" s="27">
        <v>0</v>
      </c>
      <c r="BN122" s="51">
        <v>2266351.3977624048</v>
      </c>
      <c r="BP122" s="30">
        <v>2266351.3977624048</v>
      </c>
      <c r="BQ122" s="20">
        <v>170963823.73169413</v>
      </c>
      <c r="BR122" s="51">
        <v>0</v>
      </c>
      <c r="BT122" s="30">
        <v>0</v>
      </c>
      <c r="BU122" s="51">
        <v>305523.51579362334</v>
      </c>
      <c r="BW122" s="221">
        <v>0</v>
      </c>
      <c r="BX122" s="222">
        <v>281956.50919999974</v>
      </c>
    </row>
    <row r="123" spans="6:76" x14ac:dyDescent="0.2">
      <c r="F123" s="151">
        <v>119</v>
      </c>
      <c r="G123" s="30">
        <v>3492935.73</v>
      </c>
      <c r="H123" s="28">
        <v>0</v>
      </c>
      <c r="I123" s="28">
        <v>3829863.5052850405</v>
      </c>
      <c r="J123" s="28">
        <v>0</v>
      </c>
      <c r="K123" s="28">
        <v>3829863.5052999998</v>
      </c>
      <c r="L123" s="28">
        <v>0</v>
      </c>
      <c r="M123" s="27">
        <v>141637.70962767774</v>
      </c>
      <c r="N123" s="27">
        <v>380633.33333333331</v>
      </c>
      <c r="O123" s="51">
        <v>4015206.7729610112</v>
      </c>
      <c r="P123" s="5"/>
      <c r="Q123" s="30">
        <v>31666.666666666668</v>
      </c>
      <c r="R123" s="27">
        <v>31666.666666666668</v>
      </c>
      <c r="S123" s="27">
        <v>0</v>
      </c>
      <c r="T123" s="51">
        <v>3983540.1062943446</v>
      </c>
      <c r="U123" s="5"/>
      <c r="V123" s="30">
        <v>0</v>
      </c>
      <c r="W123" s="51">
        <v>3602906.7729610112</v>
      </c>
      <c r="Y123" s="30">
        <v>0</v>
      </c>
      <c r="Z123" s="27">
        <v>0</v>
      </c>
      <c r="AA123" s="27">
        <v>0</v>
      </c>
      <c r="AB123" s="51">
        <v>4699831.7079322543</v>
      </c>
      <c r="AD123" s="30">
        <v>143733633.74146956</v>
      </c>
      <c r="AE123" s="27">
        <v>132872.22168079135</v>
      </c>
      <c r="AF123" s="27">
        <v>143600761.51978877</v>
      </c>
      <c r="AG123" s="51">
        <v>4566959.4862514632</v>
      </c>
      <c r="AI123" s="30">
        <v>0</v>
      </c>
      <c r="AJ123" s="51">
        <v>3439213.8626888976</v>
      </c>
      <c r="AL123" s="43">
        <v>380000</v>
      </c>
      <c r="AM123" s="52">
        <v>-633.33333333331393</v>
      </c>
      <c r="AN123" s="53">
        <v>380000</v>
      </c>
      <c r="AO123" s="54">
        <v>3439847.1960222311</v>
      </c>
      <c r="AQ123" s="30">
        <v>0</v>
      </c>
      <c r="AR123" s="27">
        <v>0</v>
      </c>
      <c r="AS123" s="27">
        <v>0</v>
      </c>
      <c r="AT123" s="51">
        <v>3439847.1960222311</v>
      </c>
      <c r="AV123" s="30">
        <v>132331.20386661461</v>
      </c>
      <c r="AW123" s="27">
        <v>-9306.5057610631338</v>
      </c>
      <c r="AX123" s="27">
        <v>132331.20386661461</v>
      </c>
      <c r="AY123" s="51">
        <v>3449153.7017832943</v>
      </c>
      <c r="BA123" s="30">
        <v>0</v>
      </c>
      <c r="BB123" s="27">
        <v>0</v>
      </c>
      <c r="BC123" s="27">
        <v>0</v>
      </c>
      <c r="BD123" s="51">
        <v>3449153.7017832943</v>
      </c>
      <c r="BF123" s="30">
        <v>283499.9768000003</v>
      </c>
      <c r="BG123" s="27">
        <v>283499.9768000003</v>
      </c>
      <c r="BH123" s="27">
        <v>0</v>
      </c>
      <c r="BI123" s="51">
        <v>3165653.724983294</v>
      </c>
      <c r="BK123" s="30">
        <v>0</v>
      </c>
      <c r="BL123" s="27">
        <v>0</v>
      </c>
      <c r="BM123" s="27">
        <v>0</v>
      </c>
      <c r="BN123" s="51">
        <v>3165653.724983294</v>
      </c>
      <c r="BP123" s="30">
        <v>3165653.724983294</v>
      </c>
      <c r="BQ123" s="20">
        <v>174129477.45667744</v>
      </c>
      <c r="BR123" s="51">
        <v>0</v>
      </c>
      <c r="BT123" s="30">
        <v>0</v>
      </c>
      <c r="BU123" s="51">
        <v>305555.17744443606</v>
      </c>
      <c r="BW123" s="221">
        <v>0</v>
      </c>
      <c r="BX123" s="222">
        <v>283499.9768000003</v>
      </c>
    </row>
    <row r="124" spans="6:76" x14ac:dyDescent="0.2">
      <c r="F124" s="151">
        <v>120</v>
      </c>
      <c r="G124" s="30">
        <v>12349500.609999999</v>
      </c>
      <c r="H124" s="28">
        <v>0</v>
      </c>
      <c r="I124" s="28">
        <v>3544811.6118455129</v>
      </c>
      <c r="J124" s="28">
        <v>0</v>
      </c>
      <c r="K124" s="28">
        <v>3544811.6118000001</v>
      </c>
      <c r="L124" s="28">
        <v>0</v>
      </c>
      <c r="M124" s="27">
        <v>132551.75587305898</v>
      </c>
      <c r="N124" s="27">
        <v>380633.33333333331</v>
      </c>
      <c r="O124" s="51">
        <v>12862685.699206391</v>
      </c>
      <c r="P124" s="5"/>
      <c r="Q124" s="30">
        <v>28333.333333333332</v>
      </c>
      <c r="R124" s="27">
        <v>28333.333333333332</v>
      </c>
      <c r="S124" s="27">
        <v>0</v>
      </c>
      <c r="T124" s="51">
        <v>12834352.365873057</v>
      </c>
      <c r="U124" s="5"/>
      <c r="V124" s="30">
        <v>0</v>
      </c>
      <c r="W124" s="51">
        <v>12453719.032539723</v>
      </c>
      <c r="Y124" s="30">
        <v>0</v>
      </c>
      <c r="Z124" s="27">
        <v>0</v>
      </c>
      <c r="AA124" s="27">
        <v>0</v>
      </c>
      <c r="AB124" s="51">
        <v>8697745.4866474699</v>
      </c>
      <c r="AD124" s="30">
        <v>148104856.70305401</v>
      </c>
      <c r="AE124" s="27">
        <v>132872.22168079135</v>
      </c>
      <c r="AF124" s="27">
        <v>147971984.48137322</v>
      </c>
      <c r="AG124" s="51">
        <v>8564873.2649666779</v>
      </c>
      <c r="AI124" s="30">
        <v>0</v>
      </c>
      <c r="AJ124" s="51">
        <v>12300632.157799155</v>
      </c>
      <c r="AL124" s="43">
        <v>340000</v>
      </c>
      <c r="AM124" s="52">
        <v>-40633.333333333314</v>
      </c>
      <c r="AN124" s="53">
        <v>340000</v>
      </c>
      <c r="AO124" s="54">
        <v>12341265.491132488</v>
      </c>
      <c r="AQ124" s="30">
        <v>0</v>
      </c>
      <c r="AR124" s="27">
        <v>0</v>
      </c>
      <c r="AS124" s="27">
        <v>0</v>
      </c>
      <c r="AT124" s="51">
        <v>12341265.491132488</v>
      </c>
      <c r="AV124" s="30">
        <v>123210.71320505306</v>
      </c>
      <c r="AW124" s="27">
        <v>-9341.0426680059172</v>
      </c>
      <c r="AX124" s="27">
        <v>123210.71320505306</v>
      </c>
      <c r="AY124" s="51">
        <v>12350606.533800494</v>
      </c>
      <c r="BA124" s="30">
        <v>0</v>
      </c>
      <c r="BB124" s="27">
        <v>0</v>
      </c>
      <c r="BC124" s="27">
        <v>0</v>
      </c>
      <c r="BD124" s="51">
        <v>12350606.533800494</v>
      </c>
      <c r="BF124" s="30">
        <v>285051.89349999977</v>
      </c>
      <c r="BG124" s="27">
        <v>285051.89349999977</v>
      </c>
      <c r="BH124" s="27">
        <v>0</v>
      </c>
      <c r="BI124" s="51">
        <v>12065554.640300494</v>
      </c>
      <c r="BK124" s="30">
        <v>0</v>
      </c>
      <c r="BL124" s="27">
        <v>0</v>
      </c>
      <c r="BM124" s="27">
        <v>0</v>
      </c>
      <c r="BN124" s="51">
        <v>12065554.640300494</v>
      </c>
      <c r="BP124" s="30">
        <v>12065554.640300494</v>
      </c>
      <c r="BQ124" s="20">
        <v>186195032.09697792</v>
      </c>
      <c r="BR124" s="51">
        <v>0</v>
      </c>
      <c r="BT124" s="30">
        <v>0</v>
      </c>
      <c r="BU124" s="51">
        <v>305587.01236750861</v>
      </c>
      <c r="BW124" s="221">
        <v>0</v>
      </c>
      <c r="BX124" s="222">
        <v>285051.89349999977</v>
      </c>
    </row>
    <row r="125" spans="6:76" x14ac:dyDescent="0.2">
      <c r="F125" s="151">
        <v>121</v>
      </c>
      <c r="G125" s="30">
        <v>2992264.87</v>
      </c>
      <c r="H125" s="28">
        <v>0</v>
      </c>
      <c r="I125" s="28">
        <v>3258199.3063391456</v>
      </c>
      <c r="J125" s="28">
        <v>0</v>
      </c>
      <c r="K125" s="28">
        <v>3258199.3062999998</v>
      </c>
      <c r="L125" s="28">
        <v>0</v>
      </c>
      <c r="M125" s="27">
        <v>123416.06439372816</v>
      </c>
      <c r="N125" s="27">
        <v>340566.66666666669</v>
      </c>
      <c r="O125" s="51">
        <v>3456247.6010603951</v>
      </c>
      <c r="P125" s="5"/>
      <c r="Q125" s="30">
        <v>28333.333333333332</v>
      </c>
      <c r="R125" s="27">
        <v>28333.333333333332</v>
      </c>
      <c r="S125" s="27">
        <v>0</v>
      </c>
      <c r="T125" s="51">
        <v>3427914.2677270616</v>
      </c>
      <c r="U125" s="5"/>
      <c r="V125" s="30">
        <v>0</v>
      </c>
      <c r="W125" s="51">
        <v>3087347.6010603951</v>
      </c>
      <c r="Y125" s="30">
        <v>0</v>
      </c>
      <c r="Z125" s="27">
        <v>0</v>
      </c>
      <c r="AA125" s="27">
        <v>0</v>
      </c>
      <c r="AB125" s="51">
        <v>2510551.380628759</v>
      </c>
      <c r="AD125" s="30">
        <v>152382824.5401983</v>
      </c>
      <c r="AE125" s="27">
        <v>132872.22168079135</v>
      </c>
      <c r="AF125" s="27">
        <v>152249952.31851751</v>
      </c>
      <c r="AG125" s="51">
        <v>2377679.1589479679</v>
      </c>
      <c r="AI125" s="30">
        <v>0</v>
      </c>
      <c r="AJ125" s="51">
        <v>2944924.8207065542</v>
      </c>
      <c r="AL125" s="43">
        <v>340000</v>
      </c>
      <c r="AM125" s="52">
        <v>-566.66666666668607</v>
      </c>
      <c r="AN125" s="53">
        <v>340000</v>
      </c>
      <c r="AO125" s="54">
        <v>2945491.4873732207</v>
      </c>
      <c r="AQ125" s="30">
        <v>0</v>
      </c>
      <c r="AR125" s="27">
        <v>0</v>
      </c>
      <c r="AS125" s="27">
        <v>0</v>
      </c>
      <c r="AT125" s="51">
        <v>2945491.4873732207</v>
      </c>
      <c r="AV125" s="30">
        <v>114040.2957606761</v>
      </c>
      <c r="AW125" s="27">
        <v>-9375.7686330520519</v>
      </c>
      <c r="AX125" s="27">
        <v>114040.2957606761</v>
      </c>
      <c r="AY125" s="51">
        <v>2954867.256006273</v>
      </c>
      <c r="BA125" s="30">
        <v>0</v>
      </c>
      <c r="BB125" s="27">
        <v>0</v>
      </c>
      <c r="BC125" s="27">
        <v>0</v>
      </c>
      <c r="BD125" s="51">
        <v>2954867.256006273</v>
      </c>
      <c r="BF125" s="30">
        <v>286612.30550000025</v>
      </c>
      <c r="BG125" s="27">
        <v>286612.30550000025</v>
      </c>
      <c r="BH125" s="27">
        <v>0</v>
      </c>
      <c r="BI125" s="51">
        <v>2668254.9505062727</v>
      </c>
      <c r="BK125" s="30">
        <v>0</v>
      </c>
      <c r="BL125" s="27">
        <v>0</v>
      </c>
      <c r="BM125" s="27">
        <v>0</v>
      </c>
      <c r="BN125" s="51">
        <v>2668254.9505062727</v>
      </c>
      <c r="BP125" s="30">
        <v>2668254.9505062727</v>
      </c>
      <c r="BQ125" s="20">
        <v>188863287.04748419</v>
      </c>
      <c r="BR125" s="51">
        <v>0</v>
      </c>
      <c r="BT125" s="30">
        <v>0</v>
      </c>
      <c r="BU125" s="51">
        <v>305619.02146011294</v>
      </c>
      <c r="BW125" s="221">
        <v>0</v>
      </c>
      <c r="BX125" s="222">
        <v>286612.30550000025</v>
      </c>
    </row>
    <row r="126" spans="6:76" x14ac:dyDescent="0.2">
      <c r="F126" s="151">
        <v>122</v>
      </c>
      <c r="G126" s="30">
        <v>3100901.19</v>
      </c>
      <c r="H126" s="28">
        <v>0</v>
      </c>
      <c r="I126" s="28">
        <v>2970018.0468622665</v>
      </c>
      <c r="J126" s="28">
        <v>0</v>
      </c>
      <c r="K126" s="28">
        <v>2970018.0469</v>
      </c>
      <c r="L126" s="28">
        <v>0</v>
      </c>
      <c r="M126" s="27">
        <v>114230.36292027723</v>
      </c>
      <c r="N126" s="27">
        <v>340566.66666666669</v>
      </c>
      <c r="O126" s="51">
        <v>3555698.2195869437</v>
      </c>
      <c r="P126" s="5"/>
      <c r="Q126" s="30">
        <v>28333.333333333332</v>
      </c>
      <c r="R126" s="27">
        <v>28333.333333333332</v>
      </c>
      <c r="S126" s="27">
        <v>0</v>
      </c>
      <c r="T126" s="51">
        <v>3527364.8862536103</v>
      </c>
      <c r="U126" s="5"/>
      <c r="V126" s="30">
        <v>0</v>
      </c>
      <c r="W126" s="51">
        <v>3186798.2195869437</v>
      </c>
      <c r="Y126" s="30">
        <v>0</v>
      </c>
      <c r="Z126" s="27">
        <v>0</v>
      </c>
      <c r="AA126" s="27">
        <v>0</v>
      </c>
      <c r="AB126" s="51">
        <v>2240667.6978288596</v>
      </c>
      <c r="AD126" s="30">
        <v>156764699.35540304</v>
      </c>
      <c r="AE126" s="27">
        <v>132872.22168079135</v>
      </c>
      <c r="AF126" s="27">
        <v>156631827.13372225</v>
      </c>
      <c r="AG126" s="51">
        <v>2107795.476148068</v>
      </c>
      <c r="AI126" s="30">
        <v>0</v>
      </c>
      <c r="AJ126" s="51">
        <v>3055097.9102948662</v>
      </c>
      <c r="AL126" s="43">
        <v>340000</v>
      </c>
      <c r="AM126" s="52">
        <v>-566.66666666668607</v>
      </c>
      <c r="AN126" s="53">
        <v>340000</v>
      </c>
      <c r="AO126" s="54">
        <v>3055664.5769615327</v>
      </c>
      <c r="AQ126" s="30">
        <v>0</v>
      </c>
      <c r="AR126" s="27">
        <v>0</v>
      </c>
      <c r="AS126" s="27">
        <v>0</v>
      </c>
      <c r="AT126" s="51">
        <v>3055664.5769615327</v>
      </c>
      <c r="AV126" s="30">
        <v>104819.67823080061</v>
      </c>
      <c r="AW126" s="27">
        <v>-9410.6846894766204</v>
      </c>
      <c r="AX126" s="27">
        <v>104819.67823080061</v>
      </c>
      <c r="AY126" s="51">
        <v>3065075.2616510093</v>
      </c>
      <c r="BA126" s="30">
        <v>0</v>
      </c>
      <c r="BB126" s="27">
        <v>0</v>
      </c>
      <c r="BC126" s="27">
        <v>0</v>
      </c>
      <c r="BD126" s="51">
        <v>3065075.2616510093</v>
      </c>
      <c r="BF126" s="30">
        <v>288181.25939999986</v>
      </c>
      <c r="BG126" s="27">
        <v>288181.25939999986</v>
      </c>
      <c r="BH126" s="27">
        <v>0</v>
      </c>
      <c r="BI126" s="51">
        <v>2776894.0022510095</v>
      </c>
      <c r="BK126" s="30">
        <v>0</v>
      </c>
      <c r="BL126" s="27">
        <v>0</v>
      </c>
      <c r="BM126" s="27">
        <v>0</v>
      </c>
      <c r="BN126" s="51">
        <v>2776894.0022510095</v>
      </c>
      <c r="BP126" s="30">
        <v>2776894.0022510095</v>
      </c>
      <c r="BQ126" s="20">
        <v>191640181.04973519</v>
      </c>
      <c r="BR126" s="51">
        <v>0</v>
      </c>
      <c r="BT126" s="30">
        <v>0</v>
      </c>
      <c r="BU126" s="51">
        <v>305651.20577179996</v>
      </c>
      <c r="BW126" s="221">
        <v>0</v>
      </c>
      <c r="BX126" s="222">
        <v>288181.25939999986</v>
      </c>
    </row>
    <row r="127" spans="6:76" x14ac:dyDescent="0.2">
      <c r="F127" s="151">
        <v>123</v>
      </c>
      <c r="G127" s="30">
        <v>3662624.56</v>
      </c>
      <c r="H127" s="28">
        <v>0</v>
      </c>
      <c r="I127" s="28">
        <v>2680259.2447516616</v>
      </c>
      <c r="J127" s="28">
        <v>0</v>
      </c>
      <c r="K127" s="28">
        <v>2680259.2448</v>
      </c>
      <c r="L127" s="28">
        <v>0</v>
      </c>
      <c r="M127" s="27">
        <v>104994.37769451861</v>
      </c>
      <c r="N127" s="27">
        <v>340566.66666666669</v>
      </c>
      <c r="O127" s="51">
        <v>4108185.6043611853</v>
      </c>
      <c r="P127" s="5"/>
      <c r="Q127" s="30">
        <v>28333.333333333332</v>
      </c>
      <c r="R127" s="27">
        <v>28333.333333333332</v>
      </c>
      <c r="S127" s="27">
        <v>0</v>
      </c>
      <c r="T127" s="51">
        <v>4079852.2710278518</v>
      </c>
      <c r="U127" s="5"/>
      <c r="V127" s="30">
        <v>0</v>
      </c>
      <c r="W127" s="51">
        <v>3739285.6043611853</v>
      </c>
      <c r="Y127" s="30">
        <v>0</v>
      </c>
      <c r="Z127" s="27">
        <v>0</v>
      </c>
      <c r="AA127" s="27">
        <v>0</v>
      </c>
      <c r="AB127" s="51">
        <v>2775176.939826577</v>
      </c>
      <c r="AD127" s="30">
        <v>161252939.01292279</v>
      </c>
      <c r="AE127" s="27">
        <v>132872.22168079135</v>
      </c>
      <c r="AF127" s="27">
        <v>161120066.791242</v>
      </c>
      <c r="AG127" s="51">
        <v>2642304.7181457859</v>
      </c>
      <c r="AI127" s="30">
        <v>0</v>
      </c>
      <c r="AJ127" s="51">
        <v>3618366.4623644045</v>
      </c>
      <c r="AL127" s="43">
        <v>340000</v>
      </c>
      <c r="AM127" s="52">
        <v>-566.66666666668607</v>
      </c>
      <c r="AN127" s="53">
        <v>340000</v>
      </c>
      <c r="AO127" s="54">
        <v>3618933.129031071</v>
      </c>
      <c r="AQ127" s="30">
        <v>0</v>
      </c>
      <c r="AR127" s="27">
        <v>0</v>
      </c>
      <c r="AS127" s="27">
        <v>0</v>
      </c>
      <c r="AT127" s="51">
        <v>3618933.129031071</v>
      </c>
      <c r="AV127" s="30">
        <v>95548.58581357279</v>
      </c>
      <c r="AW127" s="27">
        <v>-9445.7918809458206</v>
      </c>
      <c r="AX127" s="27">
        <v>95548.58581357279</v>
      </c>
      <c r="AY127" s="51">
        <v>3628378.9209120166</v>
      </c>
      <c r="BA127" s="30">
        <v>0</v>
      </c>
      <c r="BB127" s="27">
        <v>0</v>
      </c>
      <c r="BC127" s="27">
        <v>0</v>
      </c>
      <c r="BD127" s="51">
        <v>3628378.9209120166</v>
      </c>
      <c r="BF127" s="30">
        <v>289758.80209999997</v>
      </c>
      <c r="BG127" s="27">
        <v>289758.80209999997</v>
      </c>
      <c r="BH127" s="27">
        <v>0</v>
      </c>
      <c r="BI127" s="51">
        <v>3338620.1188120167</v>
      </c>
      <c r="BK127" s="30">
        <v>0</v>
      </c>
      <c r="BL127" s="27">
        <v>0</v>
      </c>
      <c r="BM127" s="27">
        <v>0</v>
      </c>
      <c r="BN127" s="51">
        <v>3338620.1188120167</v>
      </c>
      <c r="BP127" s="30">
        <v>3338620.1188120167</v>
      </c>
      <c r="BQ127" s="20">
        <v>194978801.16854721</v>
      </c>
      <c r="BR127" s="51">
        <v>0</v>
      </c>
      <c r="BT127" s="30">
        <v>0</v>
      </c>
      <c r="BU127" s="51">
        <v>305683.56640226208</v>
      </c>
      <c r="BW127" s="221">
        <v>0</v>
      </c>
      <c r="BX127" s="222">
        <v>289758.80209999997</v>
      </c>
    </row>
    <row r="128" spans="6:76" x14ac:dyDescent="0.2">
      <c r="F128" s="151">
        <v>124</v>
      </c>
      <c r="G128" s="30">
        <v>2666398.1800000002</v>
      </c>
      <c r="H128" s="28">
        <v>0</v>
      </c>
      <c r="I128" s="28">
        <v>2388914.2643286502</v>
      </c>
      <c r="J128" s="28">
        <v>0</v>
      </c>
      <c r="K128" s="28">
        <v>2388914.2642999999</v>
      </c>
      <c r="L128" s="28">
        <v>0</v>
      </c>
      <c r="M128" s="27">
        <v>95707.833456595414</v>
      </c>
      <c r="N128" s="27">
        <v>340566.66666666669</v>
      </c>
      <c r="O128" s="51">
        <v>3102672.6801232621</v>
      </c>
      <c r="P128" s="5"/>
      <c r="Q128" s="30">
        <v>28333.333333333332</v>
      </c>
      <c r="R128" s="27">
        <v>28333.333333333332</v>
      </c>
      <c r="S128" s="27">
        <v>0</v>
      </c>
      <c r="T128" s="51">
        <v>3074339.3467899286</v>
      </c>
      <c r="U128" s="5"/>
      <c r="V128" s="30">
        <v>0</v>
      </c>
      <c r="W128" s="51">
        <v>2733772.6801232621</v>
      </c>
      <c r="Y128" s="30">
        <v>0</v>
      </c>
      <c r="Z128" s="27">
        <v>0</v>
      </c>
      <c r="AA128" s="27">
        <v>0</v>
      </c>
      <c r="AB128" s="51">
        <v>2041903.3294684384</v>
      </c>
      <c r="AD128" s="30">
        <v>165850057.35607642</v>
      </c>
      <c r="AE128" s="27">
        <v>132872.22168079135</v>
      </c>
      <c r="AF128" s="27">
        <v>165717185.13439563</v>
      </c>
      <c r="AG128" s="51">
        <v>1909031.1077876471</v>
      </c>
      <c r="AI128" s="30">
        <v>0</v>
      </c>
      <c r="AJ128" s="51">
        <v>2623693.7229669471</v>
      </c>
      <c r="AL128" s="43">
        <v>340000</v>
      </c>
      <c r="AM128" s="52">
        <v>-566.66666666668607</v>
      </c>
      <c r="AN128" s="53">
        <v>340000</v>
      </c>
      <c r="AO128" s="54">
        <v>2624260.3896336136</v>
      </c>
      <c r="AQ128" s="30">
        <v>0</v>
      </c>
      <c r="AR128" s="27">
        <v>0</v>
      </c>
      <c r="AS128" s="27">
        <v>0</v>
      </c>
      <c r="AT128" s="51">
        <v>2624260.3896336136</v>
      </c>
      <c r="AV128" s="30">
        <v>86226.742198316773</v>
      </c>
      <c r="AW128" s="27">
        <v>-9481.0912582786405</v>
      </c>
      <c r="AX128" s="27">
        <v>86226.742198316773</v>
      </c>
      <c r="AY128" s="51">
        <v>2633741.4808918922</v>
      </c>
      <c r="BA128" s="30">
        <v>0</v>
      </c>
      <c r="BB128" s="27">
        <v>0</v>
      </c>
      <c r="BC128" s="27">
        <v>0</v>
      </c>
      <c r="BD128" s="51">
        <v>2633741.4808918922</v>
      </c>
      <c r="BF128" s="30">
        <v>291344.98050000006</v>
      </c>
      <c r="BG128" s="27">
        <v>291344.98050000006</v>
      </c>
      <c r="BH128" s="27">
        <v>0</v>
      </c>
      <c r="BI128" s="51">
        <v>2342396.5003918922</v>
      </c>
      <c r="BK128" s="30">
        <v>0</v>
      </c>
      <c r="BL128" s="27">
        <v>0</v>
      </c>
      <c r="BM128" s="27">
        <v>0</v>
      </c>
      <c r="BN128" s="51">
        <v>2342396.5003918922</v>
      </c>
      <c r="BP128" s="30">
        <v>2342396.5003918922</v>
      </c>
      <c r="BQ128" s="20">
        <v>197321197.66893911</v>
      </c>
      <c r="BR128" s="51">
        <v>0</v>
      </c>
      <c r="BT128" s="30">
        <v>0</v>
      </c>
      <c r="BU128" s="51">
        <v>305716.1041997195</v>
      </c>
      <c r="BW128" s="221">
        <v>0</v>
      </c>
      <c r="BX128" s="222">
        <v>291344.98050000006</v>
      </c>
    </row>
    <row r="129" spans="6:76" x14ac:dyDescent="0.2">
      <c r="F129" s="151">
        <v>125</v>
      </c>
      <c r="G129" s="30">
        <v>2121075.4</v>
      </c>
      <c r="H129" s="28">
        <v>0</v>
      </c>
      <c r="I129" s="28">
        <v>2095974.4226416789</v>
      </c>
      <c r="J129" s="28">
        <v>0</v>
      </c>
      <c r="K129" s="28">
        <v>2095974.4225999999</v>
      </c>
      <c r="L129" s="28">
        <v>0</v>
      </c>
      <c r="M129" s="27">
        <v>86370.453435313961</v>
      </c>
      <c r="N129" s="27">
        <v>340566.66666666669</v>
      </c>
      <c r="O129" s="51">
        <v>2548012.5201019808</v>
      </c>
      <c r="P129" s="5"/>
      <c r="Q129" s="30">
        <v>28333.333333333332</v>
      </c>
      <c r="R129" s="27">
        <v>28333.333333333332</v>
      </c>
      <c r="S129" s="27">
        <v>0</v>
      </c>
      <c r="T129" s="51">
        <v>2519679.1867686473</v>
      </c>
      <c r="U129" s="5"/>
      <c r="V129" s="30">
        <v>0</v>
      </c>
      <c r="W129" s="51">
        <v>2179112.5201019808</v>
      </c>
      <c r="Y129" s="30">
        <v>0</v>
      </c>
      <c r="Z129" s="27">
        <v>0</v>
      </c>
      <c r="AA129" s="27">
        <v>0</v>
      </c>
      <c r="AB129" s="51">
        <v>2803234.2345283944</v>
      </c>
      <c r="AD129" s="30">
        <v>170558625.40949339</v>
      </c>
      <c r="AE129" s="27">
        <v>132872.22168079135</v>
      </c>
      <c r="AF129" s="27">
        <v>170425753.1878126</v>
      </c>
      <c r="AG129" s="51">
        <v>2670362.0128476033</v>
      </c>
      <c r="AI129" s="30">
        <v>0</v>
      </c>
      <c r="AJ129" s="51">
        <v>2079933.0884057446</v>
      </c>
      <c r="AL129" s="43">
        <v>340000</v>
      </c>
      <c r="AM129" s="52">
        <v>-566.66666666668607</v>
      </c>
      <c r="AN129" s="53">
        <v>340000</v>
      </c>
      <c r="AO129" s="54">
        <v>2080499.7550724114</v>
      </c>
      <c r="AQ129" s="30">
        <v>0</v>
      </c>
      <c r="AR129" s="27">
        <v>0</v>
      </c>
      <c r="AS129" s="27">
        <v>0</v>
      </c>
      <c r="AT129" s="51">
        <v>2080499.7550724114</v>
      </c>
      <c r="AV129" s="30">
        <v>76853.869565534682</v>
      </c>
      <c r="AW129" s="27">
        <v>-9516.5838697792788</v>
      </c>
      <c r="AX129" s="27">
        <v>76853.869565534682</v>
      </c>
      <c r="AY129" s="51">
        <v>2090016.3389421906</v>
      </c>
      <c r="BA129" s="30">
        <v>0</v>
      </c>
      <c r="BB129" s="27">
        <v>0</v>
      </c>
      <c r="BC129" s="27">
        <v>0</v>
      </c>
      <c r="BD129" s="51">
        <v>2090016.3389421906</v>
      </c>
      <c r="BF129" s="30">
        <v>292939.84169999999</v>
      </c>
      <c r="BG129" s="27">
        <v>292939.84169999999</v>
      </c>
      <c r="BH129" s="27">
        <v>0</v>
      </c>
      <c r="BI129" s="51">
        <v>1797076.4972421906</v>
      </c>
      <c r="BK129" s="30">
        <v>0</v>
      </c>
      <c r="BL129" s="27">
        <v>0</v>
      </c>
      <c r="BM129" s="27">
        <v>0</v>
      </c>
      <c r="BN129" s="51">
        <v>1797076.4972421906</v>
      </c>
      <c r="BP129" s="30">
        <v>1797076.4972421906</v>
      </c>
      <c r="BQ129" s="20">
        <v>199118274.1661813</v>
      </c>
      <c r="BR129" s="51">
        <v>0</v>
      </c>
      <c r="BT129" s="30">
        <v>0</v>
      </c>
      <c r="BU129" s="51">
        <v>305748.81996092241</v>
      </c>
      <c r="BW129" s="221">
        <v>0</v>
      </c>
      <c r="BX129" s="222">
        <v>292939.84169999999</v>
      </c>
    </row>
    <row r="130" spans="6:76" x14ac:dyDescent="0.2">
      <c r="F130" s="151">
        <v>126</v>
      </c>
      <c r="G130" s="30">
        <v>2112530.12</v>
      </c>
      <c r="H130" s="28">
        <v>0</v>
      </c>
      <c r="I130" s="28">
        <v>1801430.9892075772</v>
      </c>
      <c r="J130" s="28">
        <v>0</v>
      </c>
      <c r="K130" s="28">
        <v>1801430.9892</v>
      </c>
      <c r="L130" s="28">
        <v>0</v>
      </c>
      <c r="M130" s="27">
        <v>76981.959348143908</v>
      </c>
      <c r="N130" s="27">
        <v>340566.66666666669</v>
      </c>
      <c r="O130" s="51">
        <v>2530078.7460148106</v>
      </c>
      <c r="P130" s="5"/>
      <c r="Q130" s="30">
        <v>28333.333333333332</v>
      </c>
      <c r="R130" s="27">
        <v>28333.333333333332</v>
      </c>
      <c r="S130" s="27">
        <v>0</v>
      </c>
      <c r="T130" s="51">
        <v>2501745.4126814771</v>
      </c>
      <c r="U130" s="5"/>
      <c r="V130" s="30">
        <v>0</v>
      </c>
      <c r="W130" s="51">
        <v>2161178.7460148106</v>
      </c>
      <c r="Y130" s="30">
        <v>0</v>
      </c>
      <c r="Z130" s="27">
        <v>0</v>
      </c>
      <c r="AA130" s="27">
        <v>0</v>
      </c>
      <c r="AB130" s="51">
        <v>3027178.6975641483</v>
      </c>
      <c r="AD130" s="30">
        <v>175381272.60463941</v>
      </c>
      <c r="AE130" s="27">
        <v>132872.22168079135</v>
      </c>
      <c r="AF130" s="27">
        <v>175248400.38295862</v>
      </c>
      <c r="AG130" s="51">
        <v>2894306.4758833572</v>
      </c>
      <c r="AI130" s="30">
        <v>0</v>
      </c>
      <c r="AJ130" s="51">
        <v>2072958.505236588</v>
      </c>
      <c r="AL130" s="43">
        <v>340000</v>
      </c>
      <c r="AM130" s="52">
        <v>-566.66666666668607</v>
      </c>
      <c r="AN130" s="53">
        <v>340000</v>
      </c>
      <c r="AO130" s="54">
        <v>2073525.1719032547</v>
      </c>
      <c r="AQ130" s="30">
        <v>0</v>
      </c>
      <c r="AR130" s="27">
        <v>0</v>
      </c>
      <c r="AS130" s="27">
        <v>0</v>
      </c>
      <c r="AT130" s="51">
        <v>2073525.1719032547</v>
      </c>
      <c r="AV130" s="30">
        <v>67429.688580472372</v>
      </c>
      <c r="AW130" s="27">
        <v>-9552.2707676715363</v>
      </c>
      <c r="AX130" s="27">
        <v>67429.688580472372</v>
      </c>
      <c r="AY130" s="51">
        <v>2083077.4426709262</v>
      </c>
      <c r="BA130" s="30">
        <v>0</v>
      </c>
      <c r="BB130" s="27">
        <v>0</v>
      </c>
      <c r="BC130" s="27">
        <v>0</v>
      </c>
      <c r="BD130" s="51">
        <v>2083077.4426709262</v>
      </c>
      <c r="BF130" s="30">
        <v>294543.43339999998</v>
      </c>
      <c r="BG130" s="27">
        <v>294543.43339999998</v>
      </c>
      <c r="BH130" s="27">
        <v>0</v>
      </c>
      <c r="BI130" s="51">
        <v>1788534.0092709262</v>
      </c>
      <c r="BK130" s="30">
        <v>0</v>
      </c>
      <c r="BL130" s="27">
        <v>0</v>
      </c>
      <c r="BM130" s="27">
        <v>0</v>
      </c>
      <c r="BN130" s="51">
        <v>1788534.0092709262</v>
      </c>
      <c r="BP130" s="30">
        <v>1788534.0092709262</v>
      </c>
      <c r="BQ130" s="20">
        <v>200906808.17545223</v>
      </c>
      <c r="BR130" s="51">
        <v>0</v>
      </c>
      <c r="BT130" s="30">
        <v>0</v>
      </c>
      <c r="BU130" s="51">
        <v>305781.71483007871</v>
      </c>
      <c r="BW130" s="221">
        <v>0</v>
      </c>
      <c r="BX130" s="222">
        <v>294543.43339999998</v>
      </c>
    </row>
    <row r="131" spans="6:76" x14ac:dyDescent="0.2">
      <c r="F131" s="151">
        <v>127</v>
      </c>
      <c r="G131" s="30">
        <v>4568312.84</v>
      </c>
      <c r="H131" s="28">
        <v>0</v>
      </c>
      <c r="I131" s="28">
        <v>1505275.1857513278</v>
      </c>
      <c r="J131" s="28">
        <v>0</v>
      </c>
      <c r="K131" s="28">
        <v>1505275.1858000001</v>
      </c>
      <c r="L131" s="28">
        <v>0</v>
      </c>
      <c r="M131" s="27">
        <v>67542.071394773156</v>
      </c>
      <c r="N131" s="27">
        <v>340566.66666666669</v>
      </c>
      <c r="O131" s="51">
        <v>4976421.57806144</v>
      </c>
      <c r="P131" s="5"/>
      <c r="Q131" s="30">
        <v>28333.333333333332</v>
      </c>
      <c r="R131" s="27">
        <v>28333.333333333332</v>
      </c>
      <c r="S131" s="27">
        <v>0</v>
      </c>
      <c r="T131" s="51">
        <v>4948088.244728107</v>
      </c>
      <c r="U131" s="5"/>
      <c r="V131" s="30">
        <v>0</v>
      </c>
      <c r="W131" s="51">
        <v>4607521.57806144</v>
      </c>
      <c r="Y131" s="30">
        <v>0</v>
      </c>
      <c r="Z131" s="27">
        <v>0</v>
      </c>
      <c r="AA131" s="27">
        <v>0</v>
      </c>
      <c r="AB131" s="51">
        <v>2876772.6621832522</v>
      </c>
      <c r="AD131" s="30">
        <v>180320688.02897775</v>
      </c>
      <c r="AE131" s="27">
        <v>132872.22168079135</v>
      </c>
      <c r="AF131" s="27">
        <v>180187815.80729696</v>
      </c>
      <c r="AG131" s="51">
        <v>2743900.440502461</v>
      </c>
      <c r="AI131" s="30">
        <v>0</v>
      </c>
      <c r="AJ131" s="51">
        <v>4530320.5202710303</v>
      </c>
      <c r="AL131" s="43">
        <v>340000</v>
      </c>
      <c r="AM131" s="52">
        <v>-566.66666666668607</v>
      </c>
      <c r="AN131" s="53">
        <v>340000</v>
      </c>
      <c r="AO131" s="54">
        <v>4530887.1869376972</v>
      </c>
      <c r="AQ131" s="30">
        <v>0</v>
      </c>
      <c r="AR131" s="27">
        <v>0</v>
      </c>
      <c r="AS131" s="27">
        <v>0</v>
      </c>
      <c r="AT131" s="51">
        <v>4530887.1869376972</v>
      </c>
      <c r="AV131" s="30">
        <v>57953.918373816836</v>
      </c>
      <c r="AW131" s="27">
        <v>-9588.1530209563207</v>
      </c>
      <c r="AX131" s="27">
        <v>57953.918373816836</v>
      </c>
      <c r="AY131" s="51">
        <v>4540475.3399586538</v>
      </c>
      <c r="BA131" s="30">
        <v>0</v>
      </c>
      <c r="BB131" s="27">
        <v>0</v>
      </c>
      <c r="BC131" s="27">
        <v>0</v>
      </c>
      <c r="BD131" s="51">
        <v>4540475.3399586538</v>
      </c>
      <c r="BF131" s="30">
        <v>296155.80339999986</v>
      </c>
      <c r="BG131" s="27">
        <v>296155.80339999986</v>
      </c>
      <c r="BH131" s="27">
        <v>0</v>
      </c>
      <c r="BI131" s="51">
        <v>4244319.5365586542</v>
      </c>
      <c r="BK131" s="30">
        <v>0</v>
      </c>
      <c r="BL131" s="27">
        <v>0</v>
      </c>
      <c r="BM131" s="27">
        <v>0</v>
      </c>
      <c r="BN131" s="51">
        <v>4244319.5365586542</v>
      </c>
      <c r="BP131" s="30">
        <v>4244319.5365586542</v>
      </c>
      <c r="BQ131" s="20">
        <v>205151127.71201089</v>
      </c>
      <c r="BR131" s="51">
        <v>0</v>
      </c>
      <c r="BT131" s="30">
        <v>0</v>
      </c>
      <c r="BU131" s="51">
        <v>305814.78979563602</v>
      </c>
      <c r="BW131" s="221">
        <v>0</v>
      </c>
      <c r="BX131" s="222">
        <v>296155.80339999986</v>
      </c>
    </row>
    <row r="132" spans="6:76" x14ac:dyDescent="0.2">
      <c r="F132" s="151">
        <v>128</v>
      </c>
      <c r="G132" s="30">
        <v>2916646.4</v>
      </c>
      <c r="H132" s="28">
        <v>0</v>
      </c>
      <c r="I132" s="28">
        <v>1207498.1859444736</v>
      </c>
      <c r="J132" s="28">
        <v>0</v>
      </c>
      <c r="K132" s="28">
        <v>1207498.1858999999</v>
      </c>
      <c r="L132" s="28">
        <v>0</v>
      </c>
      <c r="M132" s="27">
        <v>58050.508237773196</v>
      </c>
      <c r="N132" s="27">
        <v>340566.66666666669</v>
      </c>
      <c r="O132" s="51">
        <v>3315263.57490444</v>
      </c>
      <c r="P132" s="5"/>
      <c r="Q132" s="30">
        <v>28333.333333333332</v>
      </c>
      <c r="R132" s="27">
        <v>28333.333333333332</v>
      </c>
      <c r="S132" s="27">
        <v>0</v>
      </c>
      <c r="T132" s="51">
        <v>3286930.2415711065</v>
      </c>
      <c r="U132" s="5"/>
      <c r="V132" s="30">
        <v>0</v>
      </c>
      <c r="W132" s="51">
        <v>2946363.57490444</v>
      </c>
      <c r="Y132" s="30">
        <v>0</v>
      </c>
      <c r="Z132" s="27">
        <v>0</v>
      </c>
      <c r="AA132" s="27">
        <v>0</v>
      </c>
      <c r="AB132" s="51">
        <v>2758817.4489431786</v>
      </c>
      <c r="AD132" s="30">
        <v>185379621.69912434</v>
      </c>
      <c r="AE132" s="27">
        <v>132872.22168079135</v>
      </c>
      <c r="AF132" s="27">
        <v>185246749.47744355</v>
      </c>
      <c r="AG132" s="51">
        <v>2625945.2272623871</v>
      </c>
      <c r="AI132" s="30">
        <v>0</v>
      </c>
      <c r="AJ132" s="51">
        <v>2880242.0205769204</v>
      </c>
      <c r="AL132" s="43">
        <v>340000</v>
      </c>
      <c r="AM132" s="52">
        <v>-566.66666666668607</v>
      </c>
      <c r="AN132" s="53">
        <v>340000</v>
      </c>
      <c r="AO132" s="54">
        <v>2880808.6872435869</v>
      </c>
      <c r="AQ132" s="30">
        <v>0</v>
      </c>
      <c r="AR132" s="27">
        <v>0</v>
      </c>
      <c r="AS132" s="27">
        <v>0</v>
      </c>
      <c r="AT132" s="51">
        <v>2880808.6872435869</v>
      </c>
      <c r="AV132" s="30">
        <v>48426.276538479113</v>
      </c>
      <c r="AW132" s="27">
        <v>-9624.2316992940832</v>
      </c>
      <c r="AX132" s="27">
        <v>48426.276538479113</v>
      </c>
      <c r="AY132" s="51">
        <v>2890432.9189428808</v>
      </c>
      <c r="BA132" s="30">
        <v>0</v>
      </c>
      <c r="BB132" s="27">
        <v>0</v>
      </c>
      <c r="BC132" s="27">
        <v>0</v>
      </c>
      <c r="BD132" s="51">
        <v>2890432.9189428808</v>
      </c>
      <c r="BF132" s="30">
        <v>297776.99990000017</v>
      </c>
      <c r="BG132" s="27">
        <v>297776.99990000017</v>
      </c>
      <c r="BH132" s="27">
        <v>0</v>
      </c>
      <c r="BI132" s="51">
        <v>2592655.9190428806</v>
      </c>
      <c r="BK132" s="30">
        <v>0</v>
      </c>
      <c r="BL132" s="27">
        <v>0</v>
      </c>
      <c r="BM132" s="27">
        <v>0</v>
      </c>
      <c r="BN132" s="51">
        <v>2592655.9190428806</v>
      </c>
      <c r="BP132" s="30">
        <v>2592655.9190428806</v>
      </c>
      <c r="BQ132" s="20">
        <v>207743783.63105378</v>
      </c>
      <c r="BR132" s="51">
        <v>0</v>
      </c>
      <c r="BT132" s="30">
        <v>0</v>
      </c>
      <c r="BU132" s="51">
        <v>305848.04598974669</v>
      </c>
      <c r="BW132" s="221">
        <v>0</v>
      </c>
      <c r="BX132" s="222">
        <v>297776.99990000017</v>
      </c>
    </row>
    <row r="133" spans="6:76" x14ac:dyDescent="0.2">
      <c r="F133" s="151">
        <v>129</v>
      </c>
      <c r="G133" s="30">
        <v>2434579.17</v>
      </c>
      <c r="H133" s="28">
        <v>0</v>
      </c>
      <c r="I133" s="28">
        <v>908091.11514206452</v>
      </c>
      <c r="J133" s="28">
        <v>0</v>
      </c>
      <c r="K133" s="28">
        <v>908091.11510000005</v>
      </c>
      <c r="L133" s="28">
        <v>0</v>
      </c>
      <c r="M133" s="27">
        <v>48506.986999376575</v>
      </c>
      <c r="N133" s="27">
        <v>340566.66666666669</v>
      </c>
      <c r="O133" s="51">
        <v>2823652.8236660431</v>
      </c>
      <c r="P133" s="5"/>
      <c r="Q133" s="30">
        <v>28333.333333333332</v>
      </c>
      <c r="R133" s="27">
        <v>28333.333333333332</v>
      </c>
      <c r="S133" s="27">
        <v>0</v>
      </c>
      <c r="T133" s="51">
        <v>2795319.4903327096</v>
      </c>
      <c r="U133" s="5"/>
      <c r="V133" s="30">
        <v>0</v>
      </c>
      <c r="W133" s="51">
        <v>2454752.8236660431</v>
      </c>
      <c r="Y133" s="30">
        <v>0</v>
      </c>
      <c r="Z133" s="27">
        <v>0</v>
      </c>
      <c r="AA133" s="27">
        <v>0</v>
      </c>
      <c r="AB133" s="51">
        <v>3992447.3774112724</v>
      </c>
      <c r="AD133" s="30">
        <v>190560885.85835648</v>
      </c>
      <c r="AE133" s="27">
        <v>132872.22168079135</v>
      </c>
      <c r="AF133" s="27">
        <v>190428013.63667569</v>
      </c>
      <c r="AG133" s="51">
        <v>3859575.1557304813</v>
      </c>
      <c r="AI133" s="30">
        <v>0</v>
      </c>
      <c r="AJ133" s="51">
        <v>2399771.4234805456</v>
      </c>
      <c r="AL133" s="43">
        <v>340000</v>
      </c>
      <c r="AM133" s="52">
        <v>-566.66666666668607</v>
      </c>
      <c r="AN133" s="53">
        <v>340000</v>
      </c>
      <c r="AO133" s="54">
        <v>2400338.0901472121</v>
      </c>
      <c r="AQ133" s="30">
        <v>0</v>
      </c>
      <c r="AR133" s="27">
        <v>0</v>
      </c>
      <c r="AS133" s="27">
        <v>0</v>
      </c>
      <c r="AT133" s="51">
        <v>2400338.0901472121</v>
      </c>
      <c r="AV133" s="30">
        <v>38846.479116725808</v>
      </c>
      <c r="AW133" s="27">
        <v>-9660.507882650767</v>
      </c>
      <c r="AX133" s="27">
        <v>38846.479116725808</v>
      </c>
      <c r="AY133" s="51">
        <v>2409998.5980298631</v>
      </c>
      <c r="BA133" s="30">
        <v>0</v>
      </c>
      <c r="BB133" s="27">
        <v>0</v>
      </c>
      <c r="BC133" s="27">
        <v>0</v>
      </c>
      <c r="BD133" s="51">
        <v>2409998.5980298631</v>
      </c>
      <c r="BF133" s="30">
        <v>299407.07079999987</v>
      </c>
      <c r="BG133" s="27">
        <v>299407.07079999987</v>
      </c>
      <c r="BH133" s="27">
        <v>0</v>
      </c>
      <c r="BI133" s="51">
        <v>2110591.5272298632</v>
      </c>
      <c r="BK133" s="30">
        <v>0</v>
      </c>
      <c r="BL133" s="27">
        <v>0</v>
      </c>
      <c r="BM133" s="27">
        <v>0</v>
      </c>
      <c r="BN133" s="51">
        <v>2110591.5272298632</v>
      </c>
      <c r="BP133" s="30">
        <v>2110591.5272298632</v>
      </c>
      <c r="BQ133" s="20">
        <v>209854375.15828365</v>
      </c>
      <c r="BR133" s="51">
        <v>0</v>
      </c>
      <c r="BT133" s="30">
        <v>0</v>
      </c>
      <c r="BU133" s="51">
        <v>305881.48398612085</v>
      </c>
      <c r="BW133" s="221">
        <v>0</v>
      </c>
      <c r="BX133" s="222">
        <v>299407.07079999987</v>
      </c>
    </row>
    <row r="134" spans="6:76" x14ac:dyDescent="0.2">
      <c r="F134" s="151">
        <v>130</v>
      </c>
      <c r="G134" s="30">
        <v>3697674.29</v>
      </c>
      <c r="H134" s="28">
        <v>0</v>
      </c>
      <c r="I134" s="28">
        <v>607045.05011815322</v>
      </c>
      <c r="J134" s="28">
        <v>0</v>
      </c>
      <c r="K134" s="28">
        <v>607045.05009999999</v>
      </c>
      <c r="L134" s="28">
        <v>0</v>
      </c>
      <c r="M134" s="27">
        <v>38911.223248587019</v>
      </c>
      <c r="N134" s="27">
        <v>340566.66666666669</v>
      </c>
      <c r="O134" s="51">
        <v>4077152.1799152535</v>
      </c>
      <c r="P134" s="5"/>
      <c r="Q134" s="30">
        <v>28333.333333333332</v>
      </c>
      <c r="R134" s="27">
        <v>28333.333333333332</v>
      </c>
      <c r="S134" s="27">
        <v>0</v>
      </c>
      <c r="T134" s="51">
        <v>4048818.8465819201</v>
      </c>
      <c r="U134" s="5"/>
      <c r="V134" s="30">
        <v>0</v>
      </c>
      <c r="W134" s="51">
        <v>3708252.1799152535</v>
      </c>
      <c r="Y134" s="30">
        <v>0</v>
      </c>
      <c r="Z134" s="27">
        <v>0</v>
      </c>
      <c r="AA134" s="27">
        <v>0</v>
      </c>
      <c r="AB134" s="51">
        <v>3778884.1730544111</v>
      </c>
      <c r="AD134" s="30">
        <v>195867356.29883564</v>
      </c>
      <c r="AE134" s="27">
        <v>132872.22168079135</v>
      </c>
      <c r="AF134" s="27">
        <v>195734484.07715484</v>
      </c>
      <c r="AG134" s="51">
        <v>3646011.95137362</v>
      </c>
      <c r="AI134" s="30">
        <v>0</v>
      </c>
      <c r="AJ134" s="51">
        <v>3664471.916565028</v>
      </c>
      <c r="AL134" s="43">
        <v>340000</v>
      </c>
      <c r="AM134" s="52">
        <v>-566.66666666668607</v>
      </c>
      <c r="AN134" s="53">
        <v>340000</v>
      </c>
      <c r="AO134" s="54">
        <v>3665038.5832316945</v>
      </c>
      <c r="AQ134" s="30">
        <v>0</v>
      </c>
      <c r="AR134" s="27">
        <v>0</v>
      </c>
      <c r="AS134" s="27">
        <v>0</v>
      </c>
      <c r="AT134" s="51">
        <v>3665038.5832316945</v>
      </c>
      <c r="AV134" s="30">
        <v>29214.240609830471</v>
      </c>
      <c r="AW134" s="27">
        <v>-9696.9826387565481</v>
      </c>
      <c r="AX134" s="27">
        <v>29214.240609830471</v>
      </c>
      <c r="AY134" s="51">
        <v>3674735.5658704513</v>
      </c>
      <c r="BA134" s="30">
        <v>0</v>
      </c>
      <c r="BB134" s="27">
        <v>0</v>
      </c>
      <c r="BC134" s="27">
        <v>0</v>
      </c>
      <c r="BD134" s="51">
        <v>3674735.5658704513</v>
      </c>
      <c r="BF134" s="30">
        <v>301046.06500000006</v>
      </c>
      <c r="BG134" s="27">
        <v>301046.06500000006</v>
      </c>
      <c r="BH134" s="27">
        <v>0</v>
      </c>
      <c r="BI134" s="51">
        <v>3373689.5008704513</v>
      </c>
      <c r="BK134" s="30">
        <v>0</v>
      </c>
      <c r="BL134" s="27">
        <v>0</v>
      </c>
      <c r="BM134" s="27">
        <v>0</v>
      </c>
      <c r="BN134" s="51">
        <v>3373689.5008704513</v>
      </c>
      <c r="BP134" s="30">
        <v>3373689.5008704513</v>
      </c>
      <c r="BQ134" s="20">
        <v>213228064.65915412</v>
      </c>
      <c r="BR134" s="51">
        <v>0</v>
      </c>
      <c r="BT134" s="30">
        <v>0</v>
      </c>
      <c r="BU134" s="51">
        <v>305915.10510163847</v>
      </c>
      <c r="BW134" s="221">
        <v>0</v>
      </c>
      <c r="BX134" s="222">
        <v>301046.06500000006</v>
      </c>
    </row>
    <row r="135" spans="6:76" x14ac:dyDescent="0.2">
      <c r="F135" s="151">
        <v>131</v>
      </c>
      <c r="G135" s="30">
        <v>3537553.74</v>
      </c>
      <c r="H135" s="28">
        <v>0</v>
      </c>
      <c r="I135" s="28">
        <v>304351.01879986224</v>
      </c>
      <c r="J135" s="28">
        <v>0</v>
      </c>
      <c r="K135" s="28">
        <v>304351.01880000002</v>
      </c>
      <c r="L135" s="28">
        <v>0</v>
      </c>
      <c r="M135" s="27">
        <v>29262.931010846856</v>
      </c>
      <c r="N135" s="27">
        <v>340566.66666666669</v>
      </c>
      <c r="O135" s="51">
        <v>3907383.3376775137</v>
      </c>
      <c r="P135" s="5"/>
      <c r="Q135" s="30">
        <v>28333.333333333332</v>
      </c>
      <c r="R135" s="27">
        <v>28333.333333333332</v>
      </c>
      <c r="S135" s="27">
        <v>0</v>
      </c>
      <c r="T135" s="51">
        <v>3879050.0043441802</v>
      </c>
      <c r="U135" s="5"/>
      <c r="V135" s="30">
        <v>0</v>
      </c>
      <c r="W135" s="51">
        <v>3538483.3376775137</v>
      </c>
      <c r="Y135" s="30">
        <v>0</v>
      </c>
      <c r="Z135" s="27">
        <v>0</v>
      </c>
      <c r="AA135" s="27">
        <v>0</v>
      </c>
      <c r="AB135" s="51">
        <v>3030243.6505187694</v>
      </c>
      <c r="AD135" s="30">
        <v>201301973.70890605</v>
      </c>
      <c r="AE135" s="27">
        <v>132872.22168079135</v>
      </c>
      <c r="AF135" s="27">
        <v>201169101.48722526</v>
      </c>
      <c r="AG135" s="51">
        <v>2897371.4288379783</v>
      </c>
      <c r="AI135" s="30">
        <v>0</v>
      </c>
      <c r="AJ135" s="51">
        <v>3505965.5276756831</v>
      </c>
      <c r="AL135" s="43">
        <v>340000</v>
      </c>
      <c r="AM135" s="52">
        <v>-566.66666666668607</v>
      </c>
      <c r="AN135" s="53">
        <v>340000</v>
      </c>
      <c r="AO135" s="54">
        <v>3506532.1943423497</v>
      </c>
      <c r="AQ135" s="30">
        <v>0</v>
      </c>
      <c r="AR135" s="27">
        <v>0</v>
      </c>
      <c r="AS135" s="27">
        <v>0</v>
      </c>
      <c r="AT135" s="51">
        <v>3506532.1943423497</v>
      </c>
      <c r="AV135" s="30">
        <v>19529.273945902514</v>
      </c>
      <c r="AW135" s="27">
        <v>-9733.657064944342</v>
      </c>
      <c r="AX135" s="27">
        <v>19529.273945902514</v>
      </c>
      <c r="AY135" s="51">
        <v>3516265.8514072942</v>
      </c>
      <c r="BA135" s="30">
        <v>0</v>
      </c>
      <c r="BB135" s="27">
        <v>0</v>
      </c>
      <c r="BC135" s="27">
        <v>0</v>
      </c>
      <c r="BD135" s="51">
        <v>3516265.8514072942</v>
      </c>
      <c r="BF135" s="30">
        <v>302694.03129999997</v>
      </c>
      <c r="BG135" s="27">
        <v>302694.03129999997</v>
      </c>
      <c r="BH135" s="27">
        <v>0</v>
      </c>
      <c r="BI135" s="51">
        <v>3213571.8201072942</v>
      </c>
      <c r="BK135" s="30">
        <v>0</v>
      </c>
      <c r="BL135" s="27">
        <v>0</v>
      </c>
      <c r="BM135" s="27">
        <v>0</v>
      </c>
      <c r="BN135" s="51">
        <v>3213571.8201072942</v>
      </c>
      <c r="BP135" s="30">
        <v>3213571.8201072942</v>
      </c>
      <c r="BQ135" s="20">
        <v>216441636.4792614</v>
      </c>
      <c r="BR135" s="51">
        <v>0</v>
      </c>
      <c r="BT135" s="30">
        <v>0</v>
      </c>
      <c r="BU135" s="51">
        <v>305948.91029098374</v>
      </c>
      <c r="BW135" s="221">
        <v>0</v>
      </c>
      <c r="BX135" s="222">
        <v>302694.03129999997</v>
      </c>
    </row>
    <row r="136" spans="6:76" x14ac:dyDescent="0.2">
      <c r="F136" s="151">
        <v>132</v>
      </c>
      <c r="G136" s="30">
        <v>4112990.74</v>
      </c>
      <c r="H136" s="28">
        <v>0</v>
      </c>
      <c r="I136" s="28">
        <v>0</v>
      </c>
      <c r="J136" s="28">
        <v>0</v>
      </c>
      <c r="K136" s="28">
        <v>0</v>
      </c>
      <c r="L136" s="28">
        <v>0</v>
      </c>
      <c r="M136" s="27">
        <v>19561.822735812351</v>
      </c>
      <c r="N136" s="27">
        <v>340566.66666666669</v>
      </c>
      <c r="O136" s="51">
        <v>4473119.2294024797</v>
      </c>
      <c r="P136" s="5"/>
      <c r="Q136" s="30">
        <v>28333.333333333332</v>
      </c>
      <c r="R136" s="27">
        <v>28333.333333333332</v>
      </c>
      <c r="S136" s="27">
        <v>0</v>
      </c>
      <c r="T136" s="51">
        <v>4444785.8960691467</v>
      </c>
      <c r="U136" s="5"/>
      <c r="V136" s="30">
        <v>0</v>
      </c>
      <c r="W136" s="51">
        <v>4104219.2294024802</v>
      </c>
      <c r="Y136" s="30">
        <v>0</v>
      </c>
      <c r="Z136" s="27">
        <v>0</v>
      </c>
      <c r="AA136" s="27">
        <v>0</v>
      </c>
      <c r="AB136" s="51">
        <v>2794579.1850490645</v>
      </c>
      <c r="AD136" s="30">
        <v>206867745.0458318</v>
      </c>
      <c r="AE136" s="27">
        <v>132872.22168079135</v>
      </c>
      <c r="AF136" s="27">
        <v>206734872.82415101</v>
      </c>
      <c r="AG136" s="51">
        <v>2661706.9633682733</v>
      </c>
      <c r="AI136" s="30">
        <v>0</v>
      </c>
      <c r="AJ136" s="51">
        <v>4083025.5249194838</v>
      </c>
      <c r="AL136" s="43">
        <v>340000</v>
      </c>
      <c r="AM136" s="52">
        <v>-566.66666666668607</v>
      </c>
      <c r="AN136" s="53">
        <v>340000</v>
      </c>
      <c r="AO136" s="54">
        <v>4083592.1915861503</v>
      </c>
      <c r="AQ136" s="30">
        <v>0</v>
      </c>
      <c r="AR136" s="27">
        <v>0</v>
      </c>
      <c r="AS136" s="27">
        <v>0</v>
      </c>
      <c r="AT136" s="51">
        <v>4083592.1915861503</v>
      </c>
      <c r="AV136" s="30">
        <v>9791.2904831043397</v>
      </c>
      <c r="AW136" s="27">
        <v>-9770.5322527080116</v>
      </c>
      <c r="AX136" s="27">
        <v>9791.2904831043397</v>
      </c>
      <c r="AY136" s="51">
        <v>4093362.7238388583</v>
      </c>
      <c r="BA136" s="30">
        <v>0</v>
      </c>
      <c r="BB136" s="27">
        <v>0</v>
      </c>
      <c r="BC136" s="27">
        <v>0</v>
      </c>
      <c r="BD136" s="51">
        <v>4093362.7238388583</v>
      </c>
      <c r="BF136" s="30">
        <v>304351.01880000002</v>
      </c>
      <c r="BG136" s="27">
        <v>304351.01880000002</v>
      </c>
      <c r="BH136" s="27">
        <v>0</v>
      </c>
      <c r="BI136" s="51">
        <v>3789011.7050388581</v>
      </c>
      <c r="BK136" s="30">
        <v>0</v>
      </c>
      <c r="BL136" s="27">
        <v>0</v>
      </c>
      <c r="BM136" s="27">
        <v>0</v>
      </c>
      <c r="BN136" s="51">
        <v>3789011.7050388581</v>
      </c>
      <c r="BP136" s="30">
        <v>3789011.7050388581</v>
      </c>
      <c r="BQ136" s="20">
        <v>220230648.18430024</v>
      </c>
      <c r="BR136" s="51">
        <v>0</v>
      </c>
      <c r="BT136" s="30">
        <v>0</v>
      </c>
      <c r="BU136" s="51">
        <v>305982.90054718405</v>
      </c>
      <c r="BW136" s="221">
        <v>0</v>
      </c>
      <c r="BX136" s="222">
        <v>304351.01880000002</v>
      </c>
    </row>
    <row r="137" spans="6:76" x14ac:dyDescent="0.2">
      <c r="F137" s="151">
        <v>133</v>
      </c>
      <c r="G137" s="30">
        <v>3936524.48</v>
      </c>
      <c r="H137" s="28">
        <v>0</v>
      </c>
      <c r="I137" s="28">
        <v>0</v>
      </c>
      <c r="J137" s="28">
        <v>0</v>
      </c>
      <c r="K137" s="28">
        <v>0</v>
      </c>
      <c r="L137" s="28">
        <v>0</v>
      </c>
      <c r="M137" s="27">
        <v>9807.6093005761795</v>
      </c>
      <c r="N137" s="27">
        <v>340566.66666666669</v>
      </c>
      <c r="O137" s="51">
        <v>4286898.7559672426</v>
      </c>
      <c r="P137" s="5"/>
      <c r="Q137" s="30">
        <v>28333.333333333332</v>
      </c>
      <c r="R137" s="27">
        <v>28333.333333333332</v>
      </c>
      <c r="S137" s="27">
        <v>0</v>
      </c>
      <c r="T137" s="51">
        <v>4258565.4226339096</v>
      </c>
      <c r="U137" s="5"/>
      <c r="V137" s="30">
        <v>0</v>
      </c>
      <c r="W137" s="51">
        <v>3917998.7559672431</v>
      </c>
      <c r="Y137" s="30">
        <v>0</v>
      </c>
      <c r="Z137" s="27">
        <v>0</v>
      </c>
      <c r="AA137" s="27">
        <v>0</v>
      </c>
      <c r="AB137" s="51">
        <v>3145058.1751762629</v>
      </c>
      <c r="AD137" s="30">
        <v>212567744.93433505</v>
      </c>
      <c r="AE137" s="27">
        <v>132872.22168079135</v>
      </c>
      <c r="AF137" s="27">
        <v>212434872.71265426</v>
      </c>
      <c r="AG137" s="51">
        <v>3012185.9534954717</v>
      </c>
      <c r="AI137" s="30">
        <v>0</v>
      </c>
      <c r="AJ137" s="51">
        <v>3908191.146666667</v>
      </c>
      <c r="AL137" s="43">
        <v>340000</v>
      </c>
      <c r="AM137" s="52">
        <v>-566.66666666668607</v>
      </c>
      <c r="AN137" s="53">
        <v>340000</v>
      </c>
      <c r="AO137" s="54">
        <v>3908757.8133333335</v>
      </c>
      <c r="AQ137" s="30">
        <v>0</v>
      </c>
      <c r="AR137" s="27">
        <v>0</v>
      </c>
      <c r="AS137" s="27">
        <v>0</v>
      </c>
      <c r="AT137" s="51">
        <v>3908757.8133333335</v>
      </c>
      <c r="AV137" s="30">
        <v>0</v>
      </c>
      <c r="AW137" s="27">
        <v>-9807.6093005761795</v>
      </c>
      <c r="AX137" s="27">
        <v>0</v>
      </c>
      <c r="AY137" s="51">
        <v>3918565.4226339096</v>
      </c>
      <c r="BA137" s="30">
        <v>0</v>
      </c>
      <c r="BB137" s="27">
        <v>0</v>
      </c>
      <c r="BC137" s="27">
        <v>0</v>
      </c>
      <c r="BD137" s="51">
        <v>3918565.4226339096</v>
      </c>
      <c r="BF137" s="30">
        <v>0</v>
      </c>
      <c r="BG137" s="27">
        <v>0</v>
      </c>
      <c r="BH137" s="27">
        <v>0</v>
      </c>
      <c r="BI137" s="51">
        <v>3918565.4226339096</v>
      </c>
      <c r="BK137" s="30">
        <v>0</v>
      </c>
      <c r="BL137" s="27">
        <v>0</v>
      </c>
      <c r="BM137" s="27">
        <v>0</v>
      </c>
      <c r="BN137" s="51">
        <v>3918565.4226339096</v>
      </c>
      <c r="BP137" s="30">
        <v>3918565.4226339096</v>
      </c>
      <c r="BQ137" s="20">
        <v>224149213.60693416</v>
      </c>
      <c r="BR137" s="51">
        <v>0</v>
      </c>
      <c r="BT137" s="30">
        <v>0</v>
      </c>
      <c r="BU137" s="51">
        <v>0</v>
      </c>
      <c r="BW137" s="221">
        <v>0</v>
      </c>
      <c r="BX137" s="222">
        <v>0</v>
      </c>
    </row>
    <row r="138" spans="6:76" x14ac:dyDescent="0.2">
      <c r="F138" s="151">
        <v>134</v>
      </c>
      <c r="G138" s="30">
        <v>5792753.5499999998</v>
      </c>
      <c r="H138" s="28">
        <v>0</v>
      </c>
      <c r="I138" s="28">
        <v>0</v>
      </c>
      <c r="J138" s="28">
        <v>0</v>
      </c>
      <c r="K138" s="28">
        <v>0</v>
      </c>
      <c r="L138" s="28">
        <v>0</v>
      </c>
      <c r="M138" s="27">
        <v>0</v>
      </c>
      <c r="N138" s="27">
        <v>340566.66666666669</v>
      </c>
      <c r="O138" s="51">
        <v>6133320.2166666668</v>
      </c>
      <c r="P138" s="5"/>
      <c r="Q138" s="30">
        <v>28333.333333333332</v>
      </c>
      <c r="R138" s="27">
        <v>28333.333333333332</v>
      </c>
      <c r="S138" s="27">
        <v>0</v>
      </c>
      <c r="T138" s="51">
        <v>6104986.8833333338</v>
      </c>
      <c r="U138" s="5"/>
      <c r="V138" s="30">
        <v>0</v>
      </c>
      <c r="W138" s="51">
        <v>5764420.2166666668</v>
      </c>
      <c r="Y138" s="30">
        <v>0</v>
      </c>
      <c r="Z138" s="27">
        <v>0</v>
      </c>
      <c r="AA138" s="27">
        <v>0</v>
      </c>
      <c r="AB138" s="51">
        <v>4296618.1534962449</v>
      </c>
      <c r="AD138" s="30">
        <v>218428566.11981407</v>
      </c>
      <c r="AE138" s="27">
        <v>132872.22168079135</v>
      </c>
      <c r="AF138" s="27">
        <v>218295693.89813328</v>
      </c>
      <c r="AG138" s="51">
        <v>4163745.9318154538</v>
      </c>
      <c r="AI138" s="30">
        <v>0</v>
      </c>
      <c r="AJ138" s="51">
        <v>5764420.2166666668</v>
      </c>
      <c r="AL138" s="43">
        <v>340000</v>
      </c>
      <c r="AM138" s="52">
        <v>-566.66666666668607</v>
      </c>
      <c r="AN138" s="53">
        <v>340000</v>
      </c>
      <c r="AO138" s="54">
        <v>5764986.8833333338</v>
      </c>
      <c r="AQ138" s="30">
        <v>0</v>
      </c>
      <c r="AR138" s="27">
        <v>0</v>
      </c>
      <c r="AS138" s="27">
        <v>0</v>
      </c>
      <c r="AT138" s="51">
        <v>5764986.8833333338</v>
      </c>
      <c r="AV138" s="30">
        <v>0</v>
      </c>
      <c r="AW138" s="27">
        <v>0</v>
      </c>
      <c r="AX138" s="27">
        <v>0</v>
      </c>
      <c r="AY138" s="51">
        <v>5764986.8833333338</v>
      </c>
      <c r="BA138" s="30">
        <v>0</v>
      </c>
      <c r="BB138" s="27">
        <v>0</v>
      </c>
      <c r="BC138" s="27">
        <v>0</v>
      </c>
      <c r="BD138" s="51">
        <v>5764986.8833333338</v>
      </c>
      <c r="BF138" s="30">
        <v>0</v>
      </c>
      <c r="BG138" s="27">
        <v>0</v>
      </c>
      <c r="BH138" s="27">
        <v>0</v>
      </c>
      <c r="BI138" s="51">
        <v>5764986.8833333338</v>
      </c>
      <c r="BK138" s="30">
        <v>0</v>
      </c>
      <c r="BL138" s="27">
        <v>0</v>
      </c>
      <c r="BM138" s="27">
        <v>0</v>
      </c>
      <c r="BN138" s="51">
        <v>5764986.8833333338</v>
      </c>
      <c r="BP138" s="30">
        <v>5764986.8833333338</v>
      </c>
      <c r="BQ138" s="20">
        <v>229914200.49026749</v>
      </c>
      <c r="BR138" s="51">
        <v>0</v>
      </c>
      <c r="BT138" s="30">
        <v>0</v>
      </c>
      <c r="BU138" s="51">
        <v>0</v>
      </c>
      <c r="BW138" s="221">
        <v>0</v>
      </c>
      <c r="BX138" s="222">
        <v>0</v>
      </c>
    </row>
    <row r="139" spans="6:76" x14ac:dyDescent="0.2">
      <c r="F139" s="151">
        <v>135</v>
      </c>
      <c r="G139" s="30">
        <v>4356665.28</v>
      </c>
      <c r="H139" s="28">
        <v>0</v>
      </c>
      <c r="I139" s="28">
        <v>0</v>
      </c>
      <c r="J139" s="28">
        <v>0</v>
      </c>
      <c r="K139" s="28">
        <v>0</v>
      </c>
      <c r="L139" s="28">
        <v>0</v>
      </c>
      <c r="M139" s="27">
        <v>0</v>
      </c>
      <c r="N139" s="27">
        <v>340566.66666666669</v>
      </c>
      <c r="O139" s="51">
        <v>4697231.9466666672</v>
      </c>
      <c r="P139" s="5"/>
      <c r="Q139" s="30">
        <v>28333.333333333332</v>
      </c>
      <c r="R139" s="27">
        <v>28333.333333333332</v>
      </c>
      <c r="S139" s="27">
        <v>0</v>
      </c>
      <c r="T139" s="51">
        <v>4668898.6133333342</v>
      </c>
      <c r="U139" s="5"/>
      <c r="V139" s="30">
        <v>0</v>
      </c>
      <c r="W139" s="51">
        <v>4328331.9466666672</v>
      </c>
      <c r="Y139" s="30">
        <v>0</v>
      </c>
      <c r="Z139" s="27">
        <v>0</v>
      </c>
      <c r="AA139" s="27">
        <v>0</v>
      </c>
      <c r="AB139" s="51">
        <v>3200843.3968893075</v>
      </c>
      <c r="AD139" s="30">
        <v>224454746.05666658</v>
      </c>
      <c r="AE139" s="27">
        <v>132872.22168079135</v>
      </c>
      <c r="AF139" s="27">
        <v>224321873.83498579</v>
      </c>
      <c r="AG139" s="51">
        <v>3067971.1752085164</v>
      </c>
      <c r="AI139" s="30">
        <v>0</v>
      </c>
      <c r="AJ139" s="51">
        <v>4328331.9466666672</v>
      </c>
      <c r="AL139" s="43">
        <v>340000</v>
      </c>
      <c r="AM139" s="52">
        <v>-566.66666666668607</v>
      </c>
      <c r="AN139" s="53">
        <v>340000</v>
      </c>
      <c r="AO139" s="54">
        <v>4328898.6133333342</v>
      </c>
      <c r="AQ139" s="30">
        <v>0</v>
      </c>
      <c r="AR139" s="27">
        <v>0</v>
      </c>
      <c r="AS139" s="27">
        <v>0</v>
      </c>
      <c r="AT139" s="51">
        <v>4328898.6133333342</v>
      </c>
      <c r="AV139" s="30">
        <v>0</v>
      </c>
      <c r="AW139" s="27">
        <v>0</v>
      </c>
      <c r="AX139" s="27">
        <v>0</v>
      </c>
      <c r="AY139" s="51">
        <v>4328898.6133333342</v>
      </c>
      <c r="BA139" s="30">
        <v>0</v>
      </c>
      <c r="BB139" s="27">
        <v>0</v>
      </c>
      <c r="BC139" s="27">
        <v>0</v>
      </c>
      <c r="BD139" s="51">
        <v>4328898.6133333342</v>
      </c>
      <c r="BF139" s="30">
        <v>0</v>
      </c>
      <c r="BG139" s="27">
        <v>0</v>
      </c>
      <c r="BH139" s="27">
        <v>0</v>
      </c>
      <c r="BI139" s="51">
        <v>4328898.6133333342</v>
      </c>
      <c r="BK139" s="30">
        <v>0</v>
      </c>
      <c r="BL139" s="27">
        <v>0</v>
      </c>
      <c r="BM139" s="27">
        <v>0</v>
      </c>
      <c r="BN139" s="51">
        <v>4328898.6133333342</v>
      </c>
      <c r="BP139" s="30">
        <v>4328898.6133333342</v>
      </c>
      <c r="BQ139" s="20">
        <v>234243099.10360083</v>
      </c>
      <c r="BR139" s="51">
        <v>0</v>
      </c>
      <c r="BT139" s="30">
        <v>0</v>
      </c>
      <c r="BU139" s="51">
        <v>0</v>
      </c>
      <c r="BW139" s="221">
        <v>0</v>
      </c>
      <c r="BX139" s="222">
        <v>0</v>
      </c>
    </row>
    <row r="140" spans="6:76" x14ac:dyDescent="0.2">
      <c r="F140" s="151">
        <v>136</v>
      </c>
      <c r="G140" s="30">
        <v>4262370.68</v>
      </c>
      <c r="H140" s="28">
        <v>0</v>
      </c>
      <c r="I140" s="28">
        <v>0</v>
      </c>
      <c r="J140" s="28">
        <v>0</v>
      </c>
      <c r="K140" s="28">
        <v>0</v>
      </c>
      <c r="L140" s="28">
        <v>0</v>
      </c>
      <c r="M140" s="27">
        <v>0</v>
      </c>
      <c r="N140" s="27">
        <v>340566.66666666669</v>
      </c>
      <c r="O140" s="51">
        <v>4602937.3466666667</v>
      </c>
      <c r="P140" s="5"/>
      <c r="Q140" s="30">
        <v>28333.333333333332</v>
      </c>
      <c r="R140" s="27">
        <v>28333.333333333332</v>
      </c>
      <c r="S140" s="27">
        <v>0</v>
      </c>
      <c r="T140" s="51">
        <v>4574604.0133333337</v>
      </c>
      <c r="U140" s="5"/>
      <c r="V140" s="30">
        <v>0</v>
      </c>
      <c r="W140" s="51">
        <v>4234037.3466666667</v>
      </c>
      <c r="Y140" s="30">
        <v>0</v>
      </c>
      <c r="Z140" s="27">
        <v>0</v>
      </c>
      <c r="AA140" s="27">
        <v>0</v>
      </c>
      <c r="AB140" s="51">
        <v>3421199.2688407535</v>
      </c>
      <c r="AD140" s="30">
        <v>230650950.2202228</v>
      </c>
      <c r="AE140" s="27">
        <v>132872.22168079135</v>
      </c>
      <c r="AF140" s="27">
        <v>230518077.99854201</v>
      </c>
      <c r="AG140" s="51">
        <v>3288327.0471599624</v>
      </c>
      <c r="AI140" s="30">
        <v>0</v>
      </c>
      <c r="AJ140" s="51">
        <v>4234037.3466666667</v>
      </c>
      <c r="AL140" s="43">
        <v>340000</v>
      </c>
      <c r="AM140" s="52">
        <v>-566.66666666668607</v>
      </c>
      <c r="AN140" s="53">
        <v>340000</v>
      </c>
      <c r="AO140" s="54">
        <v>4234604.0133333337</v>
      </c>
      <c r="AQ140" s="30">
        <v>0</v>
      </c>
      <c r="AR140" s="27">
        <v>0</v>
      </c>
      <c r="AS140" s="27">
        <v>0</v>
      </c>
      <c r="AT140" s="51">
        <v>4234604.0133333337</v>
      </c>
      <c r="AV140" s="30">
        <v>0</v>
      </c>
      <c r="AW140" s="27">
        <v>0</v>
      </c>
      <c r="AX140" s="27">
        <v>0</v>
      </c>
      <c r="AY140" s="51">
        <v>4234604.0133333337</v>
      </c>
      <c r="BA140" s="30">
        <v>0</v>
      </c>
      <c r="BB140" s="27">
        <v>0</v>
      </c>
      <c r="BC140" s="27">
        <v>0</v>
      </c>
      <c r="BD140" s="51">
        <v>4234604.0133333337</v>
      </c>
      <c r="BF140" s="30">
        <v>0</v>
      </c>
      <c r="BG140" s="27">
        <v>0</v>
      </c>
      <c r="BH140" s="27">
        <v>0</v>
      </c>
      <c r="BI140" s="51">
        <v>4234604.0133333337</v>
      </c>
      <c r="BK140" s="30">
        <v>0</v>
      </c>
      <c r="BL140" s="27">
        <v>0</v>
      </c>
      <c r="BM140" s="27">
        <v>0</v>
      </c>
      <c r="BN140" s="51">
        <v>4234604.0133333337</v>
      </c>
      <c r="BP140" s="30">
        <v>4234604.0133333337</v>
      </c>
      <c r="BQ140" s="20">
        <v>238477703.11693415</v>
      </c>
      <c r="BR140" s="51">
        <v>0</v>
      </c>
      <c r="BT140" s="30">
        <v>0</v>
      </c>
      <c r="BU140" s="51">
        <v>0</v>
      </c>
      <c r="BW140" s="221">
        <v>0</v>
      </c>
      <c r="BX140" s="222">
        <v>0</v>
      </c>
    </row>
    <row r="141" spans="6:76" x14ac:dyDescent="0.2">
      <c r="F141" s="151">
        <v>137</v>
      </c>
      <c r="G141" s="30">
        <v>3418647.88</v>
      </c>
      <c r="H141" s="28">
        <v>0</v>
      </c>
      <c r="I141" s="28">
        <v>0</v>
      </c>
      <c r="J141" s="28">
        <v>0</v>
      </c>
      <c r="K141" s="28">
        <v>0</v>
      </c>
      <c r="L141" s="28">
        <v>0</v>
      </c>
      <c r="M141" s="27">
        <v>0</v>
      </c>
      <c r="N141" s="27">
        <v>340566.66666666669</v>
      </c>
      <c r="O141" s="51">
        <v>3759214.5466666664</v>
      </c>
      <c r="P141" s="5"/>
      <c r="Q141" s="30">
        <v>28333.333333333332</v>
      </c>
      <c r="R141" s="27">
        <v>28333.333333333332</v>
      </c>
      <c r="S141" s="27">
        <v>0</v>
      </c>
      <c r="T141" s="51">
        <v>3730881.2133333329</v>
      </c>
      <c r="U141" s="5"/>
      <c r="V141" s="30">
        <v>0</v>
      </c>
      <c r="W141" s="51">
        <v>3390314.5466666664</v>
      </c>
      <c r="Y141" s="30">
        <v>0</v>
      </c>
      <c r="Z141" s="27">
        <v>0</v>
      </c>
      <c r="AA141" s="27">
        <v>0</v>
      </c>
      <c r="AB141" s="51">
        <v>3221433.2236487083</v>
      </c>
      <c r="AD141" s="30">
        <v>237021975.7187618</v>
      </c>
      <c r="AE141" s="27">
        <v>132872.22168079135</v>
      </c>
      <c r="AF141" s="27">
        <v>236889103.49708101</v>
      </c>
      <c r="AG141" s="51">
        <v>3088561.0019679172</v>
      </c>
      <c r="AI141" s="30">
        <v>0</v>
      </c>
      <c r="AJ141" s="51">
        <v>3390314.5466666664</v>
      </c>
      <c r="AL141" s="43">
        <v>340000</v>
      </c>
      <c r="AM141" s="52">
        <v>-566.66666666668607</v>
      </c>
      <c r="AN141" s="53">
        <v>340000</v>
      </c>
      <c r="AO141" s="54">
        <v>3390881.2133333329</v>
      </c>
      <c r="AQ141" s="30">
        <v>0</v>
      </c>
      <c r="AR141" s="27">
        <v>0</v>
      </c>
      <c r="AS141" s="27">
        <v>0</v>
      </c>
      <c r="AT141" s="51">
        <v>3390881.2133333329</v>
      </c>
      <c r="AV141" s="30">
        <v>0</v>
      </c>
      <c r="AW141" s="27">
        <v>0</v>
      </c>
      <c r="AX141" s="27">
        <v>0</v>
      </c>
      <c r="AY141" s="51">
        <v>3390881.2133333329</v>
      </c>
      <c r="BA141" s="30">
        <v>0</v>
      </c>
      <c r="BB141" s="27">
        <v>0</v>
      </c>
      <c r="BC141" s="27">
        <v>0</v>
      </c>
      <c r="BD141" s="51">
        <v>3390881.2133333329</v>
      </c>
      <c r="BF141" s="30">
        <v>0</v>
      </c>
      <c r="BG141" s="27">
        <v>0</v>
      </c>
      <c r="BH141" s="27">
        <v>0</v>
      </c>
      <c r="BI141" s="51">
        <v>3390881.2133333329</v>
      </c>
      <c r="BK141" s="30">
        <v>0</v>
      </c>
      <c r="BL141" s="27">
        <v>0</v>
      </c>
      <c r="BM141" s="27">
        <v>0</v>
      </c>
      <c r="BN141" s="51">
        <v>3390881.2133333329</v>
      </c>
      <c r="BP141" s="30">
        <v>3390881.2133333329</v>
      </c>
      <c r="BQ141" s="20">
        <v>241868584.33026749</v>
      </c>
      <c r="BR141" s="51">
        <v>0</v>
      </c>
      <c r="BT141" s="30">
        <v>0</v>
      </c>
      <c r="BU141" s="51">
        <v>0</v>
      </c>
      <c r="BW141" s="221">
        <v>0</v>
      </c>
      <c r="BX141" s="222">
        <v>0</v>
      </c>
    </row>
    <row r="142" spans="6:76" x14ac:dyDescent="0.2">
      <c r="F142" s="151">
        <v>138</v>
      </c>
      <c r="G142" s="30">
        <v>2003182.04</v>
      </c>
      <c r="H142" s="28">
        <v>0</v>
      </c>
      <c r="I142" s="28">
        <v>0</v>
      </c>
      <c r="J142" s="28">
        <v>0</v>
      </c>
      <c r="K142" s="28">
        <v>0</v>
      </c>
      <c r="L142" s="28">
        <v>0</v>
      </c>
      <c r="M142" s="27">
        <v>0</v>
      </c>
      <c r="N142" s="27">
        <v>340566.66666666669</v>
      </c>
      <c r="O142" s="51">
        <v>2343748.7066666665</v>
      </c>
      <c r="P142" s="5"/>
      <c r="Q142" s="30">
        <v>28333.333333333332</v>
      </c>
      <c r="R142" s="27">
        <v>28333.333333333332</v>
      </c>
      <c r="S142" s="27">
        <v>0</v>
      </c>
      <c r="T142" s="51">
        <v>2315415.3733333331</v>
      </c>
      <c r="U142" s="5"/>
      <c r="V142" s="30">
        <v>0</v>
      </c>
      <c r="W142" s="51">
        <v>1974848.7066666663</v>
      </c>
      <c r="Y142" s="30">
        <v>0</v>
      </c>
      <c r="Z142" s="27">
        <v>0</v>
      </c>
      <c r="AA142" s="27">
        <v>0</v>
      </c>
      <c r="AB142" s="51">
        <v>2695289.3736920618</v>
      </c>
      <c r="AD142" s="30">
        <v>243572755.00743812</v>
      </c>
      <c r="AE142" s="27">
        <v>132872.22168079135</v>
      </c>
      <c r="AF142" s="27">
        <v>243439882.78575733</v>
      </c>
      <c r="AG142" s="51">
        <v>2562417.1520112706</v>
      </c>
      <c r="AI142" s="30">
        <v>0</v>
      </c>
      <c r="AJ142" s="51">
        <v>1974848.7066666663</v>
      </c>
      <c r="AL142" s="43">
        <v>340000</v>
      </c>
      <c r="AM142" s="52">
        <v>-566.66666666668607</v>
      </c>
      <c r="AN142" s="53">
        <v>340000</v>
      </c>
      <c r="AO142" s="54">
        <v>1975415.3733333331</v>
      </c>
      <c r="AQ142" s="30">
        <v>0</v>
      </c>
      <c r="AR142" s="27">
        <v>0</v>
      </c>
      <c r="AS142" s="27">
        <v>0</v>
      </c>
      <c r="AT142" s="51">
        <v>1975415.3733333331</v>
      </c>
      <c r="AV142" s="30">
        <v>0</v>
      </c>
      <c r="AW142" s="27">
        <v>0</v>
      </c>
      <c r="AX142" s="27">
        <v>0</v>
      </c>
      <c r="AY142" s="51">
        <v>1975415.3733333331</v>
      </c>
      <c r="BA142" s="30">
        <v>0</v>
      </c>
      <c r="BB142" s="27">
        <v>0</v>
      </c>
      <c r="BC142" s="27">
        <v>0</v>
      </c>
      <c r="BD142" s="51">
        <v>1975415.3733333331</v>
      </c>
      <c r="BF142" s="30">
        <v>0</v>
      </c>
      <c r="BG142" s="27">
        <v>0</v>
      </c>
      <c r="BH142" s="27">
        <v>0</v>
      </c>
      <c r="BI142" s="51">
        <v>1975415.3733333331</v>
      </c>
      <c r="BK142" s="30">
        <v>0</v>
      </c>
      <c r="BL142" s="27">
        <v>0</v>
      </c>
      <c r="BM142" s="27">
        <v>0</v>
      </c>
      <c r="BN142" s="51">
        <v>1975415.3733333331</v>
      </c>
      <c r="BP142" s="30">
        <v>1975415.3733333331</v>
      </c>
      <c r="BQ142" s="20">
        <v>243843999.70360082</v>
      </c>
      <c r="BR142" s="51">
        <v>0</v>
      </c>
      <c r="BT142" s="30">
        <v>0</v>
      </c>
      <c r="BU142" s="51">
        <v>0</v>
      </c>
      <c r="BW142" s="221">
        <v>0</v>
      </c>
      <c r="BX142" s="222">
        <v>0</v>
      </c>
    </row>
    <row r="143" spans="6:76" x14ac:dyDescent="0.2">
      <c r="F143" s="151">
        <v>139</v>
      </c>
      <c r="G143" s="30">
        <v>2328122.59</v>
      </c>
      <c r="H143" s="28">
        <v>0</v>
      </c>
      <c r="I143" s="28">
        <v>0</v>
      </c>
      <c r="J143" s="28">
        <v>0</v>
      </c>
      <c r="K143" s="28">
        <v>0</v>
      </c>
      <c r="L143" s="28">
        <v>0</v>
      </c>
      <c r="M143" s="27">
        <v>0</v>
      </c>
      <c r="N143" s="27">
        <v>340566.66666666669</v>
      </c>
      <c r="O143" s="51">
        <v>2668689.2566666664</v>
      </c>
      <c r="P143" s="5"/>
      <c r="Q143" s="30">
        <v>28333.333333333332</v>
      </c>
      <c r="R143" s="27">
        <v>28333.333333333332</v>
      </c>
      <c r="S143" s="27">
        <v>0</v>
      </c>
      <c r="T143" s="51">
        <v>2640355.9233333329</v>
      </c>
      <c r="U143" s="5"/>
      <c r="V143" s="30">
        <v>0</v>
      </c>
      <c r="W143" s="51">
        <v>2299789.2566666664</v>
      </c>
      <c r="Y143" s="30">
        <v>0</v>
      </c>
      <c r="Z143" s="27">
        <v>0</v>
      </c>
      <c r="AA143" s="27">
        <v>0</v>
      </c>
      <c r="AB143" s="51">
        <v>3462464.4169759694</v>
      </c>
      <c r="AD143" s="30">
        <v>250308359.70699418</v>
      </c>
      <c r="AE143" s="27">
        <v>132872.22168079135</v>
      </c>
      <c r="AF143" s="27">
        <v>250175487.48531339</v>
      </c>
      <c r="AG143" s="51">
        <v>3329592.1952951783</v>
      </c>
      <c r="AI143" s="30">
        <v>0</v>
      </c>
      <c r="AJ143" s="51">
        <v>2299789.2566666664</v>
      </c>
      <c r="AL143" s="43">
        <v>340000</v>
      </c>
      <c r="AM143" s="52">
        <v>-566.66666666668607</v>
      </c>
      <c r="AN143" s="53">
        <v>340000</v>
      </c>
      <c r="AO143" s="54">
        <v>2300355.9233333329</v>
      </c>
      <c r="AQ143" s="30">
        <v>0</v>
      </c>
      <c r="AR143" s="27">
        <v>0</v>
      </c>
      <c r="AS143" s="27">
        <v>0</v>
      </c>
      <c r="AT143" s="51">
        <v>2300355.9233333329</v>
      </c>
      <c r="AV143" s="30">
        <v>0</v>
      </c>
      <c r="AW143" s="27">
        <v>0</v>
      </c>
      <c r="AX143" s="27">
        <v>0</v>
      </c>
      <c r="AY143" s="51">
        <v>2300355.9233333329</v>
      </c>
      <c r="BA143" s="30">
        <v>0</v>
      </c>
      <c r="BB143" s="27">
        <v>0</v>
      </c>
      <c r="BC143" s="27">
        <v>0</v>
      </c>
      <c r="BD143" s="51">
        <v>2300355.9233333329</v>
      </c>
      <c r="BF143" s="30">
        <v>0</v>
      </c>
      <c r="BG143" s="27">
        <v>0</v>
      </c>
      <c r="BH143" s="27">
        <v>0</v>
      </c>
      <c r="BI143" s="51">
        <v>2300355.9233333329</v>
      </c>
      <c r="BK143" s="30">
        <v>0</v>
      </c>
      <c r="BL143" s="27">
        <v>0</v>
      </c>
      <c r="BM143" s="27">
        <v>0</v>
      </c>
      <c r="BN143" s="51">
        <v>2300355.9233333329</v>
      </c>
      <c r="BP143" s="30">
        <v>2300355.9233333329</v>
      </c>
      <c r="BQ143" s="20">
        <v>246144355.62693417</v>
      </c>
      <c r="BR143" s="51">
        <v>0</v>
      </c>
      <c r="BT143" s="30">
        <v>0</v>
      </c>
      <c r="BU143" s="51">
        <v>0</v>
      </c>
      <c r="BW143" s="221">
        <v>0</v>
      </c>
      <c r="BX143" s="222">
        <v>0</v>
      </c>
    </row>
    <row r="144" spans="6:76" x14ac:dyDescent="0.2">
      <c r="F144" s="151">
        <v>140</v>
      </c>
      <c r="G144" s="30">
        <v>2724357.42</v>
      </c>
      <c r="H144" s="28">
        <v>0</v>
      </c>
      <c r="I144" s="28">
        <v>0</v>
      </c>
      <c r="J144" s="28">
        <v>0</v>
      </c>
      <c r="K144" s="28">
        <v>0</v>
      </c>
      <c r="L144" s="28">
        <v>0</v>
      </c>
      <c r="M144" s="27">
        <v>0</v>
      </c>
      <c r="N144" s="27">
        <v>340566.66666666669</v>
      </c>
      <c r="O144" s="51">
        <v>3064924.0866666664</v>
      </c>
      <c r="P144" s="5"/>
      <c r="Q144" s="30">
        <v>28333.333333333332</v>
      </c>
      <c r="R144" s="27">
        <v>28333.333333333332</v>
      </c>
      <c r="S144" s="27">
        <v>0</v>
      </c>
      <c r="T144" s="51">
        <v>3036590.7533333329</v>
      </c>
      <c r="U144" s="5"/>
      <c r="V144" s="30">
        <v>0</v>
      </c>
      <c r="W144" s="51">
        <v>2696024.0866666664</v>
      </c>
      <c r="Y144" s="30">
        <v>0</v>
      </c>
      <c r="Z144" s="27">
        <v>0</v>
      </c>
      <c r="AA144" s="27">
        <v>0</v>
      </c>
      <c r="AB144" s="51">
        <v>3887230.2418029429</v>
      </c>
      <c r="AD144" s="30">
        <v>257234004.53021473</v>
      </c>
      <c r="AE144" s="27">
        <v>132872.22168079135</v>
      </c>
      <c r="AF144" s="27">
        <v>257101132.30853394</v>
      </c>
      <c r="AG144" s="51">
        <v>3754358.0201221518</v>
      </c>
      <c r="AI144" s="30">
        <v>0</v>
      </c>
      <c r="AJ144" s="51">
        <v>2696024.0866666664</v>
      </c>
      <c r="AL144" s="43">
        <v>340000</v>
      </c>
      <c r="AM144" s="52">
        <v>-566.66666666668607</v>
      </c>
      <c r="AN144" s="53">
        <v>340000</v>
      </c>
      <c r="AO144" s="54">
        <v>2696590.7533333329</v>
      </c>
      <c r="AQ144" s="30">
        <v>0</v>
      </c>
      <c r="AR144" s="27">
        <v>0</v>
      </c>
      <c r="AS144" s="27">
        <v>0</v>
      </c>
      <c r="AT144" s="51">
        <v>2696590.7533333329</v>
      </c>
      <c r="AV144" s="30">
        <v>0</v>
      </c>
      <c r="AW144" s="27">
        <v>0</v>
      </c>
      <c r="AX144" s="27">
        <v>0</v>
      </c>
      <c r="AY144" s="51">
        <v>2696590.7533333329</v>
      </c>
      <c r="BA144" s="30">
        <v>0</v>
      </c>
      <c r="BB144" s="27">
        <v>0</v>
      </c>
      <c r="BC144" s="27">
        <v>0</v>
      </c>
      <c r="BD144" s="51">
        <v>2696590.7533333329</v>
      </c>
      <c r="BF144" s="30">
        <v>0</v>
      </c>
      <c r="BG144" s="27">
        <v>0</v>
      </c>
      <c r="BH144" s="27">
        <v>0</v>
      </c>
      <c r="BI144" s="51">
        <v>2696590.7533333329</v>
      </c>
      <c r="BK144" s="30">
        <v>0</v>
      </c>
      <c r="BL144" s="27">
        <v>0</v>
      </c>
      <c r="BM144" s="27">
        <v>0</v>
      </c>
      <c r="BN144" s="51">
        <v>2696590.7533333329</v>
      </c>
      <c r="BP144" s="30">
        <v>2696590.7533333329</v>
      </c>
      <c r="BQ144" s="20">
        <v>248840946.3802675</v>
      </c>
      <c r="BR144" s="51">
        <v>0</v>
      </c>
      <c r="BT144" s="30">
        <v>0</v>
      </c>
      <c r="BU144" s="51">
        <v>0</v>
      </c>
      <c r="BW144" s="221">
        <v>0</v>
      </c>
      <c r="BX144" s="222">
        <v>0</v>
      </c>
    </row>
    <row r="145" spans="6:76" x14ac:dyDescent="0.2">
      <c r="F145" s="151">
        <v>141</v>
      </c>
      <c r="G145" s="30">
        <v>3274653.87</v>
      </c>
      <c r="H145" s="28">
        <v>0</v>
      </c>
      <c r="I145" s="28">
        <v>0</v>
      </c>
      <c r="J145" s="28">
        <v>0</v>
      </c>
      <c r="K145" s="28">
        <v>0</v>
      </c>
      <c r="L145" s="28">
        <v>0</v>
      </c>
      <c r="M145" s="27">
        <v>0</v>
      </c>
      <c r="N145" s="27">
        <v>340566.66666666669</v>
      </c>
      <c r="O145" s="51">
        <v>3615220.5366666666</v>
      </c>
      <c r="P145" s="5"/>
      <c r="Q145" s="30">
        <v>28333.333333333332</v>
      </c>
      <c r="R145" s="27">
        <v>28333.333333333332</v>
      </c>
      <c r="S145" s="27">
        <v>0</v>
      </c>
      <c r="T145" s="51">
        <v>3586887.2033333331</v>
      </c>
      <c r="U145" s="5"/>
      <c r="V145" s="30">
        <v>0</v>
      </c>
      <c r="W145" s="51">
        <v>3246320.5366666666</v>
      </c>
      <c r="Y145" s="30">
        <v>0</v>
      </c>
      <c r="Z145" s="27">
        <v>0</v>
      </c>
      <c r="AA145" s="27">
        <v>0</v>
      </c>
      <c r="AB145" s="51">
        <v>3116328.36027674</v>
      </c>
      <c r="AD145" s="30">
        <v>264355051.31916344</v>
      </c>
      <c r="AE145" s="27">
        <v>132872.22168079135</v>
      </c>
      <c r="AF145" s="27">
        <v>264222179.09748265</v>
      </c>
      <c r="AG145" s="51">
        <v>2983456.1385959489</v>
      </c>
      <c r="AI145" s="30">
        <v>0</v>
      </c>
      <c r="AJ145" s="51">
        <v>3246320.5366666666</v>
      </c>
      <c r="AL145" s="43">
        <v>340000</v>
      </c>
      <c r="AM145" s="52">
        <v>-566.66666666668607</v>
      </c>
      <c r="AN145" s="53">
        <v>340000</v>
      </c>
      <c r="AO145" s="54">
        <v>3246887.2033333331</v>
      </c>
      <c r="AQ145" s="30">
        <v>0</v>
      </c>
      <c r="AR145" s="27">
        <v>0</v>
      </c>
      <c r="AS145" s="27">
        <v>0</v>
      </c>
      <c r="AT145" s="51">
        <v>3246887.2033333331</v>
      </c>
      <c r="AV145" s="30">
        <v>0</v>
      </c>
      <c r="AW145" s="27">
        <v>0</v>
      </c>
      <c r="AX145" s="27">
        <v>0</v>
      </c>
      <c r="AY145" s="51">
        <v>3246887.2033333331</v>
      </c>
      <c r="BA145" s="30">
        <v>0</v>
      </c>
      <c r="BB145" s="27">
        <v>0</v>
      </c>
      <c r="BC145" s="27">
        <v>0</v>
      </c>
      <c r="BD145" s="51">
        <v>3246887.2033333331</v>
      </c>
      <c r="BF145" s="30">
        <v>0</v>
      </c>
      <c r="BG145" s="27">
        <v>0</v>
      </c>
      <c r="BH145" s="27">
        <v>0</v>
      </c>
      <c r="BI145" s="51">
        <v>3246887.2033333331</v>
      </c>
      <c r="BK145" s="30">
        <v>0</v>
      </c>
      <c r="BL145" s="27">
        <v>0</v>
      </c>
      <c r="BM145" s="27">
        <v>0</v>
      </c>
      <c r="BN145" s="51">
        <v>3246887.2033333331</v>
      </c>
      <c r="BP145" s="30">
        <v>3246887.2033333331</v>
      </c>
      <c r="BQ145" s="20">
        <v>252087833.58360082</v>
      </c>
      <c r="BR145" s="51">
        <v>0</v>
      </c>
      <c r="BT145" s="30">
        <v>0</v>
      </c>
      <c r="BU145" s="51">
        <v>0</v>
      </c>
      <c r="BW145" s="221">
        <v>0</v>
      </c>
      <c r="BX145" s="222">
        <v>0</v>
      </c>
    </row>
    <row r="146" spans="6:76" x14ac:dyDescent="0.2">
      <c r="F146" s="151">
        <v>142</v>
      </c>
      <c r="G146" s="30">
        <v>3461662.29</v>
      </c>
      <c r="H146" s="28">
        <v>0</v>
      </c>
      <c r="I146" s="28">
        <v>0</v>
      </c>
      <c r="J146" s="28">
        <v>0</v>
      </c>
      <c r="K146" s="28">
        <v>0</v>
      </c>
      <c r="L146" s="28">
        <v>0</v>
      </c>
      <c r="M146" s="27">
        <v>0</v>
      </c>
      <c r="N146" s="27">
        <v>340566.66666666669</v>
      </c>
      <c r="O146" s="51">
        <v>3802228.9566666665</v>
      </c>
      <c r="P146" s="5"/>
      <c r="Q146" s="30">
        <v>28333.333333333332</v>
      </c>
      <c r="R146" s="27">
        <v>28333.333333333332</v>
      </c>
      <c r="S146" s="27">
        <v>0</v>
      </c>
      <c r="T146" s="51">
        <v>3773895.6233333331</v>
      </c>
      <c r="U146" s="5"/>
      <c r="V146" s="30">
        <v>0</v>
      </c>
      <c r="W146" s="51">
        <v>3433328.9566666665</v>
      </c>
      <c r="Y146" s="30">
        <v>0</v>
      </c>
      <c r="Z146" s="27">
        <v>0</v>
      </c>
      <c r="AA146" s="27">
        <v>0</v>
      </c>
      <c r="AB146" s="51">
        <v>3487203.9748265008</v>
      </c>
      <c r="AD146" s="30">
        <v>271677013.19632715</v>
      </c>
      <c r="AE146" s="27">
        <v>132872.22168079135</v>
      </c>
      <c r="AF146" s="27">
        <v>271544140.97464633</v>
      </c>
      <c r="AG146" s="51">
        <v>3354331.7531457096</v>
      </c>
      <c r="AI146" s="30">
        <v>0</v>
      </c>
      <c r="AJ146" s="51">
        <v>3433328.9566666665</v>
      </c>
      <c r="AL146" s="43">
        <v>340000</v>
      </c>
      <c r="AM146" s="52">
        <v>-566.66666666668607</v>
      </c>
      <c r="AN146" s="53">
        <v>340000</v>
      </c>
      <c r="AO146" s="54">
        <v>3433895.6233333331</v>
      </c>
      <c r="AQ146" s="30">
        <v>0</v>
      </c>
      <c r="AR146" s="27">
        <v>0</v>
      </c>
      <c r="AS146" s="27">
        <v>0</v>
      </c>
      <c r="AT146" s="51">
        <v>3433895.6233333331</v>
      </c>
      <c r="AV146" s="30">
        <v>0</v>
      </c>
      <c r="AW146" s="27">
        <v>0</v>
      </c>
      <c r="AX146" s="27">
        <v>0</v>
      </c>
      <c r="AY146" s="51">
        <v>3433895.6233333331</v>
      </c>
      <c r="BA146" s="30">
        <v>0</v>
      </c>
      <c r="BB146" s="27">
        <v>0</v>
      </c>
      <c r="BC146" s="27">
        <v>0</v>
      </c>
      <c r="BD146" s="51">
        <v>3433895.6233333331</v>
      </c>
      <c r="BF146" s="30">
        <v>0</v>
      </c>
      <c r="BG146" s="27">
        <v>0</v>
      </c>
      <c r="BH146" s="27">
        <v>0</v>
      </c>
      <c r="BI146" s="51">
        <v>3433895.6233333331</v>
      </c>
      <c r="BK146" s="30">
        <v>0</v>
      </c>
      <c r="BL146" s="27">
        <v>0</v>
      </c>
      <c r="BM146" s="27">
        <v>0</v>
      </c>
      <c r="BN146" s="51">
        <v>3433895.6233333331</v>
      </c>
      <c r="BP146" s="30">
        <v>3433895.6233333331</v>
      </c>
      <c r="BQ146" s="20">
        <v>255521729.20693415</v>
      </c>
      <c r="BR146" s="51">
        <v>0</v>
      </c>
      <c r="BT146" s="30">
        <v>0</v>
      </c>
      <c r="BU146" s="51">
        <v>0</v>
      </c>
      <c r="BW146" s="221">
        <v>0</v>
      </c>
      <c r="BX146" s="222">
        <v>0</v>
      </c>
    </row>
    <row r="147" spans="6:76" x14ac:dyDescent="0.2">
      <c r="F147" s="151">
        <v>143</v>
      </c>
      <c r="G147" s="30">
        <v>3550230.69</v>
      </c>
      <c r="H147" s="28">
        <v>0</v>
      </c>
      <c r="I147" s="28">
        <v>0</v>
      </c>
      <c r="J147" s="28">
        <v>0</v>
      </c>
      <c r="K147" s="28">
        <v>0</v>
      </c>
      <c r="L147" s="28">
        <v>0</v>
      </c>
      <c r="M147" s="27">
        <v>0</v>
      </c>
      <c r="N147" s="27">
        <v>340566.66666666669</v>
      </c>
      <c r="O147" s="51">
        <v>3890797.3566666665</v>
      </c>
      <c r="P147" s="5"/>
      <c r="Q147" s="30">
        <v>28333.333333333332</v>
      </c>
      <c r="R147" s="27">
        <v>28333.333333333332</v>
      </c>
      <c r="S147" s="27">
        <v>0</v>
      </c>
      <c r="T147" s="51">
        <v>3862464.023333333</v>
      </c>
      <c r="U147" s="5"/>
      <c r="V147" s="30">
        <v>0</v>
      </c>
      <c r="W147" s="51">
        <v>3521897.3566666665</v>
      </c>
      <c r="Y147" s="30">
        <v>0</v>
      </c>
      <c r="Z147" s="27">
        <v>0</v>
      </c>
      <c r="AA147" s="27">
        <v>0</v>
      </c>
      <c r="AB147" s="51">
        <v>4228732.0457262471</v>
      </c>
      <c r="AD147" s="30">
        <v>279205558.83288133</v>
      </c>
      <c r="AE147" s="27">
        <v>132872.22168079135</v>
      </c>
      <c r="AF147" s="27">
        <v>279072686.61120051</v>
      </c>
      <c r="AG147" s="51">
        <v>4095859.824045456</v>
      </c>
      <c r="AI147" s="30">
        <v>0</v>
      </c>
      <c r="AJ147" s="51">
        <v>3521897.3566666665</v>
      </c>
      <c r="AL147" s="43">
        <v>340000</v>
      </c>
      <c r="AM147" s="52">
        <v>-566.66666666668607</v>
      </c>
      <c r="AN147" s="53">
        <v>340000</v>
      </c>
      <c r="AO147" s="54">
        <v>3522464.023333333</v>
      </c>
      <c r="AQ147" s="30">
        <v>0</v>
      </c>
      <c r="AR147" s="27">
        <v>0</v>
      </c>
      <c r="AS147" s="27">
        <v>0</v>
      </c>
      <c r="AT147" s="51">
        <v>3522464.023333333</v>
      </c>
      <c r="AV147" s="30">
        <v>0</v>
      </c>
      <c r="AW147" s="27">
        <v>0</v>
      </c>
      <c r="AX147" s="27">
        <v>0</v>
      </c>
      <c r="AY147" s="51">
        <v>3522464.023333333</v>
      </c>
      <c r="BA147" s="30">
        <v>0</v>
      </c>
      <c r="BB147" s="27">
        <v>0</v>
      </c>
      <c r="BC147" s="27">
        <v>0</v>
      </c>
      <c r="BD147" s="51">
        <v>3522464.023333333</v>
      </c>
      <c r="BF147" s="30">
        <v>0</v>
      </c>
      <c r="BG147" s="27">
        <v>0</v>
      </c>
      <c r="BH147" s="27">
        <v>0</v>
      </c>
      <c r="BI147" s="51">
        <v>3522464.023333333</v>
      </c>
      <c r="BK147" s="30">
        <v>0</v>
      </c>
      <c r="BL147" s="27">
        <v>0</v>
      </c>
      <c r="BM147" s="27">
        <v>0</v>
      </c>
      <c r="BN147" s="51">
        <v>3522464.023333333</v>
      </c>
      <c r="BP147" s="30">
        <v>3522464.023333333</v>
      </c>
      <c r="BQ147" s="20">
        <v>259044193.23026749</v>
      </c>
      <c r="BR147" s="51">
        <v>0</v>
      </c>
      <c r="BT147" s="30">
        <v>0</v>
      </c>
      <c r="BU147" s="51">
        <v>0</v>
      </c>
      <c r="BW147" s="221">
        <v>0</v>
      </c>
      <c r="BX147" s="222">
        <v>0</v>
      </c>
    </row>
    <row r="148" spans="6:76" x14ac:dyDescent="0.2">
      <c r="F148" s="151">
        <v>144</v>
      </c>
      <c r="G148" s="30">
        <v>7278509.4100000001</v>
      </c>
      <c r="H148" s="28">
        <v>0</v>
      </c>
      <c r="I148" s="28">
        <v>0</v>
      </c>
      <c r="J148" s="28">
        <v>0</v>
      </c>
      <c r="K148" s="28">
        <v>0</v>
      </c>
      <c r="L148" s="28">
        <v>0</v>
      </c>
      <c r="M148" s="27">
        <v>0</v>
      </c>
      <c r="N148" s="27">
        <v>340566.66666666669</v>
      </c>
      <c r="O148" s="51">
        <v>7619076.0766666671</v>
      </c>
      <c r="P148" s="5"/>
      <c r="Q148" s="30">
        <v>26666.666666666668</v>
      </c>
      <c r="R148" s="27">
        <v>26666.666666666668</v>
      </c>
      <c r="S148" s="27">
        <v>0</v>
      </c>
      <c r="T148" s="51">
        <v>7592409.4100000001</v>
      </c>
      <c r="U148" s="5"/>
      <c r="V148" s="30">
        <v>0</v>
      </c>
      <c r="W148" s="51">
        <v>7251842.7433333332</v>
      </c>
      <c r="Y148" s="30">
        <v>0</v>
      </c>
      <c r="Z148" s="27">
        <v>0</v>
      </c>
      <c r="AA148" s="27">
        <v>0</v>
      </c>
      <c r="AB148" s="51">
        <v>7750554.9533041324</v>
      </c>
      <c r="AD148" s="30">
        <v>286946516.83738208</v>
      </c>
      <c r="AE148" s="27">
        <v>132872.22168079135</v>
      </c>
      <c r="AF148" s="27">
        <v>286813644.61570126</v>
      </c>
      <c r="AG148" s="51">
        <v>7617682.7316233413</v>
      </c>
      <c r="AI148" s="30">
        <v>0</v>
      </c>
      <c r="AJ148" s="51">
        <v>7251842.7433333332</v>
      </c>
      <c r="AL148" s="43">
        <v>320000</v>
      </c>
      <c r="AM148" s="52">
        <v>-20566.666666666686</v>
      </c>
      <c r="AN148" s="53">
        <v>320000</v>
      </c>
      <c r="AO148" s="54">
        <v>7272409.4100000001</v>
      </c>
      <c r="AQ148" s="30">
        <v>0</v>
      </c>
      <c r="AR148" s="27">
        <v>0</v>
      </c>
      <c r="AS148" s="27">
        <v>0</v>
      </c>
      <c r="AT148" s="51">
        <v>7272409.4100000001</v>
      </c>
      <c r="AV148" s="30">
        <v>0</v>
      </c>
      <c r="AW148" s="27">
        <v>0</v>
      </c>
      <c r="AX148" s="27">
        <v>0</v>
      </c>
      <c r="AY148" s="51">
        <v>7272409.4100000001</v>
      </c>
      <c r="BA148" s="30">
        <v>0</v>
      </c>
      <c r="BB148" s="27">
        <v>0</v>
      </c>
      <c r="BC148" s="27">
        <v>0</v>
      </c>
      <c r="BD148" s="51">
        <v>7272409.4100000001</v>
      </c>
      <c r="BF148" s="30">
        <v>0</v>
      </c>
      <c r="BG148" s="27">
        <v>0</v>
      </c>
      <c r="BH148" s="27">
        <v>0</v>
      </c>
      <c r="BI148" s="51">
        <v>7272409.4100000001</v>
      </c>
      <c r="BK148" s="30">
        <v>0</v>
      </c>
      <c r="BL148" s="27">
        <v>0</v>
      </c>
      <c r="BM148" s="27">
        <v>0</v>
      </c>
      <c r="BN148" s="51">
        <v>7272409.4100000001</v>
      </c>
      <c r="BP148" s="30">
        <v>7272409.4100000001</v>
      </c>
      <c r="BQ148" s="20">
        <v>266316602.64026749</v>
      </c>
      <c r="BR148" s="51">
        <v>0</v>
      </c>
      <c r="BT148" s="30">
        <v>0</v>
      </c>
      <c r="BU148" s="51">
        <v>0</v>
      </c>
      <c r="BW148" s="221">
        <v>0</v>
      </c>
      <c r="BX148" s="222">
        <v>0</v>
      </c>
    </row>
    <row r="149" spans="6:76" x14ac:dyDescent="0.2">
      <c r="F149" s="151">
        <v>145</v>
      </c>
      <c r="G149" s="30">
        <v>2395180.1800000002</v>
      </c>
      <c r="H149" s="28">
        <v>0</v>
      </c>
      <c r="I149" s="28">
        <v>0</v>
      </c>
      <c r="J149" s="28">
        <v>0</v>
      </c>
      <c r="K149" s="28">
        <v>0</v>
      </c>
      <c r="L149" s="28">
        <v>0</v>
      </c>
      <c r="M149" s="27">
        <v>0</v>
      </c>
      <c r="N149" s="27">
        <v>320533.33333333331</v>
      </c>
      <c r="O149" s="51">
        <v>2715713.5133333337</v>
      </c>
      <c r="P149" s="5"/>
      <c r="Q149" s="30">
        <v>26666.666666666668</v>
      </c>
      <c r="R149" s="27">
        <v>26666.666666666668</v>
      </c>
      <c r="S149" s="27">
        <v>0</v>
      </c>
      <c r="T149" s="51">
        <v>2689046.8466666671</v>
      </c>
      <c r="U149" s="5"/>
      <c r="V149" s="30">
        <v>0</v>
      </c>
      <c r="W149" s="51">
        <v>2368513.5133333337</v>
      </c>
      <c r="Y149" s="30">
        <v>0</v>
      </c>
      <c r="Z149" s="27">
        <v>0</v>
      </c>
      <c r="AA149" s="27">
        <v>0</v>
      </c>
      <c r="AB149" s="51">
        <v>2759708.0652512787</v>
      </c>
      <c r="AD149" s="30">
        <v>294905880.2682811</v>
      </c>
      <c r="AE149" s="27">
        <v>132872.22168079135</v>
      </c>
      <c r="AF149" s="27">
        <v>294773008.04660028</v>
      </c>
      <c r="AG149" s="51">
        <v>2626835.8435704876</v>
      </c>
      <c r="AI149" s="30">
        <v>0</v>
      </c>
      <c r="AJ149" s="51">
        <v>2368513.5133333337</v>
      </c>
      <c r="AL149" s="43">
        <v>320000</v>
      </c>
      <c r="AM149" s="52">
        <v>-533.33333333331393</v>
      </c>
      <c r="AN149" s="53">
        <v>320000</v>
      </c>
      <c r="AO149" s="54">
        <v>2369046.8466666671</v>
      </c>
      <c r="AQ149" s="30">
        <v>0</v>
      </c>
      <c r="AR149" s="27">
        <v>0</v>
      </c>
      <c r="AS149" s="27">
        <v>0</v>
      </c>
      <c r="AT149" s="51">
        <v>2369046.8466666671</v>
      </c>
      <c r="AV149" s="30">
        <v>0</v>
      </c>
      <c r="AW149" s="27">
        <v>0</v>
      </c>
      <c r="AX149" s="27">
        <v>0</v>
      </c>
      <c r="AY149" s="51">
        <v>2369046.8466666671</v>
      </c>
      <c r="BA149" s="30">
        <v>0</v>
      </c>
      <c r="BB149" s="27">
        <v>0</v>
      </c>
      <c r="BC149" s="27">
        <v>0</v>
      </c>
      <c r="BD149" s="51">
        <v>2369046.8466666671</v>
      </c>
      <c r="BF149" s="30">
        <v>0</v>
      </c>
      <c r="BG149" s="27">
        <v>0</v>
      </c>
      <c r="BH149" s="27">
        <v>0</v>
      </c>
      <c r="BI149" s="51">
        <v>2369046.8466666671</v>
      </c>
      <c r="BK149" s="30">
        <v>0</v>
      </c>
      <c r="BL149" s="27">
        <v>0</v>
      </c>
      <c r="BM149" s="27">
        <v>0</v>
      </c>
      <c r="BN149" s="51">
        <v>2369046.8466666671</v>
      </c>
      <c r="BP149" s="30">
        <v>2369046.8466666671</v>
      </c>
      <c r="BQ149" s="20">
        <v>268685649.48693419</v>
      </c>
      <c r="BR149" s="51">
        <v>0</v>
      </c>
      <c r="BT149" s="30">
        <v>0</v>
      </c>
      <c r="BU149" s="51">
        <v>0</v>
      </c>
      <c r="BW149" s="221">
        <v>0</v>
      </c>
      <c r="BX149" s="222">
        <v>0</v>
      </c>
    </row>
    <row r="150" spans="6:76" x14ac:dyDescent="0.2">
      <c r="F150" s="151">
        <v>146</v>
      </c>
      <c r="G150" s="30">
        <v>2535841.7200000002</v>
      </c>
      <c r="H150" s="28">
        <v>0</v>
      </c>
      <c r="I150" s="28">
        <v>0</v>
      </c>
      <c r="J150" s="28">
        <v>0</v>
      </c>
      <c r="K150" s="28">
        <v>0</v>
      </c>
      <c r="L150" s="28">
        <v>0</v>
      </c>
      <c r="M150" s="27">
        <v>0</v>
      </c>
      <c r="N150" s="27">
        <v>320533.33333333331</v>
      </c>
      <c r="O150" s="51">
        <v>2856375.0533333337</v>
      </c>
      <c r="P150" s="5"/>
      <c r="Q150" s="30">
        <v>26666.666666666668</v>
      </c>
      <c r="R150" s="27">
        <v>26666.666666666668</v>
      </c>
      <c r="S150" s="27">
        <v>0</v>
      </c>
      <c r="T150" s="51">
        <v>2829708.3866666672</v>
      </c>
      <c r="U150" s="5"/>
      <c r="V150" s="30">
        <v>0</v>
      </c>
      <c r="W150" s="51">
        <v>2509175.0533333337</v>
      </c>
      <c r="Y150" s="30">
        <v>0</v>
      </c>
      <c r="Z150" s="27">
        <v>0</v>
      </c>
      <c r="AA150" s="27">
        <v>0</v>
      </c>
      <c r="AB150" s="51">
        <v>3600320.9804026103</v>
      </c>
      <c r="AD150" s="30">
        <v>303089811.27375865</v>
      </c>
      <c r="AE150" s="27">
        <v>132872.22168079135</v>
      </c>
      <c r="AF150" s="27">
        <v>302956939.05207783</v>
      </c>
      <c r="AG150" s="51">
        <v>3467448.7587218191</v>
      </c>
      <c r="AI150" s="30">
        <v>0</v>
      </c>
      <c r="AJ150" s="51">
        <v>2509175.0533333337</v>
      </c>
      <c r="AL150" s="43">
        <v>320000</v>
      </c>
      <c r="AM150" s="52">
        <v>-533.33333333331393</v>
      </c>
      <c r="AN150" s="53">
        <v>320000</v>
      </c>
      <c r="AO150" s="54">
        <v>2509708.3866666672</v>
      </c>
      <c r="AQ150" s="30">
        <v>0</v>
      </c>
      <c r="AR150" s="27">
        <v>0</v>
      </c>
      <c r="AS150" s="27">
        <v>0</v>
      </c>
      <c r="AT150" s="51">
        <v>2509708.3866666672</v>
      </c>
      <c r="AV150" s="30">
        <v>0</v>
      </c>
      <c r="AW150" s="27">
        <v>0</v>
      </c>
      <c r="AX150" s="27">
        <v>0</v>
      </c>
      <c r="AY150" s="51">
        <v>2509708.3866666672</v>
      </c>
      <c r="BA150" s="30">
        <v>0</v>
      </c>
      <c r="BB150" s="27">
        <v>0</v>
      </c>
      <c r="BC150" s="27">
        <v>0</v>
      </c>
      <c r="BD150" s="51">
        <v>2509708.3866666672</v>
      </c>
      <c r="BF150" s="30">
        <v>0</v>
      </c>
      <c r="BG150" s="27">
        <v>0</v>
      </c>
      <c r="BH150" s="27">
        <v>0</v>
      </c>
      <c r="BI150" s="51">
        <v>2509708.3866666672</v>
      </c>
      <c r="BK150" s="30">
        <v>0</v>
      </c>
      <c r="BL150" s="27">
        <v>0</v>
      </c>
      <c r="BM150" s="27">
        <v>0</v>
      </c>
      <c r="BN150" s="51">
        <v>2509708.3866666672</v>
      </c>
      <c r="BP150" s="30">
        <v>2509708.3866666672</v>
      </c>
      <c r="BQ150" s="20">
        <v>271195357.87360084</v>
      </c>
      <c r="BR150" s="51">
        <v>0</v>
      </c>
      <c r="BT150" s="30">
        <v>0</v>
      </c>
      <c r="BU150" s="51">
        <v>0</v>
      </c>
      <c r="BW150" s="221">
        <v>0</v>
      </c>
      <c r="BX150" s="222">
        <v>0</v>
      </c>
    </row>
    <row r="151" spans="6:76" x14ac:dyDescent="0.2">
      <c r="F151" s="151">
        <v>147</v>
      </c>
      <c r="G151" s="30">
        <v>2554357.65</v>
      </c>
      <c r="H151" s="28">
        <v>0</v>
      </c>
      <c r="I151" s="28">
        <v>0</v>
      </c>
      <c r="J151" s="28">
        <v>0</v>
      </c>
      <c r="K151" s="28">
        <v>0</v>
      </c>
      <c r="L151" s="28">
        <v>0</v>
      </c>
      <c r="M151" s="27">
        <v>0</v>
      </c>
      <c r="N151" s="27">
        <v>320533.33333333331</v>
      </c>
      <c r="O151" s="51">
        <v>2874890.9833333334</v>
      </c>
      <c r="P151" s="5"/>
      <c r="Q151" s="30">
        <v>26666.666666666668</v>
      </c>
      <c r="R151" s="27">
        <v>26666.666666666668</v>
      </c>
      <c r="S151" s="27">
        <v>0</v>
      </c>
      <c r="T151" s="51">
        <v>2848224.3166666669</v>
      </c>
      <c r="U151" s="5"/>
      <c r="V151" s="30">
        <v>0</v>
      </c>
      <c r="W151" s="51">
        <v>2527690.9833333334</v>
      </c>
      <c r="Y151" s="30">
        <v>0</v>
      </c>
      <c r="Z151" s="27">
        <v>0</v>
      </c>
      <c r="AA151" s="27">
        <v>0</v>
      </c>
      <c r="AB151" s="51">
        <v>4008498.0341082914</v>
      </c>
      <c r="AD151" s="30">
        <v>311504645.86246532</v>
      </c>
      <c r="AE151" s="27">
        <v>132872.22168079135</v>
      </c>
      <c r="AF151" s="27">
        <v>311371773.6407845</v>
      </c>
      <c r="AG151" s="51">
        <v>3875625.8124275003</v>
      </c>
      <c r="AI151" s="30">
        <v>0</v>
      </c>
      <c r="AJ151" s="51">
        <v>2527690.9833333334</v>
      </c>
      <c r="AL151" s="43">
        <v>320000</v>
      </c>
      <c r="AM151" s="52">
        <v>-533.33333333331393</v>
      </c>
      <c r="AN151" s="53">
        <v>320000</v>
      </c>
      <c r="AO151" s="54">
        <v>2528224.3166666669</v>
      </c>
      <c r="AQ151" s="30">
        <v>0</v>
      </c>
      <c r="AR151" s="27">
        <v>0</v>
      </c>
      <c r="AS151" s="27">
        <v>0</v>
      </c>
      <c r="AT151" s="51">
        <v>2528224.3166666669</v>
      </c>
      <c r="AV151" s="30">
        <v>0</v>
      </c>
      <c r="AW151" s="27">
        <v>0</v>
      </c>
      <c r="AX151" s="27">
        <v>0</v>
      </c>
      <c r="AY151" s="51">
        <v>2528224.3166666669</v>
      </c>
      <c r="BA151" s="30">
        <v>0</v>
      </c>
      <c r="BB151" s="27">
        <v>0</v>
      </c>
      <c r="BC151" s="27">
        <v>0</v>
      </c>
      <c r="BD151" s="51">
        <v>2528224.3166666669</v>
      </c>
      <c r="BF151" s="30">
        <v>0</v>
      </c>
      <c r="BG151" s="27">
        <v>0</v>
      </c>
      <c r="BH151" s="27">
        <v>0</v>
      </c>
      <c r="BI151" s="51">
        <v>2528224.3166666669</v>
      </c>
      <c r="BK151" s="30">
        <v>0</v>
      </c>
      <c r="BL151" s="27">
        <v>0</v>
      </c>
      <c r="BM151" s="27">
        <v>0</v>
      </c>
      <c r="BN151" s="51">
        <v>2528224.3166666669</v>
      </c>
      <c r="BP151" s="30">
        <v>2528224.3166666669</v>
      </c>
      <c r="BQ151" s="20">
        <v>273723582.1902675</v>
      </c>
      <c r="BR151" s="51">
        <v>0</v>
      </c>
      <c r="BT151" s="30">
        <v>0</v>
      </c>
      <c r="BU151" s="51">
        <v>0</v>
      </c>
      <c r="BW151" s="221">
        <v>0</v>
      </c>
      <c r="BX151" s="222">
        <v>0</v>
      </c>
    </row>
    <row r="152" spans="6:76" x14ac:dyDescent="0.2">
      <c r="F152" s="151">
        <v>148</v>
      </c>
      <c r="G152" s="30">
        <v>2964378.4</v>
      </c>
      <c r="H152" s="28">
        <v>0</v>
      </c>
      <c r="I152" s="28">
        <v>0</v>
      </c>
      <c r="J152" s="28">
        <v>0</v>
      </c>
      <c r="K152" s="28">
        <v>0</v>
      </c>
      <c r="L152" s="28">
        <v>0</v>
      </c>
      <c r="M152" s="27">
        <v>0</v>
      </c>
      <c r="N152" s="27">
        <v>320533.33333333331</v>
      </c>
      <c r="O152" s="51">
        <v>3284911.7333333334</v>
      </c>
      <c r="P152" s="5"/>
      <c r="Q152" s="30">
        <v>26666.666666666668</v>
      </c>
      <c r="R152" s="27">
        <v>26666.666666666668</v>
      </c>
      <c r="S152" s="27">
        <v>0</v>
      </c>
      <c r="T152" s="51">
        <v>3258245.0666666669</v>
      </c>
      <c r="U152" s="5"/>
      <c r="V152" s="30">
        <v>0</v>
      </c>
      <c r="W152" s="51">
        <v>2937711.7333333334</v>
      </c>
      <c r="Y152" s="30">
        <v>0</v>
      </c>
      <c r="Z152" s="27">
        <v>0</v>
      </c>
      <c r="AA152" s="27">
        <v>0</v>
      </c>
      <c r="AB152" s="51">
        <v>3335619.596168519</v>
      </c>
      <c r="AD152" s="30">
        <v>320156898.80886739</v>
      </c>
      <c r="AE152" s="27">
        <v>132872.22168079135</v>
      </c>
      <c r="AF152" s="27">
        <v>320024026.58718657</v>
      </c>
      <c r="AG152" s="51">
        <v>3202747.3744877279</v>
      </c>
      <c r="AI152" s="30">
        <v>0</v>
      </c>
      <c r="AJ152" s="51">
        <v>2937711.7333333334</v>
      </c>
      <c r="AL152" s="43">
        <v>320000</v>
      </c>
      <c r="AM152" s="52">
        <v>-533.33333333331393</v>
      </c>
      <c r="AN152" s="53">
        <v>320000</v>
      </c>
      <c r="AO152" s="54">
        <v>2938245.0666666669</v>
      </c>
      <c r="AQ152" s="30">
        <v>0</v>
      </c>
      <c r="AR152" s="27">
        <v>0</v>
      </c>
      <c r="AS152" s="27">
        <v>0</v>
      </c>
      <c r="AT152" s="51">
        <v>2938245.0666666669</v>
      </c>
      <c r="AV152" s="30">
        <v>0</v>
      </c>
      <c r="AW152" s="27">
        <v>0</v>
      </c>
      <c r="AX152" s="27">
        <v>0</v>
      </c>
      <c r="AY152" s="51">
        <v>2938245.0666666669</v>
      </c>
      <c r="BA152" s="30">
        <v>0</v>
      </c>
      <c r="BB152" s="27">
        <v>0</v>
      </c>
      <c r="BC152" s="27">
        <v>0</v>
      </c>
      <c r="BD152" s="51">
        <v>2938245.0666666669</v>
      </c>
      <c r="BF152" s="30">
        <v>0</v>
      </c>
      <c r="BG152" s="27">
        <v>0</v>
      </c>
      <c r="BH152" s="27">
        <v>0</v>
      </c>
      <c r="BI152" s="51">
        <v>2938245.0666666669</v>
      </c>
      <c r="BK152" s="30">
        <v>0</v>
      </c>
      <c r="BL152" s="27">
        <v>0</v>
      </c>
      <c r="BM152" s="27">
        <v>0</v>
      </c>
      <c r="BN152" s="51">
        <v>2938245.0666666669</v>
      </c>
      <c r="BP152" s="30">
        <v>2938245.0666666669</v>
      </c>
      <c r="BQ152" s="20">
        <v>276661827.25693417</v>
      </c>
      <c r="BR152" s="51">
        <v>0</v>
      </c>
      <c r="BT152" s="30">
        <v>0</v>
      </c>
      <c r="BU152" s="51">
        <v>0</v>
      </c>
      <c r="BW152" s="221">
        <v>0</v>
      </c>
      <c r="BX152" s="222">
        <v>0</v>
      </c>
    </row>
    <row r="153" spans="6:76" x14ac:dyDescent="0.2">
      <c r="F153" s="151">
        <v>149</v>
      </c>
      <c r="G153" s="30">
        <v>2264042.2799999998</v>
      </c>
      <c r="H153" s="28">
        <v>0</v>
      </c>
      <c r="I153" s="28">
        <v>0</v>
      </c>
      <c r="J153" s="28">
        <v>0</v>
      </c>
      <c r="K153" s="28">
        <v>0</v>
      </c>
      <c r="L153" s="28">
        <v>0</v>
      </c>
      <c r="M153" s="27">
        <v>0</v>
      </c>
      <c r="N153" s="27">
        <v>320533.33333333331</v>
      </c>
      <c r="O153" s="51">
        <v>2584575.6133333333</v>
      </c>
      <c r="P153" s="5"/>
      <c r="Q153" s="30">
        <v>26666.666666666668</v>
      </c>
      <c r="R153" s="27">
        <v>26666.666666666668</v>
      </c>
      <c r="S153" s="27">
        <v>0</v>
      </c>
      <c r="T153" s="51">
        <v>2557908.9466666668</v>
      </c>
      <c r="U153" s="5"/>
      <c r="V153" s="30">
        <v>0</v>
      </c>
      <c r="W153" s="51">
        <v>2237375.6133333333</v>
      </c>
      <c r="Y153" s="30">
        <v>0</v>
      </c>
      <c r="Z153" s="27">
        <v>0</v>
      </c>
      <c r="AA153" s="27">
        <v>0</v>
      </c>
      <c r="AB153" s="51">
        <v>3087578.9513144642</v>
      </c>
      <c r="AD153" s="30">
        <v>329053268.69699252</v>
      </c>
      <c r="AE153" s="27">
        <v>132872.22168079135</v>
      </c>
      <c r="AF153" s="27">
        <v>328920396.4753117</v>
      </c>
      <c r="AG153" s="51">
        <v>2954706.7296336731</v>
      </c>
      <c r="AI153" s="30">
        <v>0</v>
      </c>
      <c r="AJ153" s="51">
        <v>2237375.6133333333</v>
      </c>
      <c r="AL153" s="43">
        <v>320000</v>
      </c>
      <c r="AM153" s="52">
        <v>-533.33333333331393</v>
      </c>
      <c r="AN153" s="53">
        <v>320000</v>
      </c>
      <c r="AO153" s="54">
        <v>2237908.9466666668</v>
      </c>
      <c r="AQ153" s="30">
        <v>0</v>
      </c>
      <c r="AR153" s="27">
        <v>0</v>
      </c>
      <c r="AS153" s="27">
        <v>0</v>
      </c>
      <c r="AT153" s="51">
        <v>2237908.9466666668</v>
      </c>
      <c r="AV153" s="30">
        <v>0</v>
      </c>
      <c r="AW153" s="27">
        <v>0</v>
      </c>
      <c r="AX153" s="27">
        <v>0</v>
      </c>
      <c r="AY153" s="51">
        <v>2237908.9466666668</v>
      </c>
      <c r="BA153" s="30">
        <v>0</v>
      </c>
      <c r="BB153" s="27">
        <v>0</v>
      </c>
      <c r="BC153" s="27">
        <v>0</v>
      </c>
      <c r="BD153" s="51">
        <v>2237908.9466666668</v>
      </c>
      <c r="BF153" s="30">
        <v>0</v>
      </c>
      <c r="BG153" s="27">
        <v>0</v>
      </c>
      <c r="BH153" s="27">
        <v>0</v>
      </c>
      <c r="BI153" s="51">
        <v>2237908.9466666668</v>
      </c>
      <c r="BK153" s="30">
        <v>0</v>
      </c>
      <c r="BL153" s="27">
        <v>0</v>
      </c>
      <c r="BM153" s="27">
        <v>0</v>
      </c>
      <c r="BN153" s="51">
        <v>2237908.9466666668</v>
      </c>
      <c r="BP153" s="30">
        <v>2237908.9466666668</v>
      </c>
      <c r="BQ153" s="20">
        <v>278899736.20360082</v>
      </c>
      <c r="BR153" s="51">
        <v>0</v>
      </c>
      <c r="BT153" s="30">
        <v>0</v>
      </c>
      <c r="BU153" s="51">
        <v>0</v>
      </c>
      <c r="BW153" s="221">
        <v>0</v>
      </c>
      <c r="BX153" s="222">
        <v>0</v>
      </c>
    </row>
    <row r="154" spans="6:76" x14ac:dyDescent="0.2">
      <c r="F154" s="151">
        <v>150</v>
      </c>
      <c r="G154" s="30">
        <v>2462727.56</v>
      </c>
      <c r="H154" s="28">
        <v>0</v>
      </c>
      <c r="I154" s="28">
        <v>0</v>
      </c>
      <c r="J154" s="28">
        <v>0</v>
      </c>
      <c r="K154" s="28">
        <v>0</v>
      </c>
      <c r="L154" s="28">
        <v>0</v>
      </c>
      <c r="M154" s="27">
        <v>0</v>
      </c>
      <c r="N154" s="27">
        <v>320533.33333333331</v>
      </c>
      <c r="O154" s="51">
        <v>2783260.8933333335</v>
      </c>
      <c r="P154" s="5"/>
      <c r="Q154" s="30">
        <v>26666.666666666668</v>
      </c>
      <c r="R154" s="27">
        <v>26666.666666666668</v>
      </c>
      <c r="S154" s="27">
        <v>0</v>
      </c>
      <c r="T154" s="51">
        <v>2756594.226666667</v>
      </c>
      <c r="U154" s="5"/>
      <c r="V154" s="30">
        <v>0</v>
      </c>
      <c r="W154" s="51">
        <v>2436060.8933333335</v>
      </c>
      <c r="Y154" s="30">
        <v>0</v>
      </c>
      <c r="Z154" s="27">
        <v>0</v>
      </c>
      <c r="AA154" s="27">
        <v>0</v>
      </c>
      <c r="AB154" s="51">
        <v>3655198.9533125823</v>
      </c>
      <c r="AD154" s="30">
        <v>338200643.1064809</v>
      </c>
      <c r="AE154" s="27">
        <v>132872.22168079135</v>
      </c>
      <c r="AF154" s="27">
        <v>338067770.88480008</v>
      </c>
      <c r="AG154" s="51">
        <v>3522326.7316317912</v>
      </c>
      <c r="AI154" s="30">
        <v>0</v>
      </c>
      <c r="AJ154" s="51">
        <v>2436060.8933333335</v>
      </c>
      <c r="AL154" s="43">
        <v>320000</v>
      </c>
      <c r="AM154" s="52">
        <v>-533.33333333331393</v>
      </c>
      <c r="AN154" s="53">
        <v>320000</v>
      </c>
      <c r="AO154" s="54">
        <v>2436594.226666667</v>
      </c>
      <c r="AQ154" s="30">
        <v>0</v>
      </c>
      <c r="AR154" s="27">
        <v>0</v>
      </c>
      <c r="AS154" s="27">
        <v>0</v>
      </c>
      <c r="AT154" s="51">
        <v>2436594.226666667</v>
      </c>
      <c r="AV154" s="30">
        <v>0</v>
      </c>
      <c r="AW154" s="27">
        <v>0</v>
      </c>
      <c r="AX154" s="27">
        <v>0</v>
      </c>
      <c r="AY154" s="51">
        <v>2436594.226666667</v>
      </c>
      <c r="BA154" s="30">
        <v>0</v>
      </c>
      <c r="BB154" s="27">
        <v>0</v>
      </c>
      <c r="BC154" s="27">
        <v>0</v>
      </c>
      <c r="BD154" s="51">
        <v>2436594.226666667</v>
      </c>
      <c r="BF154" s="30">
        <v>0</v>
      </c>
      <c r="BG154" s="27">
        <v>0</v>
      </c>
      <c r="BH154" s="27">
        <v>0</v>
      </c>
      <c r="BI154" s="51">
        <v>2436594.226666667</v>
      </c>
      <c r="BK154" s="30">
        <v>0</v>
      </c>
      <c r="BL154" s="27">
        <v>0</v>
      </c>
      <c r="BM154" s="27">
        <v>0</v>
      </c>
      <c r="BN154" s="51">
        <v>2436594.226666667</v>
      </c>
      <c r="BP154" s="30">
        <v>2436594.226666667</v>
      </c>
      <c r="BQ154" s="20">
        <v>281336330.43026751</v>
      </c>
      <c r="BR154" s="51">
        <v>0</v>
      </c>
      <c r="BT154" s="30">
        <v>0</v>
      </c>
      <c r="BU154" s="51">
        <v>0</v>
      </c>
      <c r="BW154" s="221">
        <v>0</v>
      </c>
      <c r="BX154" s="222">
        <v>0</v>
      </c>
    </row>
    <row r="155" spans="6:76" x14ac:dyDescent="0.2">
      <c r="F155" s="151">
        <v>151</v>
      </c>
      <c r="G155" s="30">
        <v>3515110.18</v>
      </c>
      <c r="H155" s="28">
        <v>0</v>
      </c>
      <c r="I155" s="28">
        <v>0</v>
      </c>
      <c r="J155" s="28">
        <v>0</v>
      </c>
      <c r="K155" s="28">
        <v>0</v>
      </c>
      <c r="L155" s="28">
        <v>0</v>
      </c>
      <c r="M155" s="27">
        <v>0</v>
      </c>
      <c r="N155" s="27">
        <v>320533.33333333331</v>
      </c>
      <c r="O155" s="51">
        <v>3835643.5133333337</v>
      </c>
      <c r="P155" s="5"/>
      <c r="Q155" s="30">
        <v>26666.666666666668</v>
      </c>
      <c r="R155" s="27">
        <v>26666.666666666668</v>
      </c>
      <c r="S155" s="27">
        <v>0</v>
      </c>
      <c r="T155" s="51">
        <v>3808976.8466666671</v>
      </c>
      <c r="U155" s="5"/>
      <c r="V155" s="30">
        <v>0</v>
      </c>
      <c r="W155" s="51">
        <v>3488443.5133333337</v>
      </c>
      <c r="Y155" s="30">
        <v>0</v>
      </c>
      <c r="Z155" s="27">
        <v>0</v>
      </c>
      <c r="AA155" s="27">
        <v>0</v>
      </c>
      <c r="AB155" s="51">
        <v>3657500.5805709902</v>
      </c>
      <c r="AD155" s="30">
        <v>347606103.94495749</v>
      </c>
      <c r="AE155" s="27">
        <v>132872.22168079135</v>
      </c>
      <c r="AF155" s="27">
        <v>347473231.72327667</v>
      </c>
      <c r="AG155" s="51">
        <v>3524628.3588901991</v>
      </c>
      <c r="AI155" s="30">
        <v>0</v>
      </c>
      <c r="AJ155" s="51">
        <v>3488443.5133333337</v>
      </c>
      <c r="AL155" s="43">
        <v>320000</v>
      </c>
      <c r="AM155" s="52">
        <v>-533.33333333331393</v>
      </c>
      <c r="AN155" s="53">
        <v>320000</v>
      </c>
      <c r="AO155" s="54">
        <v>3488976.8466666671</v>
      </c>
      <c r="AQ155" s="30">
        <v>0</v>
      </c>
      <c r="AR155" s="27">
        <v>0</v>
      </c>
      <c r="AS155" s="27">
        <v>0</v>
      </c>
      <c r="AT155" s="51">
        <v>3488976.8466666671</v>
      </c>
      <c r="AV155" s="30">
        <v>0</v>
      </c>
      <c r="AW155" s="27">
        <v>0</v>
      </c>
      <c r="AX155" s="27">
        <v>0</v>
      </c>
      <c r="AY155" s="51">
        <v>3488976.8466666671</v>
      </c>
      <c r="BA155" s="30">
        <v>0</v>
      </c>
      <c r="BB155" s="27">
        <v>0</v>
      </c>
      <c r="BC155" s="27">
        <v>0</v>
      </c>
      <c r="BD155" s="51">
        <v>3488976.8466666671</v>
      </c>
      <c r="BF155" s="30">
        <v>0</v>
      </c>
      <c r="BG155" s="27">
        <v>0</v>
      </c>
      <c r="BH155" s="27">
        <v>0</v>
      </c>
      <c r="BI155" s="51">
        <v>3488976.8466666671</v>
      </c>
      <c r="BK155" s="30">
        <v>0</v>
      </c>
      <c r="BL155" s="27">
        <v>0</v>
      </c>
      <c r="BM155" s="27">
        <v>0</v>
      </c>
      <c r="BN155" s="51">
        <v>3488976.8466666671</v>
      </c>
      <c r="BP155" s="30">
        <v>3488976.8466666671</v>
      </c>
      <c r="BQ155" s="20">
        <v>284825307.27693421</v>
      </c>
      <c r="BR155" s="51">
        <v>0</v>
      </c>
      <c r="BT155" s="30">
        <v>0</v>
      </c>
      <c r="BU155" s="51">
        <v>0</v>
      </c>
      <c r="BW155" s="221">
        <v>0</v>
      </c>
      <c r="BX155" s="222">
        <v>0</v>
      </c>
    </row>
    <row r="156" spans="6:76" x14ac:dyDescent="0.2">
      <c r="F156" s="151">
        <v>152</v>
      </c>
      <c r="G156" s="30">
        <v>2111775.2599999998</v>
      </c>
      <c r="H156" s="28">
        <v>0</v>
      </c>
      <c r="I156" s="28">
        <v>0</v>
      </c>
      <c r="J156" s="28">
        <v>0</v>
      </c>
      <c r="K156" s="28">
        <v>0</v>
      </c>
      <c r="L156" s="28">
        <v>0</v>
      </c>
      <c r="M156" s="27">
        <v>0</v>
      </c>
      <c r="N156" s="27">
        <v>320533.33333333331</v>
      </c>
      <c r="O156" s="51">
        <v>2432308.5933333333</v>
      </c>
      <c r="P156" s="5"/>
      <c r="Q156" s="30">
        <v>26666.666666666668</v>
      </c>
      <c r="R156" s="27">
        <v>26666.666666666668</v>
      </c>
      <c r="S156" s="27">
        <v>0</v>
      </c>
      <c r="T156" s="51">
        <v>2405641.9266666668</v>
      </c>
      <c r="U156" s="5"/>
      <c r="V156" s="30">
        <v>0</v>
      </c>
      <c r="W156" s="51">
        <v>2085108.5933333335</v>
      </c>
      <c r="Y156" s="30">
        <v>0</v>
      </c>
      <c r="Z156" s="27">
        <v>0</v>
      </c>
      <c r="AA156" s="27">
        <v>0</v>
      </c>
      <c r="AB156" s="51">
        <v>3639344.3947609905</v>
      </c>
      <c r="AD156" s="30">
        <v>357276932.93085277</v>
      </c>
      <c r="AE156" s="27">
        <v>132872.22168079135</v>
      </c>
      <c r="AF156" s="27">
        <v>357144060.70917195</v>
      </c>
      <c r="AG156" s="51">
        <v>3506472.1730801994</v>
      </c>
      <c r="AI156" s="30">
        <v>0</v>
      </c>
      <c r="AJ156" s="51">
        <v>2085108.5933333335</v>
      </c>
      <c r="AL156" s="43">
        <v>320000</v>
      </c>
      <c r="AM156" s="52">
        <v>-533.33333333331393</v>
      </c>
      <c r="AN156" s="53">
        <v>320000</v>
      </c>
      <c r="AO156" s="54">
        <v>2085641.9266666668</v>
      </c>
      <c r="AQ156" s="30">
        <v>0</v>
      </c>
      <c r="AR156" s="27">
        <v>0</v>
      </c>
      <c r="AS156" s="27">
        <v>0</v>
      </c>
      <c r="AT156" s="51">
        <v>2085641.9266666668</v>
      </c>
      <c r="AV156" s="30">
        <v>0</v>
      </c>
      <c r="AW156" s="27">
        <v>0</v>
      </c>
      <c r="AX156" s="27">
        <v>0</v>
      </c>
      <c r="AY156" s="51">
        <v>2085641.9266666668</v>
      </c>
      <c r="BA156" s="30">
        <v>0</v>
      </c>
      <c r="BB156" s="27">
        <v>0</v>
      </c>
      <c r="BC156" s="27">
        <v>0</v>
      </c>
      <c r="BD156" s="51">
        <v>2085641.9266666668</v>
      </c>
      <c r="BF156" s="30">
        <v>0</v>
      </c>
      <c r="BG156" s="27">
        <v>0</v>
      </c>
      <c r="BH156" s="27">
        <v>0</v>
      </c>
      <c r="BI156" s="51">
        <v>2085641.9266666668</v>
      </c>
      <c r="BK156" s="30">
        <v>0</v>
      </c>
      <c r="BL156" s="27">
        <v>0</v>
      </c>
      <c r="BM156" s="27">
        <v>0</v>
      </c>
      <c r="BN156" s="51">
        <v>2085641.9266666668</v>
      </c>
      <c r="BP156" s="30">
        <v>2085641.9266666668</v>
      </c>
      <c r="BQ156" s="20">
        <v>286910949.20360088</v>
      </c>
      <c r="BR156" s="51">
        <v>0</v>
      </c>
      <c r="BT156" s="30">
        <v>0</v>
      </c>
      <c r="BU156" s="51">
        <v>0</v>
      </c>
      <c r="BW156" s="221">
        <v>0</v>
      </c>
      <c r="BX156" s="222">
        <v>0</v>
      </c>
    </row>
    <row r="157" spans="6:76" x14ac:dyDescent="0.2">
      <c r="F157" s="151">
        <v>153</v>
      </c>
      <c r="G157" s="30">
        <v>3674730.27</v>
      </c>
      <c r="H157" s="28">
        <v>0</v>
      </c>
      <c r="I157" s="28">
        <v>0</v>
      </c>
      <c r="J157" s="28">
        <v>0</v>
      </c>
      <c r="K157" s="28">
        <v>0</v>
      </c>
      <c r="L157" s="28">
        <v>0</v>
      </c>
      <c r="M157" s="27">
        <v>0</v>
      </c>
      <c r="N157" s="27">
        <v>320533.33333333331</v>
      </c>
      <c r="O157" s="51">
        <v>3995263.6033333335</v>
      </c>
      <c r="P157" s="5"/>
      <c r="Q157" s="30">
        <v>26666.666666666668</v>
      </c>
      <c r="R157" s="27">
        <v>26666.666666666668</v>
      </c>
      <c r="S157" s="27">
        <v>0</v>
      </c>
      <c r="T157" s="51">
        <v>3968596.936666667</v>
      </c>
      <c r="U157" s="5"/>
      <c r="V157" s="30">
        <v>0</v>
      </c>
      <c r="W157" s="51">
        <v>3648063.6033333335</v>
      </c>
      <c r="Y157" s="30">
        <v>0</v>
      </c>
      <c r="Z157" s="27">
        <v>0</v>
      </c>
      <c r="AA157" s="27">
        <v>0</v>
      </c>
      <c r="AB157" s="51">
        <v>3887427.3571993448</v>
      </c>
      <c r="AD157" s="30">
        <v>367220617.23091733</v>
      </c>
      <c r="AE157" s="27">
        <v>132872.22168079135</v>
      </c>
      <c r="AF157" s="27">
        <v>367087745.00923651</v>
      </c>
      <c r="AG157" s="51">
        <v>3754555.1355185537</v>
      </c>
      <c r="AI157" s="30">
        <v>0</v>
      </c>
      <c r="AJ157" s="51">
        <v>3648063.6033333335</v>
      </c>
      <c r="AL157" s="43">
        <v>320000</v>
      </c>
      <c r="AM157" s="52">
        <v>-533.33333333331393</v>
      </c>
      <c r="AN157" s="53">
        <v>320000</v>
      </c>
      <c r="AO157" s="54">
        <v>3648596.936666667</v>
      </c>
      <c r="AQ157" s="30">
        <v>0</v>
      </c>
      <c r="AR157" s="27">
        <v>0</v>
      </c>
      <c r="AS157" s="27">
        <v>0</v>
      </c>
      <c r="AT157" s="51">
        <v>3648596.936666667</v>
      </c>
      <c r="AV157" s="30">
        <v>0</v>
      </c>
      <c r="AW157" s="27">
        <v>0</v>
      </c>
      <c r="AX157" s="27">
        <v>0</v>
      </c>
      <c r="AY157" s="51">
        <v>3648596.936666667</v>
      </c>
      <c r="BA157" s="30">
        <v>0</v>
      </c>
      <c r="BB157" s="27">
        <v>0</v>
      </c>
      <c r="BC157" s="27">
        <v>0</v>
      </c>
      <c r="BD157" s="51">
        <v>3648596.936666667</v>
      </c>
      <c r="BF157" s="30">
        <v>0</v>
      </c>
      <c r="BG157" s="27">
        <v>0</v>
      </c>
      <c r="BH157" s="27">
        <v>0</v>
      </c>
      <c r="BI157" s="51">
        <v>3648596.936666667</v>
      </c>
      <c r="BK157" s="30">
        <v>0</v>
      </c>
      <c r="BL157" s="27">
        <v>0</v>
      </c>
      <c r="BM157" s="27">
        <v>0</v>
      </c>
      <c r="BN157" s="51">
        <v>3648596.936666667</v>
      </c>
      <c r="BP157" s="30">
        <v>3648596.936666667</v>
      </c>
      <c r="BQ157" s="20">
        <v>290559546.14026755</v>
      </c>
      <c r="BR157" s="51">
        <v>0</v>
      </c>
      <c r="BT157" s="30">
        <v>0</v>
      </c>
      <c r="BU157" s="51">
        <v>0</v>
      </c>
      <c r="BW157" s="221">
        <v>0</v>
      </c>
      <c r="BX157" s="222">
        <v>0</v>
      </c>
    </row>
    <row r="158" spans="6:76" x14ac:dyDescent="0.2">
      <c r="F158" s="151">
        <v>154</v>
      </c>
      <c r="G158" s="30">
        <v>4971585.1900000004</v>
      </c>
      <c r="H158" s="28">
        <v>0</v>
      </c>
      <c r="I158" s="28">
        <v>0</v>
      </c>
      <c r="J158" s="28">
        <v>0</v>
      </c>
      <c r="K158" s="28">
        <v>0</v>
      </c>
      <c r="L158" s="28">
        <v>0</v>
      </c>
      <c r="M158" s="27">
        <v>0</v>
      </c>
      <c r="N158" s="27">
        <v>320533.33333333331</v>
      </c>
      <c r="O158" s="51">
        <v>5292118.5233333334</v>
      </c>
      <c r="P158" s="5"/>
      <c r="Q158" s="30">
        <v>26666.666666666668</v>
      </c>
      <c r="R158" s="27">
        <v>26666.666666666668</v>
      </c>
      <c r="S158" s="27">
        <v>0</v>
      </c>
      <c r="T158" s="51">
        <v>5265451.8566666665</v>
      </c>
      <c r="U158" s="5"/>
      <c r="V158" s="30">
        <v>0</v>
      </c>
      <c r="W158" s="51">
        <v>4944918.5233333334</v>
      </c>
      <c r="Y158" s="30">
        <v>0</v>
      </c>
      <c r="Z158" s="27">
        <v>0</v>
      </c>
      <c r="AA158" s="27">
        <v>0</v>
      </c>
      <c r="AB158" s="51">
        <v>3570751.6737731807</v>
      </c>
      <c r="AD158" s="30">
        <v>377444855.25679505</v>
      </c>
      <c r="AE158" s="27">
        <v>132872.22168079135</v>
      </c>
      <c r="AF158" s="27">
        <v>377311983.03511423</v>
      </c>
      <c r="AG158" s="51">
        <v>3437879.4520923896</v>
      </c>
      <c r="AI158" s="30">
        <v>0</v>
      </c>
      <c r="AJ158" s="51">
        <v>4944918.5233333334</v>
      </c>
      <c r="AL158" s="43">
        <v>320000</v>
      </c>
      <c r="AM158" s="52">
        <v>-533.33333333331393</v>
      </c>
      <c r="AN158" s="53">
        <v>320000</v>
      </c>
      <c r="AO158" s="54">
        <v>4945451.8566666665</v>
      </c>
      <c r="AQ158" s="30">
        <v>0</v>
      </c>
      <c r="AR158" s="27">
        <v>0</v>
      </c>
      <c r="AS158" s="27">
        <v>0</v>
      </c>
      <c r="AT158" s="51">
        <v>4945451.8566666665</v>
      </c>
      <c r="AV158" s="30">
        <v>0</v>
      </c>
      <c r="AW158" s="27">
        <v>0</v>
      </c>
      <c r="AX158" s="27">
        <v>0</v>
      </c>
      <c r="AY158" s="51">
        <v>4945451.8566666665</v>
      </c>
      <c r="BA158" s="30">
        <v>0</v>
      </c>
      <c r="BB158" s="27">
        <v>0</v>
      </c>
      <c r="BC158" s="27">
        <v>0</v>
      </c>
      <c r="BD158" s="51">
        <v>4945451.8566666665</v>
      </c>
      <c r="BF158" s="30">
        <v>0</v>
      </c>
      <c r="BG158" s="27">
        <v>0</v>
      </c>
      <c r="BH158" s="27">
        <v>0</v>
      </c>
      <c r="BI158" s="51">
        <v>4945451.8566666665</v>
      </c>
      <c r="BK158" s="30">
        <v>0</v>
      </c>
      <c r="BL158" s="27">
        <v>0</v>
      </c>
      <c r="BM158" s="27">
        <v>0</v>
      </c>
      <c r="BN158" s="51">
        <v>4945451.8566666665</v>
      </c>
      <c r="BP158" s="30">
        <v>4945451.8566666665</v>
      </c>
      <c r="BQ158" s="20">
        <v>295504997.99693424</v>
      </c>
      <c r="BR158" s="51">
        <v>0</v>
      </c>
      <c r="BT158" s="30">
        <v>0</v>
      </c>
      <c r="BU158" s="51">
        <v>0</v>
      </c>
      <c r="BW158" s="221">
        <v>0</v>
      </c>
      <c r="BX158" s="222">
        <v>0</v>
      </c>
    </row>
    <row r="159" spans="6:76" x14ac:dyDescent="0.2">
      <c r="F159" s="151">
        <v>155</v>
      </c>
      <c r="G159" s="30">
        <v>4057351.68</v>
      </c>
      <c r="H159" s="28">
        <v>0</v>
      </c>
      <c r="I159" s="28">
        <v>0</v>
      </c>
      <c r="J159" s="28">
        <v>0</v>
      </c>
      <c r="K159" s="28">
        <v>0</v>
      </c>
      <c r="L159" s="28">
        <v>0</v>
      </c>
      <c r="M159" s="27">
        <v>0</v>
      </c>
      <c r="N159" s="27">
        <v>320533.33333333331</v>
      </c>
      <c r="O159" s="51">
        <v>4377885.0133333337</v>
      </c>
      <c r="P159" s="5"/>
      <c r="Q159" s="30">
        <v>26666.666666666668</v>
      </c>
      <c r="R159" s="27">
        <v>26666.666666666668</v>
      </c>
      <c r="S159" s="27">
        <v>0</v>
      </c>
      <c r="T159" s="51">
        <v>4351218.3466666667</v>
      </c>
      <c r="U159" s="5"/>
      <c r="V159" s="30">
        <v>0</v>
      </c>
      <c r="W159" s="51">
        <v>4030685.0133333332</v>
      </c>
      <c r="Y159" s="30">
        <v>0</v>
      </c>
      <c r="Z159" s="27">
        <v>0</v>
      </c>
      <c r="AA159" s="27">
        <v>0</v>
      </c>
      <c r="AB159" s="51">
        <v>3420206.9104599422</v>
      </c>
      <c r="AD159" s="30">
        <v>387957562.62514192</v>
      </c>
      <c r="AE159" s="27">
        <v>132872.22168079135</v>
      </c>
      <c r="AF159" s="27">
        <v>387824690.4034611</v>
      </c>
      <c r="AG159" s="51">
        <v>3287334.6887791511</v>
      </c>
      <c r="AI159" s="30">
        <v>0</v>
      </c>
      <c r="AJ159" s="51">
        <v>4030685.0133333332</v>
      </c>
      <c r="AL159" s="43">
        <v>320000</v>
      </c>
      <c r="AM159" s="52">
        <v>-533.33333333331393</v>
      </c>
      <c r="AN159" s="53">
        <v>320000</v>
      </c>
      <c r="AO159" s="54">
        <v>4031218.3466666667</v>
      </c>
      <c r="AQ159" s="30">
        <v>0</v>
      </c>
      <c r="AR159" s="27">
        <v>0</v>
      </c>
      <c r="AS159" s="27">
        <v>0</v>
      </c>
      <c r="AT159" s="51">
        <v>4031218.3466666667</v>
      </c>
      <c r="AV159" s="30">
        <v>0</v>
      </c>
      <c r="AW159" s="27">
        <v>0</v>
      </c>
      <c r="AX159" s="27">
        <v>0</v>
      </c>
      <c r="AY159" s="51">
        <v>4031218.3466666667</v>
      </c>
      <c r="BA159" s="30">
        <v>0</v>
      </c>
      <c r="BB159" s="27">
        <v>0</v>
      </c>
      <c r="BC159" s="27">
        <v>0</v>
      </c>
      <c r="BD159" s="51">
        <v>4031218.3466666667</v>
      </c>
      <c r="BF159" s="30">
        <v>0</v>
      </c>
      <c r="BG159" s="27">
        <v>0</v>
      </c>
      <c r="BH159" s="27">
        <v>0</v>
      </c>
      <c r="BI159" s="51">
        <v>4031218.3466666667</v>
      </c>
      <c r="BK159" s="30">
        <v>0</v>
      </c>
      <c r="BL159" s="27">
        <v>0</v>
      </c>
      <c r="BM159" s="27">
        <v>0</v>
      </c>
      <c r="BN159" s="51">
        <v>4031218.3466666667</v>
      </c>
      <c r="BP159" s="30">
        <v>4031218.3466666667</v>
      </c>
      <c r="BQ159" s="20">
        <v>299536216.34360093</v>
      </c>
      <c r="BR159" s="51">
        <v>0</v>
      </c>
      <c r="BT159" s="30">
        <v>0</v>
      </c>
      <c r="BU159" s="51">
        <v>0</v>
      </c>
      <c r="BW159" s="221">
        <v>0</v>
      </c>
      <c r="BX159" s="222">
        <v>0</v>
      </c>
    </row>
    <row r="160" spans="6:76" x14ac:dyDescent="0.2">
      <c r="F160" s="151">
        <v>156</v>
      </c>
      <c r="G160" s="30">
        <v>3550182.72</v>
      </c>
      <c r="H160" s="28">
        <v>0</v>
      </c>
      <c r="I160" s="28">
        <v>0</v>
      </c>
      <c r="J160" s="28">
        <v>0</v>
      </c>
      <c r="K160" s="28">
        <v>0</v>
      </c>
      <c r="L160" s="28">
        <v>0</v>
      </c>
      <c r="M160" s="27">
        <v>0</v>
      </c>
      <c r="N160" s="27">
        <v>320533.33333333331</v>
      </c>
      <c r="O160" s="51">
        <v>3870716.0533333337</v>
      </c>
      <c r="P160" s="5"/>
      <c r="Q160" s="30">
        <v>26666.666666666668</v>
      </c>
      <c r="R160" s="27">
        <v>26666.666666666668</v>
      </c>
      <c r="S160" s="27">
        <v>0</v>
      </c>
      <c r="T160" s="51">
        <v>3844049.3866666672</v>
      </c>
      <c r="U160" s="5"/>
      <c r="V160" s="30">
        <v>0</v>
      </c>
      <c r="W160" s="51">
        <v>3523516.0533333337</v>
      </c>
      <c r="Y160" s="30">
        <v>0</v>
      </c>
      <c r="Z160" s="27">
        <v>0</v>
      </c>
      <c r="AA160" s="27">
        <v>0</v>
      </c>
      <c r="AB160" s="51">
        <v>3760377.9075016947</v>
      </c>
      <c r="AD160" s="30">
        <v>398766878.28590548</v>
      </c>
      <c r="AE160" s="27">
        <v>132872.22168079135</v>
      </c>
      <c r="AF160" s="27">
        <v>398634006.06422466</v>
      </c>
      <c r="AG160" s="51">
        <v>3627505.6858209036</v>
      </c>
      <c r="AI160" s="30">
        <v>0</v>
      </c>
      <c r="AJ160" s="51">
        <v>3523516.0533333337</v>
      </c>
      <c r="AL160" s="43">
        <v>320000</v>
      </c>
      <c r="AM160" s="52">
        <v>-533.33333333331393</v>
      </c>
      <c r="AN160" s="53">
        <v>320000</v>
      </c>
      <c r="AO160" s="54">
        <v>3524049.3866666672</v>
      </c>
      <c r="AQ160" s="30">
        <v>0</v>
      </c>
      <c r="AR160" s="27">
        <v>0</v>
      </c>
      <c r="AS160" s="27">
        <v>0</v>
      </c>
      <c r="AT160" s="51">
        <v>3524049.3866666672</v>
      </c>
      <c r="AV160" s="30">
        <v>0</v>
      </c>
      <c r="AW160" s="27">
        <v>0</v>
      </c>
      <c r="AX160" s="27">
        <v>0</v>
      </c>
      <c r="AY160" s="51">
        <v>3524049.3866666672</v>
      </c>
      <c r="BA160" s="30">
        <v>0</v>
      </c>
      <c r="BB160" s="27">
        <v>0</v>
      </c>
      <c r="BC160" s="27">
        <v>0</v>
      </c>
      <c r="BD160" s="51">
        <v>3524049.3866666672</v>
      </c>
      <c r="BF160" s="30">
        <v>0</v>
      </c>
      <c r="BG160" s="27">
        <v>0</v>
      </c>
      <c r="BH160" s="27">
        <v>0</v>
      </c>
      <c r="BI160" s="51">
        <v>3524049.3866666672</v>
      </c>
      <c r="BK160" s="30">
        <v>0</v>
      </c>
      <c r="BL160" s="27">
        <v>0</v>
      </c>
      <c r="BM160" s="27">
        <v>0</v>
      </c>
      <c r="BN160" s="51">
        <v>3524049.3866666672</v>
      </c>
      <c r="BP160" s="30">
        <v>3524049.3866666672</v>
      </c>
      <c r="BQ160" s="20">
        <v>303060265.73026758</v>
      </c>
      <c r="BR160" s="51">
        <v>0</v>
      </c>
      <c r="BT160" s="30">
        <v>0</v>
      </c>
      <c r="BU160" s="51">
        <v>0</v>
      </c>
      <c r="BW160" s="221">
        <v>0</v>
      </c>
      <c r="BX160" s="222">
        <v>0</v>
      </c>
    </row>
    <row r="161" spans="6:76" x14ac:dyDescent="0.2">
      <c r="F161" s="151">
        <v>157</v>
      </c>
      <c r="G161" s="30">
        <v>3051788.23</v>
      </c>
      <c r="H161" s="28">
        <v>0</v>
      </c>
      <c r="I161" s="28">
        <v>0</v>
      </c>
      <c r="J161" s="28">
        <v>0</v>
      </c>
      <c r="K161" s="28">
        <v>0</v>
      </c>
      <c r="L161" s="28">
        <v>0</v>
      </c>
      <c r="M161" s="27">
        <v>0</v>
      </c>
      <c r="N161" s="27">
        <v>320533.33333333331</v>
      </c>
      <c r="O161" s="51">
        <v>3372321.5633333335</v>
      </c>
      <c r="P161" s="5"/>
      <c r="Q161" s="30">
        <v>26666.666666666668</v>
      </c>
      <c r="R161" s="27">
        <v>26666.666666666668</v>
      </c>
      <c r="S161" s="27">
        <v>0</v>
      </c>
      <c r="T161" s="51">
        <v>3345654.896666667</v>
      </c>
      <c r="U161" s="5"/>
      <c r="V161" s="30">
        <v>0</v>
      </c>
      <c r="W161" s="51">
        <v>3025121.5633333335</v>
      </c>
      <c r="Y161" s="30">
        <v>0</v>
      </c>
      <c r="Z161" s="27">
        <v>0</v>
      </c>
      <c r="AA161" s="27">
        <v>0</v>
      </c>
      <c r="AB161" s="51">
        <v>3522912.3619383732</v>
      </c>
      <c r="AD161" s="30">
        <v>409881170.82350916</v>
      </c>
      <c r="AE161" s="27">
        <v>132872.22168079135</v>
      </c>
      <c r="AF161" s="27">
        <v>409748298.60182834</v>
      </c>
      <c r="AG161" s="51">
        <v>3390040.1402575821</v>
      </c>
      <c r="AI161" s="30">
        <v>0</v>
      </c>
      <c r="AJ161" s="51">
        <v>3025121.5633333335</v>
      </c>
      <c r="AL161" s="43">
        <v>320000</v>
      </c>
      <c r="AM161" s="52">
        <v>-533.33333333331393</v>
      </c>
      <c r="AN161" s="53">
        <v>320000</v>
      </c>
      <c r="AO161" s="54">
        <v>3025654.896666667</v>
      </c>
      <c r="AQ161" s="30">
        <v>0</v>
      </c>
      <c r="AR161" s="27">
        <v>0</v>
      </c>
      <c r="AS161" s="27">
        <v>0</v>
      </c>
      <c r="AT161" s="51">
        <v>3025654.896666667</v>
      </c>
      <c r="AV161" s="30">
        <v>0</v>
      </c>
      <c r="AW161" s="27">
        <v>0</v>
      </c>
      <c r="AX161" s="27">
        <v>0</v>
      </c>
      <c r="AY161" s="51">
        <v>3025654.896666667</v>
      </c>
      <c r="BA161" s="30">
        <v>0</v>
      </c>
      <c r="BB161" s="27">
        <v>0</v>
      </c>
      <c r="BC161" s="27">
        <v>0</v>
      </c>
      <c r="BD161" s="51">
        <v>3025654.896666667</v>
      </c>
      <c r="BF161" s="30">
        <v>0</v>
      </c>
      <c r="BG161" s="27">
        <v>0</v>
      </c>
      <c r="BH161" s="27">
        <v>0</v>
      </c>
      <c r="BI161" s="51">
        <v>3025654.896666667</v>
      </c>
      <c r="BK161" s="30">
        <v>0</v>
      </c>
      <c r="BL161" s="27">
        <v>0</v>
      </c>
      <c r="BM161" s="27">
        <v>0</v>
      </c>
      <c r="BN161" s="51">
        <v>3025654.896666667</v>
      </c>
      <c r="BP161" s="30">
        <v>3025654.896666667</v>
      </c>
      <c r="BQ161" s="20">
        <v>306085920.62693423</v>
      </c>
      <c r="BR161" s="51">
        <v>0</v>
      </c>
      <c r="BT161" s="30">
        <v>0</v>
      </c>
      <c r="BU161" s="51">
        <v>0</v>
      </c>
      <c r="BW161" s="221">
        <v>0</v>
      </c>
      <c r="BX161" s="222">
        <v>0</v>
      </c>
    </row>
    <row r="162" spans="6:76" x14ac:dyDescent="0.2">
      <c r="F162" s="151">
        <v>158</v>
      </c>
      <c r="G162" s="30">
        <v>3130152.12</v>
      </c>
      <c r="H162" s="28">
        <v>0</v>
      </c>
      <c r="I162" s="28">
        <v>0</v>
      </c>
      <c r="J162" s="28">
        <v>0</v>
      </c>
      <c r="K162" s="28">
        <v>0</v>
      </c>
      <c r="L162" s="28">
        <v>0</v>
      </c>
      <c r="M162" s="27">
        <v>0</v>
      </c>
      <c r="N162" s="27">
        <v>320533.33333333331</v>
      </c>
      <c r="O162" s="51">
        <v>3450685.4533333336</v>
      </c>
      <c r="P162" s="5"/>
      <c r="Q162" s="30">
        <v>26666.666666666668</v>
      </c>
      <c r="R162" s="27">
        <v>26666.666666666668</v>
      </c>
      <c r="S162" s="27">
        <v>0</v>
      </c>
      <c r="T162" s="51">
        <v>3424018.7866666671</v>
      </c>
      <c r="U162" s="5"/>
      <c r="V162" s="30">
        <v>0</v>
      </c>
      <c r="W162" s="51">
        <v>3103485.4533333336</v>
      </c>
      <c r="Y162" s="30">
        <v>0</v>
      </c>
      <c r="Z162" s="27">
        <v>0</v>
      </c>
      <c r="AA162" s="27">
        <v>0</v>
      </c>
      <c r="AB162" s="51">
        <v>3701800.7510664407</v>
      </c>
      <c r="AD162" s="30">
        <v>421309044.93581963</v>
      </c>
      <c r="AE162" s="27">
        <v>132872.22168079135</v>
      </c>
      <c r="AF162" s="27">
        <v>421176172.71413881</v>
      </c>
      <c r="AG162" s="51">
        <v>3568928.5293856496</v>
      </c>
      <c r="AI162" s="30">
        <v>0</v>
      </c>
      <c r="AJ162" s="51">
        <v>3103485.4533333336</v>
      </c>
      <c r="AL162" s="43">
        <v>320000</v>
      </c>
      <c r="AM162" s="52">
        <v>-533.33333333331393</v>
      </c>
      <c r="AN162" s="53">
        <v>320000</v>
      </c>
      <c r="AO162" s="54">
        <v>3104018.7866666671</v>
      </c>
      <c r="AQ162" s="30">
        <v>0</v>
      </c>
      <c r="AR162" s="27">
        <v>0</v>
      </c>
      <c r="AS162" s="27">
        <v>0</v>
      </c>
      <c r="AT162" s="51">
        <v>3104018.7866666671</v>
      </c>
      <c r="AV162" s="30">
        <v>0</v>
      </c>
      <c r="AW162" s="27">
        <v>0</v>
      </c>
      <c r="AX162" s="27">
        <v>0</v>
      </c>
      <c r="AY162" s="51">
        <v>3104018.7866666671</v>
      </c>
      <c r="BA162" s="30">
        <v>0</v>
      </c>
      <c r="BB162" s="27">
        <v>0</v>
      </c>
      <c r="BC162" s="27">
        <v>0</v>
      </c>
      <c r="BD162" s="51">
        <v>3104018.7866666671</v>
      </c>
      <c r="BF162" s="30">
        <v>0</v>
      </c>
      <c r="BG162" s="27">
        <v>0</v>
      </c>
      <c r="BH162" s="27">
        <v>0</v>
      </c>
      <c r="BI162" s="51">
        <v>3104018.7866666671</v>
      </c>
      <c r="BK162" s="30">
        <v>0</v>
      </c>
      <c r="BL162" s="27">
        <v>0</v>
      </c>
      <c r="BM162" s="27">
        <v>0</v>
      </c>
      <c r="BN162" s="51">
        <v>3104018.7866666671</v>
      </c>
      <c r="BP162" s="30">
        <v>3104018.7866666671</v>
      </c>
      <c r="BQ162" s="20">
        <v>309189939.41360092</v>
      </c>
      <c r="BR162" s="51">
        <v>0</v>
      </c>
      <c r="BT162" s="30">
        <v>0</v>
      </c>
      <c r="BU162" s="51">
        <v>0</v>
      </c>
      <c r="BW162" s="221">
        <v>0</v>
      </c>
      <c r="BX162" s="222">
        <v>0</v>
      </c>
    </row>
    <row r="163" spans="6:76" x14ac:dyDescent="0.2">
      <c r="F163" s="151">
        <v>159</v>
      </c>
      <c r="G163" s="30">
        <v>3819504.75</v>
      </c>
      <c r="H163" s="28">
        <v>0</v>
      </c>
      <c r="I163" s="28">
        <v>0</v>
      </c>
      <c r="J163" s="28">
        <v>0</v>
      </c>
      <c r="K163" s="28">
        <v>0</v>
      </c>
      <c r="L163" s="28">
        <v>0</v>
      </c>
      <c r="M163" s="27">
        <v>0</v>
      </c>
      <c r="N163" s="27">
        <v>320533.33333333331</v>
      </c>
      <c r="O163" s="51">
        <v>4140038.0833333335</v>
      </c>
      <c r="P163" s="5"/>
      <c r="Q163" s="30">
        <v>26666.666666666668</v>
      </c>
      <c r="R163" s="27">
        <v>26666.666666666668</v>
      </c>
      <c r="S163" s="27">
        <v>0</v>
      </c>
      <c r="T163" s="51">
        <v>4113371.416666667</v>
      </c>
      <c r="U163" s="5"/>
      <c r="V163" s="30">
        <v>0</v>
      </c>
      <c r="W163" s="51">
        <v>3792838.0833333335</v>
      </c>
      <c r="Y163" s="30">
        <v>0</v>
      </c>
      <c r="Z163" s="27">
        <v>0</v>
      </c>
      <c r="AA163" s="27">
        <v>0</v>
      </c>
      <c r="AB163" s="51">
        <v>3536351.9600060061</v>
      </c>
      <c r="AD163" s="30">
        <v>433059348.09591389</v>
      </c>
      <c r="AE163" s="27">
        <v>132872.22168079135</v>
      </c>
      <c r="AF163" s="27">
        <v>432926475.87423307</v>
      </c>
      <c r="AG163" s="51">
        <v>3403479.7383252149</v>
      </c>
      <c r="AI163" s="30">
        <v>0</v>
      </c>
      <c r="AJ163" s="51">
        <v>3792838.0833333335</v>
      </c>
      <c r="AL163" s="43">
        <v>320000</v>
      </c>
      <c r="AM163" s="52">
        <v>-533.33333333331393</v>
      </c>
      <c r="AN163" s="53">
        <v>320000</v>
      </c>
      <c r="AO163" s="54">
        <v>3793371.416666667</v>
      </c>
      <c r="AQ163" s="30">
        <v>0</v>
      </c>
      <c r="AR163" s="27">
        <v>0</v>
      </c>
      <c r="AS163" s="27">
        <v>0</v>
      </c>
      <c r="AT163" s="51">
        <v>3793371.416666667</v>
      </c>
      <c r="AV163" s="30">
        <v>0</v>
      </c>
      <c r="AW163" s="27">
        <v>0</v>
      </c>
      <c r="AX163" s="27">
        <v>0</v>
      </c>
      <c r="AY163" s="51">
        <v>3793371.416666667</v>
      </c>
      <c r="BA163" s="30">
        <v>0</v>
      </c>
      <c r="BB163" s="27">
        <v>0</v>
      </c>
      <c r="BC163" s="27">
        <v>0</v>
      </c>
      <c r="BD163" s="51">
        <v>3793371.416666667</v>
      </c>
      <c r="BF163" s="30">
        <v>0</v>
      </c>
      <c r="BG163" s="27">
        <v>0</v>
      </c>
      <c r="BH163" s="27">
        <v>0</v>
      </c>
      <c r="BI163" s="51">
        <v>3793371.416666667</v>
      </c>
      <c r="BK163" s="30">
        <v>0</v>
      </c>
      <c r="BL163" s="27">
        <v>0</v>
      </c>
      <c r="BM163" s="27">
        <v>0</v>
      </c>
      <c r="BN163" s="51">
        <v>3793371.416666667</v>
      </c>
      <c r="BP163" s="30">
        <v>3793371.416666667</v>
      </c>
      <c r="BQ163" s="20">
        <v>312983310.83026761</v>
      </c>
      <c r="BR163" s="51">
        <v>0</v>
      </c>
      <c r="BT163" s="30">
        <v>0</v>
      </c>
      <c r="BU163" s="51">
        <v>0</v>
      </c>
      <c r="BW163" s="221">
        <v>0</v>
      </c>
      <c r="BX163" s="222">
        <v>0</v>
      </c>
    </row>
    <row r="164" spans="6:76" x14ac:dyDescent="0.2">
      <c r="F164" s="151">
        <v>160</v>
      </c>
      <c r="G164" s="30">
        <v>3248532.72</v>
      </c>
      <c r="H164" s="28">
        <v>0</v>
      </c>
      <c r="I164" s="28">
        <v>0</v>
      </c>
      <c r="J164" s="28">
        <v>0</v>
      </c>
      <c r="K164" s="28">
        <v>0</v>
      </c>
      <c r="L164" s="28">
        <v>0</v>
      </c>
      <c r="M164" s="27">
        <v>0</v>
      </c>
      <c r="N164" s="27">
        <v>320533.33333333331</v>
      </c>
      <c r="O164" s="51">
        <v>3569066.0533333337</v>
      </c>
      <c r="P164" s="5"/>
      <c r="Q164" s="30">
        <v>26666.666666666668</v>
      </c>
      <c r="R164" s="27">
        <v>26666.666666666668</v>
      </c>
      <c r="S164" s="27">
        <v>0</v>
      </c>
      <c r="T164" s="51">
        <v>3542399.3866666672</v>
      </c>
      <c r="U164" s="5"/>
      <c r="V164" s="30">
        <v>0</v>
      </c>
      <c r="W164" s="51">
        <v>3221866.0533333337</v>
      </c>
      <c r="Y164" s="30">
        <v>0</v>
      </c>
      <c r="Z164" s="27">
        <v>0</v>
      </c>
      <c r="AA164" s="27">
        <v>0</v>
      </c>
      <c r="AB164" s="51">
        <v>3402842.6059990237</v>
      </c>
      <c r="AD164" s="30">
        <v>445141177.40180272</v>
      </c>
      <c r="AE164" s="27">
        <v>132872.22168079135</v>
      </c>
      <c r="AF164" s="27">
        <v>445008305.1801219</v>
      </c>
      <c r="AG164" s="51">
        <v>3269970.3843182325</v>
      </c>
      <c r="AI164" s="30">
        <v>0</v>
      </c>
      <c r="AJ164" s="51">
        <v>3221866.0533333337</v>
      </c>
      <c r="AL164" s="43">
        <v>320000</v>
      </c>
      <c r="AM164" s="52">
        <v>-533.33333333331393</v>
      </c>
      <c r="AN164" s="53">
        <v>320000</v>
      </c>
      <c r="AO164" s="54">
        <v>3222399.3866666672</v>
      </c>
      <c r="AQ164" s="30">
        <v>0</v>
      </c>
      <c r="AR164" s="27">
        <v>0</v>
      </c>
      <c r="AS164" s="27">
        <v>0</v>
      </c>
      <c r="AT164" s="51">
        <v>3222399.3866666672</v>
      </c>
      <c r="AV164" s="30">
        <v>0</v>
      </c>
      <c r="AW164" s="27">
        <v>0</v>
      </c>
      <c r="AX164" s="27">
        <v>0</v>
      </c>
      <c r="AY164" s="51">
        <v>3222399.3866666672</v>
      </c>
      <c r="BA164" s="30">
        <v>0</v>
      </c>
      <c r="BB164" s="27">
        <v>0</v>
      </c>
      <c r="BC164" s="27">
        <v>0</v>
      </c>
      <c r="BD164" s="51">
        <v>3222399.3866666672</v>
      </c>
      <c r="BF164" s="30">
        <v>0</v>
      </c>
      <c r="BG164" s="27">
        <v>0</v>
      </c>
      <c r="BH164" s="27">
        <v>0</v>
      </c>
      <c r="BI164" s="51">
        <v>3222399.3866666672</v>
      </c>
      <c r="BK164" s="30">
        <v>0</v>
      </c>
      <c r="BL164" s="27">
        <v>0</v>
      </c>
      <c r="BM164" s="27">
        <v>0</v>
      </c>
      <c r="BN164" s="51">
        <v>3222399.3866666672</v>
      </c>
      <c r="BP164" s="30">
        <v>3222399.3866666672</v>
      </c>
      <c r="BQ164" s="20">
        <v>316205710.21693426</v>
      </c>
      <c r="BR164" s="51">
        <v>0</v>
      </c>
      <c r="BT164" s="30">
        <v>0</v>
      </c>
      <c r="BU164" s="51">
        <v>0</v>
      </c>
      <c r="BW164" s="221">
        <v>0</v>
      </c>
      <c r="BX164" s="222">
        <v>0</v>
      </c>
    </row>
    <row r="165" spans="6:76" x14ac:dyDescent="0.2">
      <c r="F165" s="151">
        <v>161</v>
      </c>
      <c r="G165" s="30">
        <v>3171183.36</v>
      </c>
      <c r="H165" s="28">
        <v>0</v>
      </c>
      <c r="I165" s="28">
        <v>0</v>
      </c>
      <c r="J165" s="28">
        <v>0</v>
      </c>
      <c r="K165" s="28">
        <v>0</v>
      </c>
      <c r="L165" s="28">
        <v>0</v>
      </c>
      <c r="M165" s="27">
        <v>0</v>
      </c>
      <c r="N165" s="27">
        <v>320533.33333333331</v>
      </c>
      <c r="O165" s="51">
        <v>3491716.6933333334</v>
      </c>
      <c r="P165" s="5"/>
      <c r="Q165" s="30">
        <v>26666.666666666668</v>
      </c>
      <c r="R165" s="27">
        <v>26666.666666666668</v>
      </c>
      <c r="S165" s="27">
        <v>0</v>
      </c>
      <c r="T165" s="51">
        <v>3465050.0266666668</v>
      </c>
      <c r="U165" s="5"/>
      <c r="V165" s="30">
        <v>0</v>
      </c>
      <c r="W165" s="51">
        <v>3144516.6933333334</v>
      </c>
      <c r="Y165" s="30">
        <v>0</v>
      </c>
      <c r="Z165" s="27">
        <v>0</v>
      </c>
      <c r="AA165" s="27">
        <v>0</v>
      </c>
      <c r="AB165" s="51">
        <v>3000113.5074984916</v>
      </c>
      <c r="AD165" s="30">
        <v>457563886.61941439</v>
      </c>
      <c r="AE165" s="27">
        <v>132872.22168079135</v>
      </c>
      <c r="AF165" s="27">
        <v>457431014.39773357</v>
      </c>
      <c r="AG165" s="51">
        <v>2867241.2858177004</v>
      </c>
      <c r="AI165" s="30">
        <v>0</v>
      </c>
      <c r="AJ165" s="51">
        <v>3144516.6933333334</v>
      </c>
      <c r="AL165" s="43">
        <v>320000</v>
      </c>
      <c r="AM165" s="52">
        <v>-533.33333333331393</v>
      </c>
      <c r="AN165" s="53">
        <v>320000</v>
      </c>
      <c r="AO165" s="54">
        <v>3145050.0266666668</v>
      </c>
      <c r="AQ165" s="30">
        <v>0</v>
      </c>
      <c r="AR165" s="27">
        <v>0</v>
      </c>
      <c r="AS165" s="27">
        <v>0</v>
      </c>
      <c r="AT165" s="51">
        <v>3145050.0266666668</v>
      </c>
      <c r="AV165" s="30">
        <v>0</v>
      </c>
      <c r="AW165" s="27">
        <v>0</v>
      </c>
      <c r="AX165" s="27">
        <v>0</v>
      </c>
      <c r="AY165" s="51">
        <v>3145050.0266666668</v>
      </c>
      <c r="BA165" s="30">
        <v>0</v>
      </c>
      <c r="BB165" s="27">
        <v>0</v>
      </c>
      <c r="BC165" s="27">
        <v>0</v>
      </c>
      <c r="BD165" s="51">
        <v>3145050.0266666668</v>
      </c>
      <c r="BF165" s="30">
        <v>0</v>
      </c>
      <c r="BG165" s="27">
        <v>0</v>
      </c>
      <c r="BH165" s="27">
        <v>0</v>
      </c>
      <c r="BI165" s="51">
        <v>3145050.0266666668</v>
      </c>
      <c r="BK165" s="30">
        <v>0</v>
      </c>
      <c r="BL165" s="27">
        <v>0</v>
      </c>
      <c r="BM165" s="27">
        <v>0</v>
      </c>
      <c r="BN165" s="51">
        <v>3145050.0266666668</v>
      </c>
      <c r="BP165" s="30">
        <v>3145050.0266666668</v>
      </c>
      <c r="BQ165" s="20">
        <v>319350760.2436009</v>
      </c>
      <c r="BR165" s="51">
        <v>0</v>
      </c>
      <c r="BT165" s="30">
        <v>0</v>
      </c>
      <c r="BU165" s="51">
        <v>0</v>
      </c>
      <c r="BW165" s="221">
        <v>0</v>
      </c>
      <c r="BX165" s="222">
        <v>0</v>
      </c>
    </row>
    <row r="166" spans="6:76" x14ac:dyDescent="0.2">
      <c r="F166" s="151">
        <v>162</v>
      </c>
      <c r="G166" s="30">
        <v>4103452.75</v>
      </c>
      <c r="H166" s="28">
        <v>0</v>
      </c>
      <c r="I166" s="28">
        <v>0</v>
      </c>
      <c r="J166" s="28">
        <v>0</v>
      </c>
      <c r="K166" s="28">
        <v>0</v>
      </c>
      <c r="L166" s="28">
        <v>0</v>
      </c>
      <c r="M166" s="27">
        <v>0</v>
      </c>
      <c r="N166" s="27">
        <v>320533.33333333331</v>
      </c>
      <c r="O166" s="51">
        <v>4423986.083333333</v>
      </c>
      <c r="P166" s="5"/>
      <c r="Q166" s="30">
        <v>26666.666666666668</v>
      </c>
      <c r="R166" s="27">
        <v>26666.666666666668</v>
      </c>
      <c r="S166" s="27">
        <v>0</v>
      </c>
      <c r="T166" s="51">
        <v>4397319.416666666</v>
      </c>
      <c r="U166" s="5"/>
      <c r="V166" s="30">
        <v>0</v>
      </c>
      <c r="W166" s="51">
        <v>4076786.0833333326</v>
      </c>
      <c r="Y166" s="30">
        <v>0</v>
      </c>
      <c r="Z166" s="27">
        <v>0</v>
      </c>
      <c r="AA166" s="27">
        <v>0</v>
      </c>
      <c r="AB166" s="51">
        <v>4323899.8081897516</v>
      </c>
      <c r="AD166" s="30">
        <v>470337093.42429072</v>
      </c>
      <c r="AE166" s="27">
        <v>132872.22168079135</v>
      </c>
      <c r="AF166" s="27">
        <v>470204221.2026099</v>
      </c>
      <c r="AG166" s="51">
        <v>4191027.5865089605</v>
      </c>
      <c r="AI166" s="30">
        <v>0</v>
      </c>
      <c r="AJ166" s="51">
        <v>4076786.0833333326</v>
      </c>
      <c r="AL166" s="43">
        <v>320000</v>
      </c>
      <c r="AM166" s="52">
        <v>-533.33333333331393</v>
      </c>
      <c r="AN166" s="53">
        <v>320000</v>
      </c>
      <c r="AO166" s="54">
        <v>4077319.416666666</v>
      </c>
      <c r="AQ166" s="30">
        <v>0</v>
      </c>
      <c r="AR166" s="27">
        <v>0</v>
      </c>
      <c r="AS166" s="27">
        <v>0</v>
      </c>
      <c r="AT166" s="51">
        <v>4077319.416666666</v>
      </c>
      <c r="AV166" s="30">
        <v>0</v>
      </c>
      <c r="AW166" s="27">
        <v>0</v>
      </c>
      <c r="AX166" s="27">
        <v>0</v>
      </c>
      <c r="AY166" s="51">
        <v>4077319.416666666</v>
      </c>
      <c r="BA166" s="30">
        <v>0</v>
      </c>
      <c r="BB166" s="27">
        <v>0</v>
      </c>
      <c r="BC166" s="27">
        <v>0</v>
      </c>
      <c r="BD166" s="51">
        <v>4077319.416666666</v>
      </c>
      <c r="BF166" s="30">
        <v>0</v>
      </c>
      <c r="BG166" s="27">
        <v>0</v>
      </c>
      <c r="BH166" s="27">
        <v>0</v>
      </c>
      <c r="BI166" s="51">
        <v>4077319.416666666</v>
      </c>
      <c r="BK166" s="30">
        <v>0</v>
      </c>
      <c r="BL166" s="27">
        <v>0</v>
      </c>
      <c r="BM166" s="27">
        <v>0</v>
      </c>
      <c r="BN166" s="51">
        <v>4077319.416666666</v>
      </c>
      <c r="BP166" s="30">
        <v>4077319.416666666</v>
      </c>
      <c r="BQ166" s="20">
        <v>323428079.66026759</v>
      </c>
      <c r="BR166" s="51">
        <v>0</v>
      </c>
      <c r="BT166" s="30">
        <v>0</v>
      </c>
      <c r="BU166" s="51">
        <v>0</v>
      </c>
      <c r="BW166" s="221">
        <v>0</v>
      </c>
      <c r="BX166" s="222">
        <v>0</v>
      </c>
    </row>
    <row r="167" spans="6:76" x14ac:dyDescent="0.2">
      <c r="F167" s="151">
        <v>163</v>
      </c>
      <c r="G167" s="30">
        <v>4129288.51</v>
      </c>
      <c r="H167" s="28">
        <v>0</v>
      </c>
      <c r="I167" s="28">
        <v>0</v>
      </c>
      <c r="J167" s="28">
        <v>0</v>
      </c>
      <c r="K167" s="28">
        <v>0</v>
      </c>
      <c r="L167" s="28">
        <v>0</v>
      </c>
      <c r="M167" s="27">
        <v>0</v>
      </c>
      <c r="N167" s="27">
        <v>320533.33333333331</v>
      </c>
      <c r="O167" s="51">
        <v>4449821.8433333328</v>
      </c>
      <c r="P167" s="5"/>
      <c r="Q167" s="30">
        <v>26666.666666666668</v>
      </c>
      <c r="R167" s="27">
        <v>26666.666666666668</v>
      </c>
      <c r="S167" s="27">
        <v>0</v>
      </c>
      <c r="T167" s="51">
        <v>4423155.1766666658</v>
      </c>
      <c r="U167" s="5"/>
      <c r="V167" s="30">
        <v>0</v>
      </c>
      <c r="W167" s="51">
        <v>4102621.8433333323</v>
      </c>
      <c r="Y167" s="30">
        <v>0</v>
      </c>
      <c r="Z167" s="27">
        <v>0</v>
      </c>
      <c r="AA167" s="27">
        <v>0</v>
      </c>
      <c r="AB167" s="51">
        <v>3319914.3145161783</v>
      </c>
      <c r="AD167" s="30">
        <v>483470686.84760249</v>
      </c>
      <c r="AE167" s="27">
        <v>132872.22168079135</v>
      </c>
      <c r="AF167" s="27">
        <v>483337814.62592167</v>
      </c>
      <c r="AG167" s="51">
        <v>3187042.0928353872</v>
      </c>
      <c r="AI167" s="30">
        <v>0</v>
      </c>
      <c r="AJ167" s="51">
        <v>4102621.8433333323</v>
      </c>
      <c r="AL167" s="43">
        <v>320000</v>
      </c>
      <c r="AM167" s="52">
        <v>-533.33333333331393</v>
      </c>
      <c r="AN167" s="53">
        <v>320000</v>
      </c>
      <c r="AO167" s="54">
        <v>4103155.1766666658</v>
      </c>
      <c r="AQ167" s="30">
        <v>0</v>
      </c>
      <c r="AR167" s="27">
        <v>0</v>
      </c>
      <c r="AS167" s="27">
        <v>0</v>
      </c>
      <c r="AT167" s="51">
        <v>4103155.1766666658</v>
      </c>
      <c r="AV167" s="30">
        <v>0</v>
      </c>
      <c r="AW167" s="27">
        <v>0</v>
      </c>
      <c r="AX167" s="27">
        <v>0</v>
      </c>
      <c r="AY167" s="51">
        <v>4103155.1766666658</v>
      </c>
      <c r="BA167" s="30">
        <v>0</v>
      </c>
      <c r="BB167" s="27">
        <v>0</v>
      </c>
      <c r="BC167" s="27">
        <v>0</v>
      </c>
      <c r="BD167" s="51">
        <v>4103155.1766666658</v>
      </c>
      <c r="BF167" s="30">
        <v>0</v>
      </c>
      <c r="BG167" s="27">
        <v>0</v>
      </c>
      <c r="BH167" s="27">
        <v>0</v>
      </c>
      <c r="BI167" s="51">
        <v>4103155.1766666658</v>
      </c>
      <c r="BK167" s="30">
        <v>0</v>
      </c>
      <c r="BL167" s="27">
        <v>0</v>
      </c>
      <c r="BM167" s="27">
        <v>0</v>
      </c>
      <c r="BN167" s="51">
        <v>4103155.1766666658</v>
      </c>
      <c r="BP167" s="30">
        <v>4103155.1766666658</v>
      </c>
      <c r="BQ167" s="20">
        <v>327531234.83693427</v>
      </c>
      <c r="BR167" s="51">
        <v>0</v>
      </c>
      <c r="BT167" s="30">
        <v>0</v>
      </c>
      <c r="BU167" s="51">
        <v>0</v>
      </c>
      <c r="BW167" s="221">
        <v>0</v>
      </c>
      <c r="BX167" s="222">
        <v>0</v>
      </c>
    </row>
    <row r="168" spans="6:76" x14ac:dyDescent="0.2">
      <c r="F168" s="151">
        <v>164</v>
      </c>
      <c r="G168" s="30">
        <v>3280250.42</v>
      </c>
      <c r="H168" s="28">
        <v>0</v>
      </c>
      <c r="I168" s="28">
        <v>0</v>
      </c>
      <c r="J168" s="28">
        <v>0</v>
      </c>
      <c r="K168" s="28">
        <v>0</v>
      </c>
      <c r="L168" s="28">
        <v>0</v>
      </c>
      <c r="M168" s="27">
        <v>0</v>
      </c>
      <c r="N168" s="27">
        <v>320533.33333333331</v>
      </c>
      <c r="O168" s="51">
        <v>3600783.7533333334</v>
      </c>
      <c r="P168" s="5"/>
      <c r="Q168" s="30">
        <v>26666.666666666668</v>
      </c>
      <c r="R168" s="27">
        <v>26666.666666666668</v>
      </c>
      <c r="S168" s="27">
        <v>0</v>
      </c>
      <c r="T168" s="51">
        <v>3574117.0866666669</v>
      </c>
      <c r="U168" s="5"/>
      <c r="V168" s="30">
        <v>0</v>
      </c>
      <c r="W168" s="51">
        <v>3253583.7533333334</v>
      </c>
      <c r="Y168" s="30">
        <v>0</v>
      </c>
      <c r="Z168" s="27">
        <v>0</v>
      </c>
      <c r="AA168" s="27">
        <v>0</v>
      </c>
      <c r="AB168" s="51">
        <v>3423780.8335454892</v>
      </c>
      <c r="AD168" s="30">
        <v>496974834.93224847</v>
      </c>
      <c r="AE168" s="27">
        <v>132872.22168079135</v>
      </c>
      <c r="AF168" s="27">
        <v>496841962.71056765</v>
      </c>
      <c r="AG168" s="51">
        <v>3290908.6118646981</v>
      </c>
      <c r="AI168" s="30">
        <v>0</v>
      </c>
      <c r="AJ168" s="51">
        <v>3253583.7533333334</v>
      </c>
      <c r="AL168" s="43">
        <v>320000</v>
      </c>
      <c r="AM168" s="52">
        <v>-533.33333333331393</v>
      </c>
      <c r="AN168" s="53">
        <v>320000</v>
      </c>
      <c r="AO168" s="54">
        <v>3254117.0866666669</v>
      </c>
      <c r="AQ168" s="30">
        <v>0</v>
      </c>
      <c r="AR168" s="27">
        <v>0</v>
      </c>
      <c r="AS168" s="27">
        <v>0</v>
      </c>
      <c r="AT168" s="51">
        <v>3254117.0866666669</v>
      </c>
      <c r="AV168" s="30">
        <v>0</v>
      </c>
      <c r="AW168" s="27">
        <v>0</v>
      </c>
      <c r="AX168" s="27">
        <v>0</v>
      </c>
      <c r="AY168" s="51">
        <v>3254117.0866666669</v>
      </c>
      <c r="BA168" s="30">
        <v>0</v>
      </c>
      <c r="BB168" s="27">
        <v>0</v>
      </c>
      <c r="BC168" s="27">
        <v>0</v>
      </c>
      <c r="BD168" s="51">
        <v>3254117.0866666669</v>
      </c>
      <c r="BF168" s="30">
        <v>0</v>
      </c>
      <c r="BG168" s="27">
        <v>0</v>
      </c>
      <c r="BH168" s="27">
        <v>0</v>
      </c>
      <c r="BI168" s="51">
        <v>3254117.0866666669</v>
      </c>
      <c r="BK168" s="30">
        <v>0</v>
      </c>
      <c r="BL168" s="27">
        <v>0</v>
      </c>
      <c r="BM168" s="27">
        <v>0</v>
      </c>
      <c r="BN168" s="51">
        <v>3254117.0866666669</v>
      </c>
      <c r="BP168" s="30">
        <v>3254117.0866666669</v>
      </c>
      <c r="BQ168" s="20">
        <v>330785351.92360091</v>
      </c>
      <c r="BR168" s="51">
        <v>0</v>
      </c>
      <c r="BT168" s="30">
        <v>0</v>
      </c>
      <c r="BU168" s="51">
        <v>0</v>
      </c>
      <c r="BW168" s="221">
        <v>0</v>
      </c>
      <c r="BX168" s="222">
        <v>0</v>
      </c>
    </row>
    <row r="169" spans="6:76" x14ac:dyDescent="0.2">
      <c r="F169" s="151">
        <v>165</v>
      </c>
      <c r="G169" s="30">
        <v>3090982.11</v>
      </c>
      <c r="H169" s="28">
        <v>0</v>
      </c>
      <c r="I169" s="28">
        <v>0</v>
      </c>
      <c r="J169" s="28">
        <v>0</v>
      </c>
      <c r="K169" s="28">
        <v>0</v>
      </c>
      <c r="L169" s="28">
        <v>0</v>
      </c>
      <c r="M169" s="27">
        <v>0</v>
      </c>
      <c r="N169" s="27">
        <v>320533.33333333331</v>
      </c>
      <c r="O169" s="51">
        <v>3411515.4433333334</v>
      </c>
      <c r="P169" s="5"/>
      <c r="Q169" s="30">
        <v>26666.666666666668</v>
      </c>
      <c r="R169" s="27">
        <v>26666.666666666668</v>
      </c>
      <c r="S169" s="27">
        <v>0</v>
      </c>
      <c r="T169" s="51">
        <v>3384848.7766666668</v>
      </c>
      <c r="U169" s="5"/>
      <c r="V169" s="30">
        <v>0</v>
      </c>
      <c r="W169" s="51">
        <v>3064315.4433333334</v>
      </c>
      <c r="Y169" s="30">
        <v>0</v>
      </c>
      <c r="Z169" s="27">
        <v>0</v>
      </c>
      <c r="AA169" s="27">
        <v>0</v>
      </c>
      <c r="AB169" s="51">
        <v>3746198.1700973436</v>
      </c>
      <c r="AD169" s="30">
        <v>510859992.60496587</v>
      </c>
      <c r="AE169" s="27">
        <v>132872.22168079135</v>
      </c>
      <c r="AF169" s="27">
        <v>510727120.38328505</v>
      </c>
      <c r="AG169" s="51">
        <v>3613325.9484165525</v>
      </c>
      <c r="AI169" s="30">
        <v>0</v>
      </c>
      <c r="AJ169" s="51">
        <v>3064315.4433333334</v>
      </c>
      <c r="AL169" s="43">
        <v>320000</v>
      </c>
      <c r="AM169" s="52">
        <v>-533.33333333331393</v>
      </c>
      <c r="AN169" s="53">
        <v>320000</v>
      </c>
      <c r="AO169" s="54">
        <v>3064848.7766666668</v>
      </c>
      <c r="AQ169" s="30">
        <v>0</v>
      </c>
      <c r="AR169" s="27">
        <v>0</v>
      </c>
      <c r="AS169" s="27">
        <v>0</v>
      </c>
      <c r="AT169" s="51">
        <v>3064848.7766666668</v>
      </c>
      <c r="AV169" s="30">
        <v>0</v>
      </c>
      <c r="AW169" s="27">
        <v>0</v>
      </c>
      <c r="AX169" s="27">
        <v>0</v>
      </c>
      <c r="AY169" s="51">
        <v>3064848.7766666668</v>
      </c>
      <c r="BA169" s="30">
        <v>0</v>
      </c>
      <c r="BB169" s="27">
        <v>0</v>
      </c>
      <c r="BC169" s="27">
        <v>0</v>
      </c>
      <c r="BD169" s="51">
        <v>3064848.7766666668</v>
      </c>
      <c r="BF169" s="30">
        <v>0</v>
      </c>
      <c r="BG169" s="27">
        <v>0</v>
      </c>
      <c r="BH169" s="27">
        <v>0</v>
      </c>
      <c r="BI169" s="51">
        <v>3064848.7766666668</v>
      </c>
      <c r="BK169" s="30">
        <v>0</v>
      </c>
      <c r="BL169" s="27">
        <v>0</v>
      </c>
      <c r="BM169" s="27">
        <v>0</v>
      </c>
      <c r="BN169" s="51">
        <v>3064848.7766666668</v>
      </c>
      <c r="BP169" s="30">
        <v>3064848.7766666668</v>
      </c>
      <c r="BQ169" s="20">
        <v>333850200.70026755</v>
      </c>
      <c r="BR169" s="51">
        <v>0</v>
      </c>
      <c r="BT169" s="30">
        <v>0</v>
      </c>
      <c r="BU169" s="51">
        <v>0</v>
      </c>
      <c r="BW169" s="221">
        <v>0</v>
      </c>
      <c r="BX169" s="222">
        <v>0</v>
      </c>
    </row>
    <row r="170" spans="6:76" x14ac:dyDescent="0.2">
      <c r="F170" s="151">
        <v>166</v>
      </c>
      <c r="G170" s="30">
        <v>4088998.36</v>
      </c>
      <c r="H170" s="28">
        <v>0</v>
      </c>
      <c r="I170" s="28">
        <v>0</v>
      </c>
      <c r="J170" s="28">
        <v>0</v>
      </c>
      <c r="K170" s="28">
        <v>0</v>
      </c>
      <c r="L170" s="28">
        <v>0</v>
      </c>
      <c r="M170" s="27">
        <v>0</v>
      </c>
      <c r="N170" s="27">
        <v>320533.33333333331</v>
      </c>
      <c r="O170" s="51">
        <v>4409531.6933333334</v>
      </c>
      <c r="P170" s="5"/>
      <c r="Q170" s="30">
        <v>26666.666666666668</v>
      </c>
      <c r="R170" s="27">
        <v>26666.666666666668</v>
      </c>
      <c r="S170" s="27">
        <v>0</v>
      </c>
      <c r="T170" s="51">
        <v>4382865.0266666664</v>
      </c>
      <c r="U170" s="5"/>
      <c r="V170" s="30">
        <v>0</v>
      </c>
      <c r="W170" s="51">
        <v>4062331.6933333329</v>
      </c>
      <c r="Y170" s="30">
        <v>0</v>
      </c>
      <c r="Z170" s="27">
        <v>0</v>
      </c>
      <c r="AA170" s="27">
        <v>0</v>
      </c>
      <c r="AB170" s="51">
        <v>3907528.4650911335</v>
      </c>
      <c r="AD170" s="30">
        <v>525136909.77054638</v>
      </c>
      <c r="AE170" s="27">
        <v>132872.22168079135</v>
      </c>
      <c r="AF170" s="27">
        <v>525004037.54886556</v>
      </c>
      <c r="AG170" s="51">
        <v>3774656.2434103424</v>
      </c>
      <c r="AI170" s="30">
        <v>0</v>
      </c>
      <c r="AJ170" s="51">
        <v>4062331.6933333329</v>
      </c>
      <c r="AL170" s="43">
        <v>320000</v>
      </c>
      <c r="AM170" s="52">
        <v>-533.33333333331393</v>
      </c>
      <c r="AN170" s="53">
        <v>320000</v>
      </c>
      <c r="AO170" s="54">
        <v>4062865.0266666664</v>
      </c>
      <c r="AQ170" s="30">
        <v>0</v>
      </c>
      <c r="AR170" s="27">
        <v>0</v>
      </c>
      <c r="AS170" s="27">
        <v>0</v>
      </c>
      <c r="AT170" s="51">
        <v>4062865.0266666664</v>
      </c>
      <c r="AV170" s="30">
        <v>0</v>
      </c>
      <c r="AW170" s="27">
        <v>0</v>
      </c>
      <c r="AX170" s="27">
        <v>0</v>
      </c>
      <c r="AY170" s="51">
        <v>4062865.0266666664</v>
      </c>
      <c r="BA170" s="30">
        <v>0</v>
      </c>
      <c r="BB170" s="27">
        <v>0</v>
      </c>
      <c r="BC170" s="27">
        <v>0</v>
      </c>
      <c r="BD170" s="51">
        <v>4062865.0266666664</v>
      </c>
      <c r="BF170" s="30">
        <v>0</v>
      </c>
      <c r="BG170" s="27">
        <v>0</v>
      </c>
      <c r="BH170" s="27">
        <v>0</v>
      </c>
      <c r="BI170" s="51">
        <v>4062865.0266666664</v>
      </c>
      <c r="BK170" s="30">
        <v>0</v>
      </c>
      <c r="BL170" s="27">
        <v>0</v>
      </c>
      <c r="BM170" s="27">
        <v>0</v>
      </c>
      <c r="BN170" s="51">
        <v>4062865.0266666664</v>
      </c>
      <c r="BP170" s="30">
        <v>4062865.0266666664</v>
      </c>
      <c r="BQ170" s="20">
        <v>337913065.72693419</v>
      </c>
      <c r="BR170" s="51">
        <v>0</v>
      </c>
      <c r="BT170" s="30">
        <v>0</v>
      </c>
      <c r="BU170" s="51">
        <v>0</v>
      </c>
      <c r="BW170" s="221">
        <v>0</v>
      </c>
      <c r="BX170" s="222">
        <v>0</v>
      </c>
    </row>
    <row r="171" spans="6:76" x14ac:dyDescent="0.2">
      <c r="F171" s="151">
        <v>167</v>
      </c>
      <c r="G171" s="30">
        <v>3816827.9</v>
      </c>
      <c r="H171" s="28">
        <v>0</v>
      </c>
      <c r="I171" s="28">
        <v>0</v>
      </c>
      <c r="J171" s="28">
        <v>0</v>
      </c>
      <c r="K171" s="28">
        <v>0</v>
      </c>
      <c r="L171" s="28">
        <v>0</v>
      </c>
      <c r="M171" s="27">
        <v>0</v>
      </c>
      <c r="N171" s="27">
        <v>320533.33333333331</v>
      </c>
      <c r="O171" s="51">
        <v>4137361.2333333334</v>
      </c>
      <c r="P171" s="5"/>
      <c r="Q171" s="30">
        <v>26666.666666666668</v>
      </c>
      <c r="R171" s="27">
        <v>26666.666666666668</v>
      </c>
      <c r="S171" s="27">
        <v>0</v>
      </c>
      <c r="T171" s="51">
        <v>4110694.5666666669</v>
      </c>
      <c r="U171" s="5"/>
      <c r="V171" s="30">
        <v>0</v>
      </c>
      <c r="W171" s="51">
        <v>3790161.2333333334</v>
      </c>
      <c r="Y171" s="30">
        <v>0</v>
      </c>
      <c r="Z171" s="27">
        <v>0</v>
      </c>
      <c r="AA171" s="27">
        <v>0</v>
      </c>
      <c r="AB171" s="51">
        <v>4427594.2094602715</v>
      </c>
      <c r="AD171" s="30">
        <v>539816639.63442457</v>
      </c>
      <c r="AE171" s="27">
        <v>132872.22168079135</v>
      </c>
      <c r="AF171" s="27">
        <v>539683767.41274381</v>
      </c>
      <c r="AG171" s="51">
        <v>4294721.9877794804</v>
      </c>
      <c r="AI171" s="30">
        <v>0</v>
      </c>
      <c r="AJ171" s="51">
        <v>3790161.2333333334</v>
      </c>
      <c r="AL171" s="43">
        <v>320000</v>
      </c>
      <c r="AM171" s="52">
        <v>-533.33333333331393</v>
      </c>
      <c r="AN171" s="53">
        <v>320000</v>
      </c>
      <c r="AO171" s="54">
        <v>3790694.5666666669</v>
      </c>
      <c r="AQ171" s="30">
        <v>0</v>
      </c>
      <c r="AR171" s="27">
        <v>0</v>
      </c>
      <c r="AS171" s="27">
        <v>0</v>
      </c>
      <c r="AT171" s="51">
        <v>3790694.5666666669</v>
      </c>
      <c r="AV171" s="30">
        <v>0</v>
      </c>
      <c r="AW171" s="27">
        <v>0</v>
      </c>
      <c r="AX171" s="27">
        <v>0</v>
      </c>
      <c r="AY171" s="51">
        <v>3790694.5666666669</v>
      </c>
      <c r="BA171" s="30">
        <v>0</v>
      </c>
      <c r="BB171" s="27">
        <v>0</v>
      </c>
      <c r="BC171" s="27">
        <v>0</v>
      </c>
      <c r="BD171" s="51">
        <v>3790694.5666666669</v>
      </c>
      <c r="BF171" s="30">
        <v>0</v>
      </c>
      <c r="BG171" s="27">
        <v>0</v>
      </c>
      <c r="BH171" s="27">
        <v>0</v>
      </c>
      <c r="BI171" s="51">
        <v>3790694.5666666669</v>
      </c>
      <c r="BK171" s="30">
        <v>0</v>
      </c>
      <c r="BL171" s="27">
        <v>0</v>
      </c>
      <c r="BM171" s="27">
        <v>0</v>
      </c>
      <c r="BN171" s="51">
        <v>3790694.5666666669</v>
      </c>
      <c r="BP171" s="30">
        <v>3790694.5666666669</v>
      </c>
      <c r="BQ171" s="20">
        <v>341703760.29360086</v>
      </c>
      <c r="BR171" s="51">
        <v>0</v>
      </c>
      <c r="BT171" s="30">
        <v>0</v>
      </c>
      <c r="BU171" s="51">
        <v>0</v>
      </c>
      <c r="BW171" s="221">
        <v>0</v>
      </c>
      <c r="BX171" s="222">
        <v>0</v>
      </c>
    </row>
    <row r="172" spans="6:76" x14ac:dyDescent="0.2">
      <c r="F172" s="151">
        <v>168</v>
      </c>
      <c r="G172" s="30">
        <v>38811632.689999998</v>
      </c>
      <c r="H172" s="28">
        <v>0</v>
      </c>
      <c r="I172" s="28">
        <v>0</v>
      </c>
      <c r="J172" s="28">
        <v>0</v>
      </c>
      <c r="K172" s="28">
        <v>0</v>
      </c>
      <c r="L172" s="28">
        <v>0</v>
      </c>
      <c r="M172" s="27">
        <v>0</v>
      </c>
      <c r="N172" s="27">
        <v>320533.33333333331</v>
      </c>
      <c r="O172" s="51">
        <v>39132166.023333333</v>
      </c>
      <c r="P172" s="5"/>
      <c r="Q172" s="30">
        <v>21666.666666666668</v>
      </c>
      <c r="R172" s="27">
        <v>21666.666666666668</v>
      </c>
      <c r="S172" s="27">
        <v>0</v>
      </c>
      <c r="T172" s="51">
        <v>39110499.356666669</v>
      </c>
      <c r="U172" s="5"/>
      <c r="V172" s="30">
        <v>0</v>
      </c>
      <c r="W172" s="51">
        <v>38789966.023333333</v>
      </c>
      <c r="Y172" s="30">
        <v>0</v>
      </c>
      <c r="Z172" s="27">
        <v>0</v>
      </c>
      <c r="AA172" s="27">
        <v>0</v>
      </c>
      <c r="AB172" s="51">
        <v>60605778.919042796</v>
      </c>
      <c r="AD172" s="30">
        <v>554910547.26008213</v>
      </c>
      <c r="AE172" s="27">
        <v>132872.22168079135</v>
      </c>
      <c r="AF172" s="27">
        <v>554777675.03840137</v>
      </c>
      <c r="AG172" s="51">
        <v>60472906.697362006</v>
      </c>
      <c r="AI172" s="30">
        <v>0</v>
      </c>
      <c r="AJ172" s="51">
        <v>38789966.023333333</v>
      </c>
      <c r="AL172" s="43">
        <v>260000</v>
      </c>
      <c r="AM172" s="52">
        <v>-60533.333333333314</v>
      </c>
      <c r="AN172" s="53">
        <v>260000</v>
      </c>
      <c r="AO172" s="54">
        <v>38850499.356666669</v>
      </c>
      <c r="AQ172" s="30">
        <v>0</v>
      </c>
      <c r="AR172" s="27">
        <v>0</v>
      </c>
      <c r="AS172" s="27">
        <v>0</v>
      </c>
      <c r="AT172" s="51">
        <v>38850499.356666669</v>
      </c>
      <c r="AV172" s="30">
        <v>0</v>
      </c>
      <c r="AW172" s="27">
        <v>0</v>
      </c>
      <c r="AX172" s="27">
        <v>0</v>
      </c>
      <c r="AY172" s="51">
        <v>38850499.356666669</v>
      </c>
      <c r="BA172" s="30">
        <v>0</v>
      </c>
      <c r="BB172" s="27">
        <v>0</v>
      </c>
      <c r="BC172" s="27">
        <v>0</v>
      </c>
      <c r="BD172" s="51">
        <v>38850499.356666669</v>
      </c>
      <c r="BF172" s="30">
        <v>0</v>
      </c>
      <c r="BG172" s="27">
        <v>0</v>
      </c>
      <c r="BH172" s="27">
        <v>0</v>
      </c>
      <c r="BI172" s="51">
        <v>38850499.356666669</v>
      </c>
      <c r="BK172" s="30">
        <v>0</v>
      </c>
      <c r="BL172" s="27">
        <v>0</v>
      </c>
      <c r="BM172" s="27">
        <v>0</v>
      </c>
      <c r="BN172" s="51">
        <v>38850499.356666669</v>
      </c>
      <c r="BP172" s="30">
        <v>38850499.356666669</v>
      </c>
      <c r="BQ172" s="20">
        <v>380554259.65026754</v>
      </c>
      <c r="BR172" s="51">
        <v>0</v>
      </c>
      <c r="BT172" s="30">
        <v>0</v>
      </c>
      <c r="BU172" s="51">
        <v>0</v>
      </c>
      <c r="BW172" s="221">
        <v>0</v>
      </c>
      <c r="BX172" s="222">
        <v>0</v>
      </c>
    </row>
    <row r="173" spans="6:76" x14ac:dyDescent="0.2">
      <c r="F173" s="151">
        <v>169</v>
      </c>
      <c r="G173" s="30">
        <v>2441183.48</v>
      </c>
      <c r="H173" s="28">
        <v>0</v>
      </c>
      <c r="I173" s="28">
        <v>0</v>
      </c>
      <c r="J173" s="28">
        <v>0</v>
      </c>
      <c r="K173" s="28">
        <v>0</v>
      </c>
      <c r="L173" s="28">
        <v>0</v>
      </c>
      <c r="M173" s="27">
        <v>0</v>
      </c>
      <c r="N173" s="27">
        <v>260433.33333333334</v>
      </c>
      <c r="O173" s="51">
        <v>2701616.8133333335</v>
      </c>
      <c r="P173" s="5"/>
      <c r="Q173" s="30">
        <v>21666.666666666668</v>
      </c>
      <c r="R173" s="27">
        <v>21666.666666666668</v>
      </c>
      <c r="S173" s="27">
        <v>0</v>
      </c>
      <c r="T173" s="51">
        <v>2679950.146666667</v>
      </c>
      <c r="U173" s="5"/>
      <c r="V173" s="30">
        <v>0</v>
      </c>
      <c r="W173" s="51">
        <v>2419516.8133333335</v>
      </c>
      <c r="Y173" s="30">
        <v>0</v>
      </c>
      <c r="Z173" s="27">
        <v>0</v>
      </c>
      <c r="AA173" s="27">
        <v>0</v>
      </c>
      <c r="AB173" s="51">
        <v>2134303.1171019841</v>
      </c>
      <c r="AD173" s="30">
        <v>570430318.36789298</v>
      </c>
      <c r="AE173" s="27">
        <v>132872.22168079135</v>
      </c>
      <c r="AF173" s="27">
        <v>570297446.14621222</v>
      </c>
      <c r="AG173" s="51">
        <v>2001430.8954211927</v>
      </c>
      <c r="AI173" s="30">
        <v>0</v>
      </c>
      <c r="AJ173" s="51">
        <v>2419516.8133333335</v>
      </c>
      <c r="AL173" s="43">
        <v>260000</v>
      </c>
      <c r="AM173" s="52">
        <v>-433.33333333334303</v>
      </c>
      <c r="AN173" s="53">
        <v>260000</v>
      </c>
      <c r="AO173" s="54">
        <v>2419950.146666667</v>
      </c>
      <c r="AQ173" s="30">
        <v>0</v>
      </c>
      <c r="AR173" s="27">
        <v>0</v>
      </c>
      <c r="AS173" s="27">
        <v>0</v>
      </c>
      <c r="AT173" s="51">
        <v>2419950.146666667</v>
      </c>
      <c r="AV173" s="30">
        <v>0</v>
      </c>
      <c r="AW173" s="27">
        <v>0</v>
      </c>
      <c r="AX173" s="27">
        <v>0</v>
      </c>
      <c r="AY173" s="51">
        <v>2419950.146666667</v>
      </c>
      <c r="BA173" s="30">
        <v>0</v>
      </c>
      <c r="BB173" s="27">
        <v>0</v>
      </c>
      <c r="BC173" s="27">
        <v>0</v>
      </c>
      <c r="BD173" s="51">
        <v>2419950.146666667</v>
      </c>
      <c r="BF173" s="30">
        <v>0</v>
      </c>
      <c r="BG173" s="27">
        <v>0</v>
      </c>
      <c r="BH173" s="27">
        <v>0</v>
      </c>
      <c r="BI173" s="51">
        <v>2419950.146666667</v>
      </c>
      <c r="BK173" s="30">
        <v>0</v>
      </c>
      <c r="BL173" s="27">
        <v>0</v>
      </c>
      <c r="BM173" s="27">
        <v>0</v>
      </c>
      <c r="BN173" s="51">
        <v>2419950.146666667</v>
      </c>
      <c r="BP173" s="30">
        <v>2419950.146666667</v>
      </c>
      <c r="BQ173" s="20">
        <v>382974209.79693419</v>
      </c>
      <c r="BR173" s="51">
        <v>0</v>
      </c>
      <c r="BT173" s="30">
        <v>0</v>
      </c>
      <c r="BU173" s="51">
        <v>0</v>
      </c>
      <c r="BW173" s="221">
        <v>0</v>
      </c>
      <c r="BX173" s="222">
        <v>0</v>
      </c>
    </row>
    <row r="174" spans="6:76" x14ac:dyDescent="0.2">
      <c r="F174" s="151">
        <v>170</v>
      </c>
      <c r="G174" s="30">
        <v>2297222.2999999998</v>
      </c>
      <c r="H174" s="28">
        <v>0</v>
      </c>
      <c r="I174" s="28">
        <v>0</v>
      </c>
      <c r="J174" s="28">
        <v>0</v>
      </c>
      <c r="K174" s="28">
        <v>0</v>
      </c>
      <c r="L174" s="28">
        <v>0</v>
      </c>
      <c r="M174" s="27">
        <v>0</v>
      </c>
      <c r="N174" s="27">
        <v>260433.33333333334</v>
      </c>
      <c r="O174" s="51">
        <v>2557655.6333333333</v>
      </c>
      <c r="P174" s="5"/>
      <c r="Q174" s="30">
        <v>21666.666666666668</v>
      </c>
      <c r="R174" s="27">
        <v>21666.666666666668</v>
      </c>
      <c r="S174" s="27">
        <v>0</v>
      </c>
      <c r="T174" s="51">
        <v>2535988.9666666668</v>
      </c>
      <c r="U174" s="5"/>
      <c r="V174" s="30">
        <v>0</v>
      </c>
      <c r="W174" s="51">
        <v>2275555.6333333333</v>
      </c>
      <c r="Y174" s="30">
        <v>0</v>
      </c>
      <c r="Z174" s="27">
        <v>0</v>
      </c>
      <c r="AA174" s="27">
        <v>0</v>
      </c>
      <c r="AB174" s="51">
        <v>2580805.6944096601</v>
      </c>
      <c r="AD174" s="30">
        <v>586387968.38222086</v>
      </c>
      <c r="AE174" s="27">
        <v>132872.22168079135</v>
      </c>
      <c r="AF174" s="27">
        <v>586255096.1605401</v>
      </c>
      <c r="AG174" s="51">
        <v>2447933.4727288689</v>
      </c>
      <c r="AI174" s="30">
        <v>0</v>
      </c>
      <c r="AJ174" s="51">
        <v>2275555.6333333333</v>
      </c>
      <c r="AL174" s="43">
        <v>260000</v>
      </c>
      <c r="AM174" s="52">
        <v>-433.33333333334303</v>
      </c>
      <c r="AN174" s="53">
        <v>260000</v>
      </c>
      <c r="AO174" s="54">
        <v>2275988.9666666668</v>
      </c>
      <c r="AQ174" s="30">
        <v>0</v>
      </c>
      <c r="AR174" s="27">
        <v>0</v>
      </c>
      <c r="AS174" s="27">
        <v>0</v>
      </c>
      <c r="AT174" s="51">
        <v>2275988.9666666668</v>
      </c>
      <c r="AV174" s="30">
        <v>0</v>
      </c>
      <c r="AW174" s="27">
        <v>0</v>
      </c>
      <c r="AX174" s="27">
        <v>0</v>
      </c>
      <c r="AY174" s="51">
        <v>2275988.9666666668</v>
      </c>
      <c r="BA174" s="30">
        <v>0</v>
      </c>
      <c r="BB174" s="27">
        <v>0</v>
      </c>
      <c r="BC174" s="27">
        <v>0</v>
      </c>
      <c r="BD174" s="51">
        <v>2275988.9666666668</v>
      </c>
      <c r="BF174" s="30">
        <v>0</v>
      </c>
      <c r="BG174" s="27">
        <v>0</v>
      </c>
      <c r="BH174" s="27">
        <v>0</v>
      </c>
      <c r="BI174" s="51">
        <v>2275988.9666666668</v>
      </c>
      <c r="BK174" s="30">
        <v>0</v>
      </c>
      <c r="BL174" s="27">
        <v>0</v>
      </c>
      <c r="BM174" s="27">
        <v>0</v>
      </c>
      <c r="BN174" s="51">
        <v>2275988.9666666668</v>
      </c>
      <c r="BP174" s="30">
        <v>2275988.9666666668</v>
      </c>
      <c r="BQ174" s="20">
        <v>385250198.76360083</v>
      </c>
      <c r="BR174" s="51">
        <v>0</v>
      </c>
      <c r="BT174" s="30">
        <v>0</v>
      </c>
      <c r="BU174" s="51">
        <v>0</v>
      </c>
      <c r="BW174" s="221">
        <v>0</v>
      </c>
      <c r="BX174" s="222">
        <v>0</v>
      </c>
    </row>
    <row r="175" spans="6:76" x14ac:dyDescent="0.2">
      <c r="F175" s="151">
        <v>171</v>
      </c>
      <c r="G175" s="30">
        <v>2471240.48</v>
      </c>
      <c r="H175" s="28">
        <v>0</v>
      </c>
      <c r="I175" s="28">
        <v>0</v>
      </c>
      <c r="J175" s="28">
        <v>0</v>
      </c>
      <c r="K175" s="28">
        <v>0</v>
      </c>
      <c r="L175" s="28">
        <v>0</v>
      </c>
      <c r="M175" s="27">
        <v>0</v>
      </c>
      <c r="N175" s="27">
        <v>260433.33333333334</v>
      </c>
      <c r="O175" s="51">
        <v>2731673.8133333335</v>
      </c>
      <c r="P175" s="5"/>
      <c r="Q175" s="30">
        <v>21666.666666666668</v>
      </c>
      <c r="R175" s="27">
        <v>21666.666666666668</v>
      </c>
      <c r="S175" s="27">
        <v>0</v>
      </c>
      <c r="T175" s="51">
        <v>2710007.146666667</v>
      </c>
      <c r="U175" s="5"/>
      <c r="V175" s="30">
        <v>0</v>
      </c>
      <c r="W175" s="51">
        <v>2449573.8133333335</v>
      </c>
      <c r="Y175" s="30">
        <v>0</v>
      </c>
      <c r="Z175" s="27">
        <v>0</v>
      </c>
      <c r="AA175" s="27">
        <v>0</v>
      </c>
      <c r="AB175" s="51">
        <v>2469492.6581139197</v>
      </c>
      <c r="AD175" s="30">
        <v>602795851.7337749</v>
      </c>
      <c r="AE175" s="27">
        <v>132872.22168079135</v>
      </c>
      <c r="AF175" s="27">
        <v>602662979.51209414</v>
      </c>
      <c r="AG175" s="51">
        <v>2336620.4364331281</v>
      </c>
      <c r="AI175" s="30">
        <v>0</v>
      </c>
      <c r="AJ175" s="51">
        <v>2449573.8133333335</v>
      </c>
      <c r="AL175" s="43">
        <v>260000</v>
      </c>
      <c r="AM175" s="52">
        <v>-433.33333333334303</v>
      </c>
      <c r="AN175" s="53">
        <v>260000</v>
      </c>
      <c r="AO175" s="54">
        <v>2450007.146666667</v>
      </c>
      <c r="AQ175" s="30">
        <v>0</v>
      </c>
      <c r="AR175" s="27">
        <v>0</v>
      </c>
      <c r="AS175" s="27">
        <v>0</v>
      </c>
      <c r="AT175" s="51">
        <v>2450007.146666667</v>
      </c>
      <c r="AV175" s="30">
        <v>0</v>
      </c>
      <c r="AW175" s="27">
        <v>0</v>
      </c>
      <c r="AX175" s="27">
        <v>0</v>
      </c>
      <c r="AY175" s="51">
        <v>2450007.146666667</v>
      </c>
      <c r="BA175" s="30">
        <v>0</v>
      </c>
      <c r="BB175" s="27">
        <v>0</v>
      </c>
      <c r="BC175" s="27">
        <v>0</v>
      </c>
      <c r="BD175" s="51">
        <v>2450007.146666667</v>
      </c>
      <c r="BF175" s="30">
        <v>0</v>
      </c>
      <c r="BG175" s="27">
        <v>0</v>
      </c>
      <c r="BH175" s="27">
        <v>0</v>
      </c>
      <c r="BI175" s="51">
        <v>2450007.146666667</v>
      </c>
      <c r="BK175" s="30">
        <v>0</v>
      </c>
      <c r="BL175" s="27">
        <v>0</v>
      </c>
      <c r="BM175" s="27">
        <v>0</v>
      </c>
      <c r="BN175" s="51">
        <v>2450007.146666667</v>
      </c>
      <c r="BP175" s="30">
        <v>2450007.146666667</v>
      </c>
      <c r="BQ175" s="20">
        <v>387700205.91026747</v>
      </c>
      <c r="BR175" s="51">
        <v>0</v>
      </c>
      <c r="BT175" s="30">
        <v>0</v>
      </c>
      <c r="BU175" s="51">
        <v>0</v>
      </c>
      <c r="BW175" s="221">
        <v>0</v>
      </c>
      <c r="BX175" s="222">
        <v>0</v>
      </c>
    </row>
    <row r="176" spans="6:76" x14ac:dyDescent="0.2">
      <c r="F176" s="151">
        <v>172</v>
      </c>
      <c r="G176" s="30">
        <v>2236282.02</v>
      </c>
      <c r="H176" s="28">
        <v>0</v>
      </c>
      <c r="I176" s="28">
        <v>0</v>
      </c>
      <c r="J176" s="28">
        <v>0</v>
      </c>
      <c r="K176" s="28">
        <v>0</v>
      </c>
      <c r="L176" s="28">
        <v>0</v>
      </c>
      <c r="M176" s="27">
        <v>0</v>
      </c>
      <c r="N176" s="27">
        <v>260433.33333333334</v>
      </c>
      <c r="O176" s="51">
        <v>2496715.3533333335</v>
      </c>
      <c r="P176" s="5"/>
      <c r="Q176" s="30">
        <v>21666.666666666668</v>
      </c>
      <c r="R176" s="27">
        <v>21666.666666666668</v>
      </c>
      <c r="S176" s="27">
        <v>0</v>
      </c>
      <c r="T176" s="51">
        <v>2475048.686666667</v>
      </c>
      <c r="U176" s="5"/>
      <c r="V176" s="30">
        <v>0</v>
      </c>
      <c r="W176" s="51">
        <v>2214615.3533333335</v>
      </c>
      <c r="Y176" s="30">
        <v>0</v>
      </c>
      <c r="Z176" s="27">
        <v>0</v>
      </c>
      <c r="AA176" s="27">
        <v>0</v>
      </c>
      <c r="AB176" s="51">
        <v>1867412.8695380921</v>
      </c>
      <c r="AD176" s="30">
        <v>619666671.42442369</v>
      </c>
      <c r="AE176" s="27">
        <v>132872.22168079135</v>
      </c>
      <c r="AF176" s="27">
        <v>619533799.20274293</v>
      </c>
      <c r="AG176" s="51">
        <v>1734540.6478573007</v>
      </c>
      <c r="AI176" s="30">
        <v>0</v>
      </c>
      <c r="AJ176" s="51">
        <v>2214615.3533333335</v>
      </c>
      <c r="AL176" s="43">
        <v>260000</v>
      </c>
      <c r="AM176" s="52">
        <v>-433.33333333334303</v>
      </c>
      <c r="AN176" s="53">
        <v>260000</v>
      </c>
      <c r="AO176" s="54">
        <v>2215048.686666667</v>
      </c>
      <c r="AQ176" s="30">
        <v>0</v>
      </c>
      <c r="AR176" s="27">
        <v>0</v>
      </c>
      <c r="AS176" s="27">
        <v>0</v>
      </c>
      <c r="AT176" s="51">
        <v>2215048.686666667</v>
      </c>
      <c r="AV176" s="30">
        <v>0</v>
      </c>
      <c r="AW176" s="27">
        <v>0</v>
      </c>
      <c r="AX176" s="27">
        <v>0</v>
      </c>
      <c r="AY176" s="51">
        <v>2215048.686666667</v>
      </c>
      <c r="BA176" s="30">
        <v>0</v>
      </c>
      <c r="BB176" s="27">
        <v>0</v>
      </c>
      <c r="BC176" s="27">
        <v>0</v>
      </c>
      <c r="BD176" s="51">
        <v>2215048.686666667</v>
      </c>
      <c r="BF176" s="30">
        <v>0</v>
      </c>
      <c r="BG176" s="27">
        <v>0</v>
      </c>
      <c r="BH176" s="27">
        <v>0</v>
      </c>
      <c r="BI176" s="51">
        <v>2215048.686666667</v>
      </c>
      <c r="BK176" s="30">
        <v>0</v>
      </c>
      <c r="BL176" s="27">
        <v>0</v>
      </c>
      <c r="BM176" s="27">
        <v>0</v>
      </c>
      <c r="BN176" s="51">
        <v>2215048.686666667</v>
      </c>
      <c r="BP176" s="30">
        <v>2215048.686666667</v>
      </c>
      <c r="BQ176" s="20">
        <v>389915254.59693414</v>
      </c>
      <c r="BR176" s="51">
        <v>0</v>
      </c>
      <c r="BT176" s="30">
        <v>0</v>
      </c>
      <c r="BU176" s="51">
        <v>0</v>
      </c>
      <c r="BW176" s="221">
        <v>0</v>
      </c>
      <c r="BX176" s="222">
        <v>0</v>
      </c>
    </row>
    <row r="177" spans="6:76" x14ac:dyDescent="0.2">
      <c r="F177" s="151">
        <v>173</v>
      </c>
      <c r="G177" s="30">
        <v>2162143.17</v>
      </c>
      <c r="H177" s="28">
        <v>0</v>
      </c>
      <c r="I177" s="28">
        <v>0</v>
      </c>
      <c r="J177" s="28">
        <v>0</v>
      </c>
      <c r="K177" s="28">
        <v>0</v>
      </c>
      <c r="L177" s="28">
        <v>0</v>
      </c>
      <c r="M177" s="27">
        <v>0</v>
      </c>
      <c r="N177" s="27">
        <v>260433.33333333334</v>
      </c>
      <c r="O177" s="51">
        <v>2422576.5033333334</v>
      </c>
      <c r="P177" s="5"/>
      <c r="Q177" s="30">
        <v>21666.666666666668</v>
      </c>
      <c r="R177" s="27">
        <v>21666.666666666668</v>
      </c>
      <c r="S177" s="27">
        <v>0</v>
      </c>
      <c r="T177" s="51">
        <v>2400909.8366666669</v>
      </c>
      <c r="U177" s="5"/>
      <c r="V177" s="30">
        <v>0</v>
      </c>
      <c r="W177" s="51">
        <v>2140476.5033333334</v>
      </c>
      <c r="Y177" s="30">
        <v>0</v>
      </c>
      <c r="Z177" s="27">
        <v>0</v>
      </c>
      <c r="AA177" s="27">
        <v>0</v>
      </c>
      <c r="AB177" s="51">
        <v>1867412.8695380921</v>
      </c>
      <c r="AD177" s="30">
        <v>637013488.86187375</v>
      </c>
      <c r="AE177" s="27">
        <v>132872.22168079135</v>
      </c>
      <c r="AF177" s="27">
        <v>636880616.64019299</v>
      </c>
      <c r="AG177" s="51">
        <v>1734540.6478573007</v>
      </c>
      <c r="AI177" s="30">
        <v>0</v>
      </c>
      <c r="AJ177" s="51">
        <v>2140476.5033333334</v>
      </c>
      <c r="AL177" s="43">
        <v>260000</v>
      </c>
      <c r="AM177" s="52">
        <v>-433.33333333334303</v>
      </c>
      <c r="AN177" s="53">
        <v>260000</v>
      </c>
      <c r="AO177" s="54">
        <v>2140909.8366666669</v>
      </c>
      <c r="AQ177" s="30">
        <v>0</v>
      </c>
      <c r="AR177" s="27">
        <v>0</v>
      </c>
      <c r="AS177" s="27">
        <v>0</v>
      </c>
      <c r="AT177" s="51">
        <v>2140909.8366666669</v>
      </c>
      <c r="AV177" s="30">
        <v>0</v>
      </c>
      <c r="AW177" s="27">
        <v>0</v>
      </c>
      <c r="AX177" s="27">
        <v>0</v>
      </c>
      <c r="AY177" s="51">
        <v>2140909.8366666669</v>
      </c>
      <c r="BA177" s="30">
        <v>0</v>
      </c>
      <c r="BB177" s="27">
        <v>0</v>
      </c>
      <c r="BC177" s="27">
        <v>0</v>
      </c>
      <c r="BD177" s="51">
        <v>2140909.8366666669</v>
      </c>
      <c r="BF177" s="30">
        <v>0</v>
      </c>
      <c r="BG177" s="27">
        <v>0</v>
      </c>
      <c r="BH177" s="27">
        <v>0</v>
      </c>
      <c r="BI177" s="51">
        <v>2140909.8366666669</v>
      </c>
      <c r="BK177" s="30">
        <v>0</v>
      </c>
      <c r="BL177" s="27">
        <v>0</v>
      </c>
      <c r="BM177" s="27">
        <v>0</v>
      </c>
      <c r="BN177" s="51">
        <v>2140909.8366666669</v>
      </c>
      <c r="BP177" s="30">
        <v>2140909.8366666669</v>
      </c>
      <c r="BQ177" s="20">
        <v>392056164.43360078</v>
      </c>
      <c r="BR177" s="51">
        <v>0</v>
      </c>
      <c r="BT177" s="30">
        <v>0</v>
      </c>
      <c r="BU177" s="51">
        <v>0</v>
      </c>
      <c r="BW177" s="221">
        <v>0</v>
      </c>
      <c r="BX177" s="222">
        <v>0</v>
      </c>
    </row>
    <row r="178" spans="6:76" x14ac:dyDescent="0.2">
      <c r="F178" s="151">
        <v>174</v>
      </c>
      <c r="G178" s="30">
        <v>2131299.67</v>
      </c>
      <c r="H178" s="28">
        <v>0</v>
      </c>
      <c r="I178" s="28">
        <v>0</v>
      </c>
      <c r="J178" s="28">
        <v>0</v>
      </c>
      <c r="K178" s="28">
        <v>0</v>
      </c>
      <c r="L178" s="28">
        <v>0</v>
      </c>
      <c r="M178" s="27">
        <v>0</v>
      </c>
      <c r="N178" s="27">
        <v>260433.33333333334</v>
      </c>
      <c r="O178" s="51">
        <v>2391733.0033333334</v>
      </c>
      <c r="P178" s="5"/>
      <c r="Q178" s="30">
        <v>21666.666666666668</v>
      </c>
      <c r="R178" s="27">
        <v>21666.666666666668</v>
      </c>
      <c r="S178" s="27">
        <v>0</v>
      </c>
      <c r="T178" s="51">
        <v>2370066.3366666669</v>
      </c>
      <c r="U178" s="5"/>
      <c r="V178" s="30">
        <v>0</v>
      </c>
      <c r="W178" s="51">
        <v>2109633.0033333334</v>
      </c>
      <c r="Y178" s="30">
        <v>0</v>
      </c>
      <c r="Z178" s="27">
        <v>0</v>
      </c>
      <c r="AA178" s="27">
        <v>0</v>
      </c>
      <c r="AB178" s="51">
        <v>2762486.865251455</v>
      </c>
      <c r="AD178" s="30">
        <v>654849733.97182596</v>
      </c>
      <c r="AE178" s="27">
        <v>132872.22168079135</v>
      </c>
      <c r="AF178" s="27">
        <v>654716861.7501452</v>
      </c>
      <c r="AG178" s="51">
        <v>2629614.6435706634</v>
      </c>
      <c r="AI178" s="30">
        <v>0</v>
      </c>
      <c r="AJ178" s="51">
        <v>2109633.0033333334</v>
      </c>
      <c r="AL178" s="43">
        <v>260000</v>
      </c>
      <c r="AM178" s="52">
        <v>-433.33333333334303</v>
      </c>
      <c r="AN178" s="53">
        <v>260000</v>
      </c>
      <c r="AO178" s="54">
        <v>2110066.3366666669</v>
      </c>
      <c r="AQ178" s="30">
        <v>0</v>
      </c>
      <c r="AR178" s="27">
        <v>0</v>
      </c>
      <c r="AS178" s="27">
        <v>0</v>
      </c>
      <c r="AT178" s="51">
        <v>2110066.3366666669</v>
      </c>
      <c r="AV178" s="30">
        <v>0</v>
      </c>
      <c r="AW178" s="27">
        <v>0</v>
      </c>
      <c r="AX178" s="27">
        <v>0</v>
      </c>
      <c r="AY178" s="51">
        <v>2110066.3366666669</v>
      </c>
      <c r="BA178" s="30">
        <v>0</v>
      </c>
      <c r="BB178" s="27">
        <v>0</v>
      </c>
      <c r="BC178" s="27">
        <v>0</v>
      </c>
      <c r="BD178" s="51">
        <v>2110066.3366666669</v>
      </c>
      <c r="BF178" s="30">
        <v>0</v>
      </c>
      <c r="BG178" s="27">
        <v>0</v>
      </c>
      <c r="BH178" s="27">
        <v>0</v>
      </c>
      <c r="BI178" s="51">
        <v>2110066.3366666669</v>
      </c>
      <c r="BK178" s="30">
        <v>0</v>
      </c>
      <c r="BL178" s="27">
        <v>0</v>
      </c>
      <c r="BM178" s="27">
        <v>0</v>
      </c>
      <c r="BN178" s="51">
        <v>2110066.3366666669</v>
      </c>
      <c r="BP178" s="30">
        <v>2110066.3366666669</v>
      </c>
      <c r="BQ178" s="20">
        <v>394166230.77026743</v>
      </c>
      <c r="BR178" s="51">
        <v>0</v>
      </c>
      <c r="BT178" s="30">
        <v>0</v>
      </c>
      <c r="BU178" s="51">
        <v>0</v>
      </c>
      <c r="BW178" s="221">
        <v>0</v>
      </c>
      <c r="BX178" s="222">
        <v>0</v>
      </c>
    </row>
    <row r="179" spans="6:76" x14ac:dyDescent="0.2">
      <c r="F179" s="151">
        <v>175</v>
      </c>
      <c r="G179" s="30">
        <v>2919942.04</v>
      </c>
      <c r="H179" s="28">
        <v>0</v>
      </c>
      <c r="I179" s="28">
        <v>0</v>
      </c>
      <c r="J179" s="28">
        <v>0</v>
      </c>
      <c r="K179" s="28">
        <v>0</v>
      </c>
      <c r="L179" s="28">
        <v>0</v>
      </c>
      <c r="M179" s="27">
        <v>0</v>
      </c>
      <c r="N179" s="27">
        <v>260433.33333333334</v>
      </c>
      <c r="O179" s="51">
        <v>3180375.3733333335</v>
      </c>
      <c r="P179" s="5"/>
      <c r="Q179" s="30">
        <v>21666.666666666668</v>
      </c>
      <c r="R179" s="27">
        <v>21666.666666666668</v>
      </c>
      <c r="S179" s="27">
        <v>0</v>
      </c>
      <c r="T179" s="51">
        <v>3158708.706666667</v>
      </c>
      <c r="U179" s="5"/>
      <c r="V179" s="30">
        <v>0</v>
      </c>
      <c r="W179" s="51">
        <v>2898275.3733333335</v>
      </c>
      <c r="Y179" s="30">
        <v>0</v>
      </c>
      <c r="Z179" s="27">
        <v>0</v>
      </c>
      <c r="AA179" s="27">
        <v>0</v>
      </c>
      <c r="AB179" s="51">
        <v>2325821.7332057091</v>
      </c>
      <c r="AD179" s="30">
        <v>673189215.59543955</v>
      </c>
      <c r="AE179" s="27">
        <v>132872.22168079135</v>
      </c>
      <c r="AF179" s="27">
        <v>673056343.37375879</v>
      </c>
      <c r="AG179" s="51">
        <v>2192949.5115249176</v>
      </c>
      <c r="AI179" s="30">
        <v>0</v>
      </c>
      <c r="AJ179" s="51">
        <v>2898275.3733333335</v>
      </c>
      <c r="AL179" s="43">
        <v>260000</v>
      </c>
      <c r="AM179" s="52">
        <v>-433.33333333334303</v>
      </c>
      <c r="AN179" s="53">
        <v>260000</v>
      </c>
      <c r="AO179" s="54">
        <v>2898708.706666667</v>
      </c>
      <c r="AQ179" s="30">
        <v>0</v>
      </c>
      <c r="AR179" s="27">
        <v>0</v>
      </c>
      <c r="AS179" s="27">
        <v>0</v>
      </c>
      <c r="AT179" s="51">
        <v>2898708.706666667</v>
      </c>
      <c r="AV179" s="30">
        <v>0</v>
      </c>
      <c r="AW179" s="27">
        <v>0</v>
      </c>
      <c r="AX179" s="27">
        <v>0</v>
      </c>
      <c r="AY179" s="51">
        <v>2898708.706666667</v>
      </c>
      <c r="BA179" s="30">
        <v>0</v>
      </c>
      <c r="BB179" s="27">
        <v>0</v>
      </c>
      <c r="BC179" s="27">
        <v>0</v>
      </c>
      <c r="BD179" s="51">
        <v>2898708.706666667</v>
      </c>
      <c r="BF179" s="30">
        <v>0</v>
      </c>
      <c r="BG179" s="27">
        <v>0</v>
      </c>
      <c r="BH179" s="27">
        <v>0</v>
      </c>
      <c r="BI179" s="51">
        <v>2898708.706666667</v>
      </c>
      <c r="BK179" s="30">
        <v>0</v>
      </c>
      <c r="BL179" s="27">
        <v>0</v>
      </c>
      <c r="BM179" s="27">
        <v>0</v>
      </c>
      <c r="BN179" s="51">
        <v>2898708.706666667</v>
      </c>
      <c r="BP179" s="30">
        <v>2898708.706666667</v>
      </c>
      <c r="BQ179" s="20">
        <v>397064939.47693408</v>
      </c>
      <c r="BR179" s="51">
        <v>0</v>
      </c>
      <c r="BT179" s="30">
        <v>0</v>
      </c>
      <c r="BU179" s="51">
        <v>0</v>
      </c>
      <c r="BW179" s="221">
        <v>0</v>
      </c>
      <c r="BX179" s="222">
        <v>0</v>
      </c>
    </row>
    <row r="180" spans="6:76" x14ac:dyDescent="0.2">
      <c r="F180" s="151">
        <v>176</v>
      </c>
      <c r="G180" s="30">
        <v>2744452.84</v>
      </c>
      <c r="H180" s="28">
        <v>0</v>
      </c>
      <c r="I180" s="28">
        <v>0</v>
      </c>
      <c r="J180" s="28">
        <v>0</v>
      </c>
      <c r="K180" s="28">
        <v>0</v>
      </c>
      <c r="L180" s="28">
        <v>0</v>
      </c>
      <c r="M180" s="27">
        <v>0</v>
      </c>
      <c r="N180" s="27">
        <v>260433.33333333334</v>
      </c>
      <c r="O180" s="51">
        <v>3004886.1733333333</v>
      </c>
      <c r="P180" s="5"/>
      <c r="Q180" s="30">
        <v>21666.666666666668</v>
      </c>
      <c r="R180" s="27">
        <v>21666.666666666668</v>
      </c>
      <c r="S180" s="27">
        <v>0</v>
      </c>
      <c r="T180" s="51">
        <v>2983219.5066666668</v>
      </c>
      <c r="U180" s="5"/>
      <c r="V180" s="30">
        <v>0</v>
      </c>
      <c r="W180" s="51">
        <v>2722786.1733333333</v>
      </c>
      <c r="Y180" s="30">
        <v>0</v>
      </c>
      <c r="Z180" s="27">
        <v>0</v>
      </c>
      <c r="AA180" s="27">
        <v>0</v>
      </c>
      <c r="AB180" s="51">
        <v>2332555.7393047544</v>
      </c>
      <c r="AD180" s="30">
        <v>692046132.1801523</v>
      </c>
      <c r="AE180" s="27">
        <v>132872.22168079135</v>
      </c>
      <c r="AF180" s="27">
        <v>691913259.95847154</v>
      </c>
      <c r="AG180" s="51">
        <v>2199683.5176239628</v>
      </c>
      <c r="AI180" s="30">
        <v>0</v>
      </c>
      <c r="AJ180" s="51">
        <v>2722786.1733333333</v>
      </c>
      <c r="AL180" s="43">
        <v>260000</v>
      </c>
      <c r="AM180" s="52">
        <v>-433.33333333334303</v>
      </c>
      <c r="AN180" s="53">
        <v>260000</v>
      </c>
      <c r="AO180" s="54">
        <v>2723219.5066666668</v>
      </c>
      <c r="AQ180" s="30">
        <v>0</v>
      </c>
      <c r="AR180" s="27">
        <v>0</v>
      </c>
      <c r="AS180" s="27">
        <v>0</v>
      </c>
      <c r="AT180" s="51">
        <v>2723219.5066666668</v>
      </c>
      <c r="AV180" s="30">
        <v>0</v>
      </c>
      <c r="AW180" s="27">
        <v>0</v>
      </c>
      <c r="AX180" s="27">
        <v>0</v>
      </c>
      <c r="AY180" s="51">
        <v>2723219.5066666668</v>
      </c>
      <c r="BA180" s="30">
        <v>0</v>
      </c>
      <c r="BB180" s="27">
        <v>0</v>
      </c>
      <c r="BC180" s="27">
        <v>0</v>
      </c>
      <c r="BD180" s="51">
        <v>2723219.5066666668</v>
      </c>
      <c r="BF180" s="30">
        <v>0</v>
      </c>
      <c r="BG180" s="27">
        <v>0</v>
      </c>
      <c r="BH180" s="27">
        <v>0</v>
      </c>
      <c r="BI180" s="51">
        <v>2723219.5066666668</v>
      </c>
      <c r="BK180" s="30">
        <v>0</v>
      </c>
      <c r="BL180" s="27">
        <v>0</v>
      </c>
      <c r="BM180" s="27">
        <v>0</v>
      </c>
      <c r="BN180" s="51">
        <v>2723219.5066666668</v>
      </c>
      <c r="BP180" s="30">
        <v>2723219.5066666668</v>
      </c>
      <c r="BQ180" s="20">
        <v>399788158.98360074</v>
      </c>
      <c r="BR180" s="51">
        <v>0</v>
      </c>
      <c r="BT180" s="30">
        <v>0</v>
      </c>
      <c r="BU180" s="51">
        <v>0</v>
      </c>
      <c r="BW180" s="221">
        <v>0</v>
      </c>
      <c r="BX180" s="222">
        <v>0</v>
      </c>
    </row>
    <row r="181" spans="6:76" x14ac:dyDescent="0.2">
      <c r="F181" s="151">
        <v>177</v>
      </c>
      <c r="G181" s="30">
        <v>3477869.08</v>
      </c>
      <c r="H181" s="28">
        <v>0</v>
      </c>
      <c r="I181" s="28">
        <v>0</v>
      </c>
      <c r="J181" s="28">
        <v>0</v>
      </c>
      <c r="K181" s="28">
        <v>0</v>
      </c>
      <c r="L181" s="28">
        <v>0</v>
      </c>
      <c r="M181" s="27">
        <v>0</v>
      </c>
      <c r="N181" s="27">
        <v>260433.33333333334</v>
      </c>
      <c r="O181" s="51">
        <v>3738302.4133333336</v>
      </c>
      <c r="P181" s="5"/>
      <c r="Q181" s="30">
        <v>21666.666666666668</v>
      </c>
      <c r="R181" s="27">
        <v>21666.666666666668</v>
      </c>
      <c r="S181" s="27">
        <v>0</v>
      </c>
      <c r="T181" s="51">
        <v>3716635.7466666671</v>
      </c>
      <c r="U181" s="5"/>
      <c r="V181" s="30">
        <v>0</v>
      </c>
      <c r="W181" s="51">
        <v>3456202.4133333336</v>
      </c>
      <c r="Y181" s="30">
        <v>0</v>
      </c>
      <c r="Z181" s="27">
        <v>0</v>
      </c>
      <c r="AA181" s="27">
        <v>0</v>
      </c>
      <c r="AB181" s="51">
        <v>2153845.6147765438</v>
      </c>
      <c r="AD181" s="30">
        <v>711435082.77213478</v>
      </c>
      <c r="AE181" s="27">
        <v>132872.22168079135</v>
      </c>
      <c r="AF181" s="27">
        <v>711302210.55045402</v>
      </c>
      <c r="AG181" s="51">
        <v>2020973.3930957525</v>
      </c>
      <c r="AI181" s="30">
        <v>0</v>
      </c>
      <c r="AJ181" s="51">
        <v>3456202.4133333336</v>
      </c>
      <c r="AL181" s="43">
        <v>260000</v>
      </c>
      <c r="AM181" s="52">
        <v>-433.33333333334303</v>
      </c>
      <c r="AN181" s="53">
        <v>260000</v>
      </c>
      <c r="AO181" s="54">
        <v>3456635.7466666671</v>
      </c>
      <c r="AQ181" s="30">
        <v>0</v>
      </c>
      <c r="AR181" s="27">
        <v>0</v>
      </c>
      <c r="AS181" s="27">
        <v>0</v>
      </c>
      <c r="AT181" s="51">
        <v>3456635.7466666671</v>
      </c>
      <c r="AV181" s="30">
        <v>0</v>
      </c>
      <c r="AW181" s="27">
        <v>0</v>
      </c>
      <c r="AX181" s="27">
        <v>0</v>
      </c>
      <c r="AY181" s="51">
        <v>3456635.7466666671</v>
      </c>
      <c r="BA181" s="30">
        <v>0</v>
      </c>
      <c r="BB181" s="27">
        <v>0</v>
      </c>
      <c r="BC181" s="27">
        <v>0</v>
      </c>
      <c r="BD181" s="51">
        <v>3456635.7466666671</v>
      </c>
      <c r="BF181" s="30">
        <v>0</v>
      </c>
      <c r="BG181" s="27">
        <v>0</v>
      </c>
      <c r="BH181" s="27">
        <v>0</v>
      </c>
      <c r="BI181" s="51">
        <v>3456635.7466666671</v>
      </c>
      <c r="BK181" s="30">
        <v>0</v>
      </c>
      <c r="BL181" s="27">
        <v>0</v>
      </c>
      <c r="BM181" s="27">
        <v>0</v>
      </c>
      <c r="BN181" s="51">
        <v>3456635.7466666671</v>
      </c>
      <c r="BP181" s="30">
        <v>3456635.7466666671</v>
      </c>
      <c r="BQ181" s="20">
        <v>403244794.73026741</v>
      </c>
      <c r="BR181" s="51">
        <v>0</v>
      </c>
      <c r="BT181" s="30">
        <v>0</v>
      </c>
      <c r="BU181" s="51">
        <v>0</v>
      </c>
      <c r="BW181" s="221">
        <v>0</v>
      </c>
      <c r="BX181" s="222">
        <v>0</v>
      </c>
    </row>
    <row r="182" spans="6:76" x14ac:dyDescent="0.2">
      <c r="F182" s="151">
        <v>178</v>
      </c>
      <c r="G182" s="30">
        <v>3210862.9</v>
      </c>
      <c r="H182" s="28">
        <v>0</v>
      </c>
      <c r="I182" s="28">
        <v>0</v>
      </c>
      <c r="J182" s="28">
        <v>0</v>
      </c>
      <c r="K182" s="28">
        <v>0</v>
      </c>
      <c r="L182" s="28">
        <v>0</v>
      </c>
      <c r="M182" s="27">
        <v>0</v>
      </c>
      <c r="N182" s="27">
        <v>260433.33333333334</v>
      </c>
      <c r="O182" s="51">
        <v>3471296.2333333334</v>
      </c>
      <c r="P182" s="5"/>
      <c r="Q182" s="30">
        <v>21666.666666666668</v>
      </c>
      <c r="R182" s="27">
        <v>21666.666666666668</v>
      </c>
      <c r="S182" s="27">
        <v>0</v>
      </c>
      <c r="T182" s="51">
        <v>3449629.5666666669</v>
      </c>
      <c r="U182" s="5"/>
      <c r="V182" s="30">
        <v>0</v>
      </c>
      <c r="W182" s="51">
        <v>3189196.2333333334</v>
      </c>
      <c r="Y182" s="30">
        <v>0</v>
      </c>
      <c r="Z182" s="27">
        <v>0</v>
      </c>
      <c r="AA182" s="27">
        <v>0</v>
      </c>
      <c r="AB182" s="51">
        <v>1673761.739056929</v>
      </c>
      <c r="AD182" s="30">
        <v>731371078.31888843</v>
      </c>
      <c r="AE182" s="27">
        <v>132872.22168079135</v>
      </c>
      <c r="AF182" s="27">
        <v>731238206.09720767</v>
      </c>
      <c r="AG182" s="51">
        <v>1540889.5173761377</v>
      </c>
      <c r="AI182" s="30">
        <v>0</v>
      </c>
      <c r="AJ182" s="51">
        <v>3189196.2333333334</v>
      </c>
      <c r="AL182" s="43">
        <v>260000</v>
      </c>
      <c r="AM182" s="52">
        <v>-433.33333333334303</v>
      </c>
      <c r="AN182" s="53">
        <v>260000</v>
      </c>
      <c r="AO182" s="54">
        <v>3189629.5666666669</v>
      </c>
      <c r="AQ182" s="30">
        <v>0</v>
      </c>
      <c r="AR182" s="27">
        <v>0</v>
      </c>
      <c r="AS182" s="27">
        <v>0</v>
      </c>
      <c r="AT182" s="51">
        <v>3189629.5666666669</v>
      </c>
      <c r="AV182" s="30">
        <v>0</v>
      </c>
      <c r="AW182" s="27">
        <v>0</v>
      </c>
      <c r="AX182" s="27">
        <v>0</v>
      </c>
      <c r="AY182" s="51">
        <v>3189629.5666666669</v>
      </c>
      <c r="BA182" s="30">
        <v>0</v>
      </c>
      <c r="BB182" s="27">
        <v>0</v>
      </c>
      <c r="BC182" s="27">
        <v>0</v>
      </c>
      <c r="BD182" s="51">
        <v>3189629.5666666669</v>
      </c>
      <c r="BF182" s="30">
        <v>0</v>
      </c>
      <c r="BG182" s="27">
        <v>0</v>
      </c>
      <c r="BH182" s="27">
        <v>0</v>
      </c>
      <c r="BI182" s="51">
        <v>3189629.5666666669</v>
      </c>
      <c r="BK182" s="30">
        <v>0</v>
      </c>
      <c r="BL182" s="27">
        <v>0</v>
      </c>
      <c r="BM182" s="27">
        <v>0</v>
      </c>
      <c r="BN182" s="51">
        <v>3189629.5666666669</v>
      </c>
      <c r="BP182" s="30">
        <v>3189629.5666666669</v>
      </c>
      <c r="BQ182" s="20">
        <v>406434424.29693407</v>
      </c>
      <c r="BR182" s="51">
        <v>0</v>
      </c>
      <c r="BT182" s="30">
        <v>0</v>
      </c>
      <c r="BU182" s="51">
        <v>0</v>
      </c>
      <c r="BW182" s="221">
        <v>0</v>
      </c>
      <c r="BX182" s="222">
        <v>0</v>
      </c>
    </row>
    <row r="183" spans="6:76" x14ac:dyDescent="0.2">
      <c r="F183" s="151">
        <v>179</v>
      </c>
      <c r="G183" s="30">
        <v>2889776.61</v>
      </c>
      <c r="H183" s="28">
        <v>0</v>
      </c>
      <c r="I183" s="28">
        <v>0</v>
      </c>
      <c r="J183" s="28">
        <v>0</v>
      </c>
      <c r="K183" s="28">
        <v>0</v>
      </c>
      <c r="L183" s="28">
        <v>0</v>
      </c>
      <c r="M183" s="27">
        <v>0</v>
      </c>
      <c r="N183" s="27">
        <v>260433.33333333334</v>
      </c>
      <c r="O183" s="51">
        <v>3150209.9433333334</v>
      </c>
      <c r="P183" s="5"/>
      <c r="Q183" s="30">
        <v>21666.666666666668</v>
      </c>
      <c r="R183" s="27">
        <v>21666.666666666668</v>
      </c>
      <c r="S183" s="27">
        <v>0</v>
      </c>
      <c r="T183" s="51">
        <v>3128543.2766666668</v>
      </c>
      <c r="U183" s="5"/>
      <c r="V183" s="30">
        <v>0</v>
      </c>
      <c r="W183" s="51">
        <v>2868109.9433333334</v>
      </c>
      <c r="Y183" s="30">
        <v>0</v>
      </c>
      <c r="Z183" s="27">
        <v>0</v>
      </c>
      <c r="AA183" s="27">
        <v>0</v>
      </c>
      <c r="AB183" s="51">
        <v>2500971.8747202531</v>
      </c>
      <c r="AD183" s="30">
        <v>751869553.29073811</v>
      </c>
      <c r="AE183" s="27">
        <v>132872.22168079135</v>
      </c>
      <c r="AF183" s="27">
        <v>751736681.06905735</v>
      </c>
      <c r="AG183" s="51">
        <v>2368099.6530394619</v>
      </c>
      <c r="AI183" s="30">
        <v>0</v>
      </c>
      <c r="AJ183" s="51">
        <v>2868109.9433333334</v>
      </c>
      <c r="AL183" s="43">
        <v>260000</v>
      </c>
      <c r="AM183" s="52">
        <v>-433.33333333334303</v>
      </c>
      <c r="AN183" s="53">
        <v>260000</v>
      </c>
      <c r="AO183" s="54">
        <v>2868543.2766666668</v>
      </c>
      <c r="AQ183" s="30">
        <v>0</v>
      </c>
      <c r="AR183" s="27">
        <v>0</v>
      </c>
      <c r="AS183" s="27">
        <v>0</v>
      </c>
      <c r="AT183" s="51">
        <v>2868543.2766666668</v>
      </c>
      <c r="AV183" s="30">
        <v>0</v>
      </c>
      <c r="AW183" s="27">
        <v>0</v>
      </c>
      <c r="AX183" s="27">
        <v>0</v>
      </c>
      <c r="AY183" s="51">
        <v>2868543.2766666668</v>
      </c>
      <c r="BA183" s="30">
        <v>0</v>
      </c>
      <c r="BB183" s="27">
        <v>0</v>
      </c>
      <c r="BC183" s="27">
        <v>0</v>
      </c>
      <c r="BD183" s="51">
        <v>2868543.2766666668</v>
      </c>
      <c r="BF183" s="30">
        <v>0</v>
      </c>
      <c r="BG183" s="27">
        <v>0</v>
      </c>
      <c r="BH183" s="27">
        <v>0</v>
      </c>
      <c r="BI183" s="51">
        <v>2868543.2766666668</v>
      </c>
      <c r="BK183" s="30">
        <v>0</v>
      </c>
      <c r="BL183" s="27">
        <v>0</v>
      </c>
      <c r="BM183" s="27">
        <v>0</v>
      </c>
      <c r="BN183" s="51">
        <v>2868543.2766666668</v>
      </c>
      <c r="BP183" s="30">
        <v>2868543.2766666668</v>
      </c>
      <c r="BQ183" s="20">
        <v>409302967.57360071</v>
      </c>
      <c r="BR183" s="51">
        <v>0</v>
      </c>
      <c r="BT183" s="30">
        <v>0</v>
      </c>
      <c r="BU183" s="51">
        <v>0</v>
      </c>
      <c r="BW183" s="221">
        <v>0</v>
      </c>
      <c r="BX183" s="222">
        <v>0</v>
      </c>
    </row>
    <row r="184" spans="6:76" x14ac:dyDescent="0.2">
      <c r="F184" s="151">
        <v>180</v>
      </c>
      <c r="G184" s="30">
        <v>7545115.9000000004</v>
      </c>
      <c r="H184" s="28">
        <v>0</v>
      </c>
      <c r="I184" s="28">
        <v>0</v>
      </c>
      <c r="J184" s="28">
        <v>0</v>
      </c>
      <c r="K184" s="28">
        <v>0</v>
      </c>
      <c r="L184" s="28">
        <v>0</v>
      </c>
      <c r="M184" s="27">
        <v>0</v>
      </c>
      <c r="N184" s="27">
        <v>260433.33333333334</v>
      </c>
      <c r="O184" s="51">
        <v>7805549.2333333334</v>
      </c>
      <c r="P184" s="5"/>
      <c r="Q184" s="30">
        <v>16666.666666666668</v>
      </c>
      <c r="R184" s="27">
        <v>16666.666666666668</v>
      </c>
      <c r="S184" s="27">
        <v>0</v>
      </c>
      <c r="T184" s="51">
        <v>7788882.5666666664</v>
      </c>
      <c r="U184" s="5"/>
      <c r="V184" s="30">
        <v>0</v>
      </c>
      <c r="W184" s="51">
        <v>7528449.2333333334</v>
      </c>
      <c r="Y184" s="30">
        <v>0</v>
      </c>
      <c r="Z184" s="27">
        <v>0</v>
      </c>
      <c r="AA184" s="27">
        <v>0</v>
      </c>
      <c r="AB184" s="51">
        <v>14009054.829942714</v>
      </c>
      <c r="AD184" s="30">
        <v>772946377.63021624</v>
      </c>
      <c r="AE184" s="27">
        <v>132872.22168079135</v>
      </c>
      <c r="AF184" s="27">
        <v>772813505.40853548</v>
      </c>
      <c r="AG184" s="51">
        <v>13876182.608261922</v>
      </c>
      <c r="AI184" s="30">
        <v>0</v>
      </c>
      <c r="AJ184" s="51">
        <v>7528449.2333333334</v>
      </c>
      <c r="AL184" s="43">
        <v>200000</v>
      </c>
      <c r="AM184" s="52">
        <v>-60433.333333333343</v>
      </c>
      <c r="AN184" s="53">
        <v>200000</v>
      </c>
      <c r="AO184" s="54">
        <v>7588882.5666666664</v>
      </c>
      <c r="AQ184" s="30">
        <v>0</v>
      </c>
      <c r="AR184" s="27">
        <v>0</v>
      </c>
      <c r="AS184" s="27">
        <v>0</v>
      </c>
      <c r="AT184" s="51">
        <v>7588882.5666666664</v>
      </c>
      <c r="AV184" s="30">
        <v>0</v>
      </c>
      <c r="AW184" s="27">
        <v>0</v>
      </c>
      <c r="AX184" s="27">
        <v>0</v>
      </c>
      <c r="AY184" s="51">
        <v>7588882.5666666664</v>
      </c>
      <c r="BA184" s="30">
        <v>0</v>
      </c>
      <c r="BB184" s="27">
        <v>0</v>
      </c>
      <c r="BC184" s="27">
        <v>0</v>
      </c>
      <c r="BD184" s="51">
        <v>7588882.5666666664</v>
      </c>
      <c r="BF184" s="30">
        <v>0</v>
      </c>
      <c r="BG184" s="27">
        <v>0</v>
      </c>
      <c r="BH184" s="27">
        <v>0</v>
      </c>
      <c r="BI184" s="51">
        <v>7588882.5666666664</v>
      </c>
      <c r="BK184" s="30">
        <v>0</v>
      </c>
      <c r="BL184" s="27">
        <v>0</v>
      </c>
      <c r="BM184" s="27">
        <v>0</v>
      </c>
      <c r="BN184" s="51">
        <v>7588882.5666666664</v>
      </c>
      <c r="BP184" s="30">
        <v>7588882.5666666664</v>
      </c>
      <c r="BQ184" s="20">
        <v>416891850.14026737</v>
      </c>
      <c r="BR184" s="51">
        <v>0</v>
      </c>
      <c r="BT184" s="30">
        <v>0</v>
      </c>
      <c r="BU184" s="51">
        <v>0</v>
      </c>
      <c r="BW184" s="221">
        <v>0</v>
      </c>
      <c r="BX184" s="222">
        <v>0</v>
      </c>
    </row>
    <row r="185" spans="6:76" x14ac:dyDescent="0.2">
      <c r="F185" s="151">
        <v>181</v>
      </c>
      <c r="G185" s="30">
        <v>3695514.72</v>
      </c>
      <c r="H185" s="28">
        <v>0</v>
      </c>
      <c r="I185" s="28">
        <v>0</v>
      </c>
      <c r="J185" s="28">
        <v>0</v>
      </c>
      <c r="K185" s="28">
        <v>0</v>
      </c>
      <c r="L185" s="28">
        <v>0</v>
      </c>
      <c r="M185" s="27">
        <v>0</v>
      </c>
      <c r="N185" s="27">
        <v>200333.33333333334</v>
      </c>
      <c r="O185" s="51">
        <v>3895848.0533333337</v>
      </c>
      <c r="P185" s="5"/>
      <c r="Q185" s="30">
        <v>16666.666666666668</v>
      </c>
      <c r="R185" s="27">
        <v>16666.666666666668</v>
      </c>
      <c r="S185" s="27">
        <v>0</v>
      </c>
      <c r="T185" s="51">
        <v>3879181.3866666672</v>
      </c>
      <c r="U185" s="5"/>
      <c r="V185" s="30">
        <v>0</v>
      </c>
      <c r="W185" s="51">
        <v>3678848.0533333337</v>
      </c>
      <c r="Y185" s="30">
        <v>0</v>
      </c>
      <c r="Z185" s="27">
        <v>0</v>
      </c>
      <c r="AA185" s="27">
        <v>0</v>
      </c>
      <c r="AB185" s="51">
        <v>2013217.5799370338</v>
      </c>
      <c r="AD185" s="30">
        <v>794617869.03859067</v>
      </c>
      <c r="AE185" s="27">
        <v>132872.22168079135</v>
      </c>
      <c r="AF185" s="27">
        <v>794484996.81690991</v>
      </c>
      <c r="AG185" s="51">
        <v>1880345.3582562425</v>
      </c>
      <c r="AI185" s="30">
        <v>0</v>
      </c>
      <c r="AJ185" s="51">
        <v>3678848.0533333337</v>
      </c>
      <c r="AL185" s="43">
        <v>200000</v>
      </c>
      <c r="AM185" s="52">
        <v>-333.33333333334303</v>
      </c>
      <c r="AN185" s="53">
        <v>200000</v>
      </c>
      <c r="AO185" s="54">
        <v>3679181.3866666672</v>
      </c>
      <c r="AQ185" s="30">
        <v>0</v>
      </c>
      <c r="AR185" s="27">
        <v>0</v>
      </c>
      <c r="AS185" s="27">
        <v>0</v>
      </c>
      <c r="AT185" s="51">
        <v>3679181.3866666672</v>
      </c>
      <c r="AV185" s="30">
        <v>0</v>
      </c>
      <c r="AW185" s="27">
        <v>0</v>
      </c>
      <c r="AX185" s="27">
        <v>0</v>
      </c>
      <c r="AY185" s="51">
        <v>3679181.3866666672</v>
      </c>
      <c r="BA185" s="30">
        <v>0</v>
      </c>
      <c r="BB185" s="27">
        <v>0</v>
      </c>
      <c r="BC185" s="27">
        <v>0</v>
      </c>
      <c r="BD185" s="51">
        <v>3679181.3866666672</v>
      </c>
      <c r="BF185" s="30">
        <v>0</v>
      </c>
      <c r="BG185" s="27">
        <v>0</v>
      </c>
      <c r="BH185" s="27">
        <v>0</v>
      </c>
      <c r="BI185" s="51">
        <v>3679181.3866666672</v>
      </c>
      <c r="BK185" s="30">
        <v>0</v>
      </c>
      <c r="BL185" s="27">
        <v>0</v>
      </c>
      <c r="BM185" s="27">
        <v>0</v>
      </c>
      <c r="BN185" s="51">
        <v>3679181.3866666672</v>
      </c>
      <c r="BP185" s="30">
        <v>3679181.3866666672</v>
      </c>
      <c r="BQ185" s="20">
        <v>420571031.52693403</v>
      </c>
      <c r="BR185" s="51">
        <v>0</v>
      </c>
      <c r="BT185" s="30">
        <v>0</v>
      </c>
      <c r="BU185" s="51">
        <v>0</v>
      </c>
      <c r="BW185" s="221">
        <v>0</v>
      </c>
      <c r="BX185" s="222">
        <v>0</v>
      </c>
    </row>
    <row r="186" spans="6:76" x14ac:dyDescent="0.2">
      <c r="F186" s="151">
        <v>182</v>
      </c>
      <c r="G186" s="30">
        <v>2588753.23</v>
      </c>
      <c r="H186" s="28">
        <v>0</v>
      </c>
      <c r="I186" s="28">
        <v>0</v>
      </c>
      <c r="J186" s="28">
        <v>0</v>
      </c>
      <c r="K186" s="28">
        <v>0</v>
      </c>
      <c r="L186" s="28">
        <v>0</v>
      </c>
      <c r="M186" s="27">
        <v>0</v>
      </c>
      <c r="N186" s="27">
        <v>200333.33333333334</v>
      </c>
      <c r="O186" s="51">
        <v>2789086.5633333335</v>
      </c>
      <c r="P186" s="5"/>
      <c r="Q186" s="30">
        <v>16666.666666666668</v>
      </c>
      <c r="R186" s="27">
        <v>16666.666666666668</v>
      </c>
      <c r="S186" s="27">
        <v>0</v>
      </c>
      <c r="T186" s="51">
        <v>2772419.896666667</v>
      </c>
      <c r="U186" s="5"/>
      <c r="V186" s="30">
        <v>0</v>
      </c>
      <c r="W186" s="51">
        <v>2572086.5633333335</v>
      </c>
      <c r="Y186" s="30">
        <v>0</v>
      </c>
      <c r="Z186" s="27">
        <v>0</v>
      </c>
      <c r="AA186" s="27">
        <v>0</v>
      </c>
      <c r="AB186" s="51">
        <v>1924630.6334150317</v>
      </c>
      <c r="AD186" s="30">
        <v>816900805.60904729</v>
      </c>
      <c r="AE186" s="27">
        <v>132872.22168079135</v>
      </c>
      <c r="AF186" s="27">
        <v>816767933.38736653</v>
      </c>
      <c r="AG186" s="51">
        <v>1791758.4117342404</v>
      </c>
      <c r="AI186" s="30">
        <v>0</v>
      </c>
      <c r="AJ186" s="51">
        <v>2572086.5633333335</v>
      </c>
      <c r="AL186" s="43">
        <v>200000</v>
      </c>
      <c r="AM186" s="52">
        <v>-333.33333333334303</v>
      </c>
      <c r="AN186" s="53">
        <v>200000</v>
      </c>
      <c r="AO186" s="54">
        <v>2572419.896666667</v>
      </c>
      <c r="AQ186" s="30">
        <v>0</v>
      </c>
      <c r="AR186" s="27">
        <v>0</v>
      </c>
      <c r="AS186" s="27">
        <v>0</v>
      </c>
      <c r="AT186" s="51">
        <v>2572419.896666667</v>
      </c>
      <c r="AV186" s="30">
        <v>0</v>
      </c>
      <c r="AW186" s="27">
        <v>0</v>
      </c>
      <c r="AX186" s="27">
        <v>0</v>
      </c>
      <c r="AY186" s="51">
        <v>2572419.896666667</v>
      </c>
      <c r="BA186" s="30">
        <v>0</v>
      </c>
      <c r="BB186" s="27">
        <v>0</v>
      </c>
      <c r="BC186" s="27">
        <v>0</v>
      </c>
      <c r="BD186" s="51">
        <v>2572419.896666667</v>
      </c>
      <c r="BF186" s="30">
        <v>0</v>
      </c>
      <c r="BG186" s="27">
        <v>0</v>
      </c>
      <c r="BH186" s="27">
        <v>0</v>
      </c>
      <c r="BI186" s="51">
        <v>2572419.896666667</v>
      </c>
      <c r="BK186" s="30">
        <v>0</v>
      </c>
      <c r="BL186" s="27">
        <v>0</v>
      </c>
      <c r="BM186" s="27">
        <v>0</v>
      </c>
      <c r="BN186" s="51">
        <v>2572419.896666667</v>
      </c>
      <c r="BP186" s="30">
        <v>2572419.896666667</v>
      </c>
      <c r="BQ186" s="20">
        <v>423143451.42360067</v>
      </c>
      <c r="BR186" s="51">
        <v>0</v>
      </c>
      <c r="BT186" s="30">
        <v>0</v>
      </c>
      <c r="BU186" s="51">
        <v>0</v>
      </c>
      <c r="BW186" s="221">
        <v>0</v>
      </c>
      <c r="BX186" s="222">
        <v>0</v>
      </c>
    </row>
    <row r="187" spans="6:76" x14ac:dyDescent="0.2">
      <c r="F187" s="151">
        <v>183</v>
      </c>
      <c r="G187" s="30">
        <v>2381841.77</v>
      </c>
      <c r="H187" s="28">
        <v>0</v>
      </c>
      <c r="I187" s="28">
        <v>0</v>
      </c>
      <c r="J187" s="28">
        <v>0</v>
      </c>
      <c r="K187" s="28">
        <v>0</v>
      </c>
      <c r="L187" s="28">
        <v>0</v>
      </c>
      <c r="M187" s="27">
        <v>0</v>
      </c>
      <c r="N187" s="27">
        <v>200333.33333333334</v>
      </c>
      <c r="O187" s="51">
        <v>2582175.1033333335</v>
      </c>
      <c r="P187" s="5"/>
      <c r="Q187" s="30">
        <v>16666.666666666668</v>
      </c>
      <c r="R187" s="27">
        <v>16666.666666666668</v>
      </c>
      <c r="S187" s="27">
        <v>0</v>
      </c>
      <c r="T187" s="51">
        <v>2565508.436666667</v>
      </c>
      <c r="U187" s="5"/>
      <c r="V187" s="30">
        <v>0</v>
      </c>
      <c r="W187" s="51">
        <v>2365175.1033333335</v>
      </c>
      <c r="Y187" s="30">
        <v>0</v>
      </c>
      <c r="Z187" s="27">
        <v>0</v>
      </c>
      <c r="AA187" s="27">
        <v>0</v>
      </c>
      <c r="AB187" s="51">
        <v>1433981.5165053452</v>
      </c>
      <c r="AD187" s="30">
        <v>839812438.81630874</v>
      </c>
      <c r="AE187" s="27">
        <v>132872.22168079135</v>
      </c>
      <c r="AF187" s="27">
        <v>839679566.59462798</v>
      </c>
      <c r="AG187" s="51">
        <v>1301109.2948245539</v>
      </c>
      <c r="AI187" s="30">
        <v>0</v>
      </c>
      <c r="AJ187" s="51">
        <v>2365175.1033333335</v>
      </c>
      <c r="AL187" s="43">
        <v>200000</v>
      </c>
      <c r="AM187" s="52">
        <v>-333.33333333334303</v>
      </c>
      <c r="AN187" s="53">
        <v>200000</v>
      </c>
      <c r="AO187" s="54">
        <v>2365508.436666667</v>
      </c>
      <c r="AQ187" s="30">
        <v>0</v>
      </c>
      <c r="AR187" s="27">
        <v>0</v>
      </c>
      <c r="AS187" s="27">
        <v>0</v>
      </c>
      <c r="AT187" s="51">
        <v>2365508.436666667</v>
      </c>
      <c r="AV187" s="30">
        <v>0</v>
      </c>
      <c r="AW187" s="27">
        <v>0</v>
      </c>
      <c r="AX187" s="27">
        <v>0</v>
      </c>
      <c r="AY187" s="51">
        <v>2365508.436666667</v>
      </c>
      <c r="BA187" s="30">
        <v>0</v>
      </c>
      <c r="BB187" s="27">
        <v>0</v>
      </c>
      <c r="BC187" s="27">
        <v>0</v>
      </c>
      <c r="BD187" s="51">
        <v>2365508.436666667</v>
      </c>
      <c r="BF187" s="30">
        <v>0</v>
      </c>
      <c r="BG187" s="27">
        <v>0</v>
      </c>
      <c r="BH187" s="27">
        <v>0</v>
      </c>
      <c r="BI187" s="51">
        <v>2365508.436666667</v>
      </c>
      <c r="BK187" s="30">
        <v>0</v>
      </c>
      <c r="BL187" s="27">
        <v>0</v>
      </c>
      <c r="BM187" s="27">
        <v>0</v>
      </c>
      <c r="BN187" s="51">
        <v>2365508.436666667</v>
      </c>
      <c r="BP187" s="30">
        <v>2365508.436666667</v>
      </c>
      <c r="BQ187" s="20">
        <v>425508959.86026734</v>
      </c>
      <c r="BR187" s="51">
        <v>0</v>
      </c>
      <c r="BT187" s="30">
        <v>0</v>
      </c>
      <c r="BU187" s="51">
        <v>0</v>
      </c>
      <c r="BW187" s="221">
        <v>0</v>
      </c>
      <c r="BX187" s="222">
        <v>0</v>
      </c>
    </row>
    <row r="188" spans="6:76" x14ac:dyDescent="0.2">
      <c r="F188" s="151">
        <v>184</v>
      </c>
      <c r="G188" s="30">
        <v>2658210.4</v>
      </c>
      <c r="H188" s="28">
        <v>0</v>
      </c>
      <c r="I188" s="28">
        <v>0</v>
      </c>
      <c r="J188" s="28">
        <v>0</v>
      </c>
      <c r="K188" s="28">
        <v>0</v>
      </c>
      <c r="L188" s="28">
        <v>0</v>
      </c>
      <c r="M188" s="27">
        <v>0</v>
      </c>
      <c r="N188" s="27">
        <v>200333.33333333334</v>
      </c>
      <c r="O188" s="51">
        <v>2858543.7333333334</v>
      </c>
      <c r="P188" s="5"/>
      <c r="Q188" s="30">
        <v>16666.666666666668</v>
      </c>
      <c r="R188" s="27">
        <v>16666.666666666668</v>
      </c>
      <c r="S188" s="27">
        <v>0</v>
      </c>
      <c r="T188" s="51">
        <v>2841877.0666666669</v>
      </c>
      <c r="U188" s="5"/>
      <c r="V188" s="30">
        <v>0</v>
      </c>
      <c r="W188" s="51">
        <v>2641543.7333333334</v>
      </c>
      <c r="Y188" s="30">
        <v>0</v>
      </c>
      <c r="Z188" s="27">
        <v>0</v>
      </c>
      <c r="AA188" s="27">
        <v>0</v>
      </c>
      <c r="AB188" s="51">
        <v>1194984.5970877877</v>
      </c>
      <c r="AD188" s="30">
        <v>863370506.87274575</v>
      </c>
      <c r="AE188" s="27">
        <v>132872.22168079135</v>
      </c>
      <c r="AF188" s="27">
        <v>863237634.65106499</v>
      </c>
      <c r="AG188" s="51">
        <v>1062112.3754069963</v>
      </c>
      <c r="AI188" s="30">
        <v>0</v>
      </c>
      <c r="AJ188" s="51">
        <v>2641543.7333333334</v>
      </c>
      <c r="AL188" s="43">
        <v>200000</v>
      </c>
      <c r="AM188" s="52">
        <v>-333.33333333334303</v>
      </c>
      <c r="AN188" s="53">
        <v>200000</v>
      </c>
      <c r="AO188" s="54">
        <v>2641877.0666666669</v>
      </c>
      <c r="AQ188" s="30">
        <v>0</v>
      </c>
      <c r="AR188" s="27">
        <v>0</v>
      </c>
      <c r="AS188" s="27">
        <v>0</v>
      </c>
      <c r="AT188" s="51">
        <v>2641877.0666666669</v>
      </c>
      <c r="AV188" s="30">
        <v>0</v>
      </c>
      <c r="AW188" s="27">
        <v>0</v>
      </c>
      <c r="AX188" s="27">
        <v>0</v>
      </c>
      <c r="AY188" s="51">
        <v>2641877.0666666669</v>
      </c>
      <c r="BA188" s="30">
        <v>0</v>
      </c>
      <c r="BB188" s="27">
        <v>0</v>
      </c>
      <c r="BC188" s="27">
        <v>0</v>
      </c>
      <c r="BD188" s="51">
        <v>2641877.0666666669</v>
      </c>
      <c r="BF188" s="30">
        <v>0</v>
      </c>
      <c r="BG188" s="27">
        <v>0</v>
      </c>
      <c r="BH188" s="27">
        <v>0</v>
      </c>
      <c r="BI188" s="51">
        <v>2641877.0666666669</v>
      </c>
      <c r="BK188" s="30">
        <v>0</v>
      </c>
      <c r="BL188" s="27">
        <v>0</v>
      </c>
      <c r="BM188" s="27">
        <v>0</v>
      </c>
      <c r="BN188" s="51">
        <v>2641877.0666666669</v>
      </c>
      <c r="BP188" s="30">
        <v>2641877.0666666669</v>
      </c>
      <c r="BQ188" s="20">
        <v>428150836.926934</v>
      </c>
      <c r="BR188" s="51">
        <v>0</v>
      </c>
      <c r="BT188" s="30">
        <v>0</v>
      </c>
      <c r="BU188" s="51">
        <v>0</v>
      </c>
      <c r="BW188" s="221">
        <v>0</v>
      </c>
      <c r="BX188" s="222">
        <v>0</v>
      </c>
    </row>
    <row r="189" spans="6:76" x14ac:dyDescent="0.2">
      <c r="F189" s="151">
        <v>185</v>
      </c>
      <c r="G189" s="30">
        <v>3746562.72</v>
      </c>
      <c r="H189" s="28">
        <v>0</v>
      </c>
      <c r="I189" s="28">
        <v>0</v>
      </c>
      <c r="J189" s="28">
        <v>0</v>
      </c>
      <c r="K189" s="28">
        <v>0</v>
      </c>
      <c r="L189" s="28">
        <v>0</v>
      </c>
      <c r="M189" s="27">
        <v>0</v>
      </c>
      <c r="N189" s="27">
        <v>200333.33333333334</v>
      </c>
      <c r="O189" s="51">
        <v>3946896.0533333337</v>
      </c>
      <c r="P189" s="5"/>
      <c r="Q189" s="30">
        <v>16666.666666666668</v>
      </c>
      <c r="R189" s="27">
        <v>16666.666666666668</v>
      </c>
      <c r="S189" s="27">
        <v>0</v>
      </c>
      <c r="T189" s="51">
        <v>3930229.3866666672</v>
      </c>
      <c r="U189" s="5"/>
      <c r="V189" s="30">
        <v>0</v>
      </c>
      <c r="W189" s="51">
        <v>3729896.0533333337</v>
      </c>
      <c r="Y189" s="30">
        <v>0</v>
      </c>
      <c r="Z189" s="27">
        <v>0</v>
      </c>
      <c r="AA189" s="27">
        <v>0</v>
      </c>
      <c r="AB189" s="51">
        <v>2393159.3321024626</v>
      </c>
      <c r="AD189" s="30">
        <v>887593248.46132112</v>
      </c>
      <c r="AE189" s="27">
        <v>132872.22168079135</v>
      </c>
      <c r="AF189" s="27">
        <v>887460376.23964036</v>
      </c>
      <c r="AG189" s="51">
        <v>2260287.1104216715</v>
      </c>
      <c r="AI189" s="30">
        <v>0</v>
      </c>
      <c r="AJ189" s="51">
        <v>3729896.0533333337</v>
      </c>
      <c r="AL189" s="43">
        <v>200000</v>
      </c>
      <c r="AM189" s="52">
        <v>-333.33333333334303</v>
      </c>
      <c r="AN189" s="53">
        <v>200000</v>
      </c>
      <c r="AO189" s="54">
        <v>3730229.3866666672</v>
      </c>
      <c r="AQ189" s="30">
        <v>0</v>
      </c>
      <c r="AR189" s="27">
        <v>0</v>
      </c>
      <c r="AS189" s="27">
        <v>0</v>
      </c>
      <c r="AT189" s="51">
        <v>3730229.3866666672</v>
      </c>
      <c r="AV189" s="30">
        <v>0</v>
      </c>
      <c r="AW189" s="27">
        <v>0</v>
      </c>
      <c r="AX189" s="27">
        <v>0</v>
      </c>
      <c r="AY189" s="51">
        <v>3730229.3866666672</v>
      </c>
      <c r="BA189" s="30">
        <v>0</v>
      </c>
      <c r="BB189" s="27">
        <v>0</v>
      </c>
      <c r="BC189" s="27">
        <v>0</v>
      </c>
      <c r="BD189" s="51">
        <v>3730229.3866666672</v>
      </c>
      <c r="BF189" s="30">
        <v>0</v>
      </c>
      <c r="BG189" s="27">
        <v>0</v>
      </c>
      <c r="BH189" s="27">
        <v>0</v>
      </c>
      <c r="BI189" s="51">
        <v>3730229.3866666672</v>
      </c>
      <c r="BK189" s="30">
        <v>0</v>
      </c>
      <c r="BL189" s="27">
        <v>0</v>
      </c>
      <c r="BM189" s="27">
        <v>0</v>
      </c>
      <c r="BN189" s="51">
        <v>3730229.3866666672</v>
      </c>
      <c r="BP189" s="30">
        <v>3730229.3866666672</v>
      </c>
      <c r="BQ189" s="20">
        <v>431881066.31360066</v>
      </c>
      <c r="BR189" s="51">
        <v>0</v>
      </c>
      <c r="BT189" s="30">
        <v>0</v>
      </c>
      <c r="BU189" s="51">
        <v>0</v>
      </c>
      <c r="BW189" s="221">
        <v>0</v>
      </c>
      <c r="BX189" s="222">
        <v>0</v>
      </c>
    </row>
    <row r="190" spans="6:76" x14ac:dyDescent="0.2">
      <c r="F190" s="151">
        <v>186</v>
      </c>
      <c r="G190" s="30">
        <v>3270553.43</v>
      </c>
      <c r="H190" s="28">
        <v>0</v>
      </c>
      <c r="I190" s="28">
        <v>0</v>
      </c>
      <c r="J190" s="28">
        <v>0</v>
      </c>
      <c r="K190" s="28">
        <v>0</v>
      </c>
      <c r="L190" s="28">
        <v>0</v>
      </c>
      <c r="M190" s="27">
        <v>0</v>
      </c>
      <c r="N190" s="27">
        <v>200333.33333333334</v>
      </c>
      <c r="O190" s="51">
        <v>3470886.7633333337</v>
      </c>
      <c r="P190" s="5"/>
      <c r="Q190" s="30">
        <v>16666.666666666668</v>
      </c>
      <c r="R190" s="27">
        <v>16666.666666666668</v>
      </c>
      <c r="S190" s="27">
        <v>0</v>
      </c>
      <c r="T190" s="51">
        <v>3454220.0966666671</v>
      </c>
      <c r="U190" s="5"/>
      <c r="V190" s="30">
        <v>0</v>
      </c>
      <c r="W190" s="51">
        <v>3253886.7633333337</v>
      </c>
      <c r="Y190" s="30">
        <v>0</v>
      </c>
      <c r="Z190" s="27">
        <v>0</v>
      </c>
      <c r="AA190" s="27">
        <v>0</v>
      </c>
      <c r="AB190" s="51">
        <v>2759196.7750118086</v>
      </c>
      <c r="AD190" s="30">
        <v>912499416.85599887</v>
      </c>
      <c r="AE190" s="27">
        <v>132872.22168079135</v>
      </c>
      <c r="AF190" s="27">
        <v>912366544.63431811</v>
      </c>
      <c r="AG190" s="51">
        <v>2626324.5533310175</v>
      </c>
      <c r="AI190" s="30">
        <v>0</v>
      </c>
      <c r="AJ190" s="51">
        <v>3253886.7633333337</v>
      </c>
      <c r="AL190" s="43">
        <v>200000</v>
      </c>
      <c r="AM190" s="52">
        <v>-333.33333333334303</v>
      </c>
      <c r="AN190" s="53">
        <v>200000</v>
      </c>
      <c r="AO190" s="54">
        <v>3254220.0966666671</v>
      </c>
      <c r="AQ190" s="30">
        <v>0</v>
      </c>
      <c r="AR190" s="27">
        <v>0</v>
      </c>
      <c r="AS190" s="27">
        <v>0</v>
      </c>
      <c r="AT190" s="51">
        <v>3254220.0966666671</v>
      </c>
      <c r="AV190" s="30">
        <v>0</v>
      </c>
      <c r="AW190" s="27">
        <v>0</v>
      </c>
      <c r="AX190" s="27">
        <v>0</v>
      </c>
      <c r="AY190" s="51">
        <v>3254220.0966666671</v>
      </c>
      <c r="BA190" s="30">
        <v>0</v>
      </c>
      <c r="BB190" s="27">
        <v>0</v>
      </c>
      <c r="BC190" s="27">
        <v>0</v>
      </c>
      <c r="BD190" s="51">
        <v>3254220.0966666671</v>
      </c>
      <c r="BF190" s="30">
        <v>0</v>
      </c>
      <c r="BG190" s="27">
        <v>0</v>
      </c>
      <c r="BH190" s="27">
        <v>0</v>
      </c>
      <c r="BI190" s="51">
        <v>3254220.0966666671</v>
      </c>
      <c r="BK190" s="30">
        <v>0</v>
      </c>
      <c r="BL190" s="27">
        <v>0</v>
      </c>
      <c r="BM190" s="27">
        <v>0</v>
      </c>
      <c r="BN190" s="51">
        <v>3254220.0966666671</v>
      </c>
      <c r="BP190" s="30">
        <v>3254220.0966666671</v>
      </c>
      <c r="BQ190" s="20">
        <v>435135286.41026735</v>
      </c>
      <c r="BR190" s="51">
        <v>0</v>
      </c>
      <c r="BT190" s="30">
        <v>0</v>
      </c>
      <c r="BU190" s="51">
        <v>0</v>
      </c>
      <c r="BW190" s="221">
        <v>0</v>
      </c>
      <c r="BX190" s="222">
        <v>0</v>
      </c>
    </row>
    <row r="191" spans="6:76" x14ac:dyDescent="0.2">
      <c r="F191" s="151">
        <v>187</v>
      </c>
      <c r="G191" s="30">
        <v>2698929.15</v>
      </c>
      <c r="H191" s="28">
        <v>0</v>
      </c>
      <c r="I191" s="28">
        <v>0</v>
      </c>
      <c r="J191" s="28">
        <v>0</v>
      </c>
      <c r="K191" s="28">
        <v>0</v>
      </c>
      <c r="L191" s="28">
        <v>0</v>
      </c>
      <c r="M191" s="27">
        <v>0</v>
      </c>
      <c r="N191" s="27">
        <v>200333.33333333334</v>
      </c>
      <c r="O191" s="51">
        <v>2899262.4833333334</v>
      </c>
      <c r="P191" s="5"/>
      <c r="Q191" s="30">
        <v>16666.666666666668</v>
      </c>
      <c r="R191" s="27">
        <v>16666.666666666668</v>
      </c>
      <c r="S191" s="27">
        <v>0</v>
      </c>
      <c r="T191" s="51">
        <v>2882595.8166666669</v>
      </c>
      <c r="U191" s="5"/>
      <c r="V191" s="30">
        <v>0</v>
      </c>
      <c r="W191" s="51">
        <v>2682262.4833333334</v>
      </c>
      <c r="Y191" s="30">
        <v>0</v>
      </c>
      <c r="Z191" s="27">
        <v>0</v>
      </c>
      <c r="AA191" s="27">
        <v>0</v>
      </c>
      <c r="AB191" s="51">
        <v>2022023.5341085279</v>
      </c>
      <c r="AD191" s="30">
        <v>938108294.44055009</v>
      </c>
      <c r="AE191" s="27">
        <v>132872.22168079135</v>
      </c>
      <c r="AF191" s="27">
        <v>937975422.21886933</v>
      </c>
      <c r="AG191" s="51">
        <v>1889151.3124277366</v>
      </c>
      <c r="AI191" s="30">
        <v>0</v>
      </c>
      <c r="AJ191" s="51">
        <v>2682262.4833333334</v>
      </c>
      <c r="AL191" s="43">
        <v>200000</v>
      </c>
      <c r="AM191" s="52">
        <v>-333.33333333334303</v>
      </c>
      <c r="AN191" s="53">
        <v>200000</v>
      </c>
      <c r="AO191" s="54">
        <v>2682595.8166666669</v>
      </c>
      <c r="AQ191" s="30">
        <v>0</v>
      </c>
      <c r="AR191" s="27">
        <v>0</v>
      </c>
      <c r="AS191" s="27">
        <v>0</v>
      </c>
      <c r="AT191" s="51">
        <v>2682595.8166666669</v>
      </c>
      <c r="AV191" s="30">
        <v>0</v>
      </c>
      <c r="AW191" s="27">
        <v>0</v>
      </c>
      <c r="AX191" s="27">
        <v>0</v>
      </c>
      <c r="AY191" s="51">
        <v>2682595.8166666669</v>
      </c>
      <c r="BA191" s="30">
        <v>0</v>
      </c>
      <c r="BB191" s="27">
        <v>0</v>
      </c>
      <c r="BC191" s="27">
        <v>0</v>
      </c>
      <c r="BD191" s="51">
        <v>2682595.8166666669</v>
      </c>
      <c r="BF191" s="30">
        <v>0</v>
      </c>
      <c r="BG191" s="27">
        <v>0</v>
      </c>
      <c r="BH191" s="27">
        <v>0</v>
      </c>
      <c r="BI191" s="51">
        <v>2682595.8166666669</v>
      </c>
      <c r="BK191" s="30">
        <v>0</v>
      </c>
      <c r="BL191" s="27">
        <v>0</v>
      </c>
      <c r="BM191" s="27">
        <v>0</v>
      </c>
      <c r="BN191" s="51">
        <v>2682595.8166666669</v>
      </c>
      <c r="BP191" s="30">
        <v>2682595.8166666669</v>
      </c>
      <c r="BQ191" s="20">
        <v>437817882.22693402</v>
      </c>
      <c r="BR191" s="51">
        <v>0</v>
      </c>
      <c r="BT191" s="30">
        <v>0</v>
      </c>
      <c r="BU191" s="51">
        <v>0</v>
      </c>
      <c r="BW191" s="221">
        <v>0</v>
      </c>
      <c r="BX191" s="222">
        <v>0</v>
      </c>
    </row>
    <row r="192" spans="6:76" x14ac:dyDescent="0.2">
      <c r="F192" s="151">
        <v>188</v>
      </c>
      <c r="G192" s="30">
        <v>2349732.64</v>
      </c>
      <c r="H192" s="28">
        <v>0</v>
      </c>
      <c r="I192" s="28">
        <v>0</v>
      </c>
      <c r="J192" s="28">
        <v>0</v>
      </c>
      <c r="K192" s="28">
        <v>0</v>
      </c>
      <c r="L192" s="28">
        <v>0</v>
      </c>
      <c r="M192" s="27">
        <v>0</v>
      </c>
      <c r="N192" s="27">
        <v>200333.33333333334</v>
      </c>
      <c r="O192" s="51">
        <v>2550065.9733333336</v>
      </c>
      <c r="P192" s="5"/>
      <c r="Q192" s="30">
        <v>16666.666666666668</v>
      </c>
      <c r="R192" s="27">
        <v>16666.666666666668</v>
      </c>
      <c r="S192" s="27">
        <v>0</v>
      </c>
      <c r="T192" s="51">
        <v>2533399.3066666671</v>
      </c>
      <c r="U192" s="5"/>
      <c r="V192" s="30">
        <v>0</v>
      </c>
      <c r="W192" s="51">
        <v>2333065.9733333336</v>
      </c>
      <c r="Y192" s="30">
        <v>0</v>
      </c>
      <c r="Z192" s="27">
        <v>0</v>
      </c>
      <c r="AA192" s="27">
        <v>0</v>
      </c>
      <c r="AB192" s="51">
        <v>1685019.6117571066</v>
      </c>
      <c r="AD192" s="30">
        <v>964439707.63699639</v>
      </c>
      <c r="AE192" s="27">
        <v>132872.22168079135</v>
      </c>
      <c r="AF192" s="27">
        <v>964306835.41531563</v>
      </c>
      <c r="AG192" s="51">
        <v>1552147.3900763153</v>
      </c>
      <c r="AI192" s="30">
        <v>0</v>
      </c>
      <c r="AJ192" s="51">
        <v>2333065.9733333336</v>
      </c>
      <c r="AL192" s="43">
        <v>200000</v>
      </c>
      <c r="AM192" s="52">
        <v>-333.33333333334303</v>
      </c>
      <c r="AN192" s="53">
        <v>200000</v>
      </c>
      <c r="AO192" s="54">
        <v>2333399.3066666671</v>
      </c>
      <c r="AQ192" s="30">
        <v>0</v>
      </c>
      <c r="AR192" s="27">
        <v>0</v>
      </c>
      <c r="AS192" s="27">
        <v>0</v>
      </c>
      <c r="AT192" s="51">
        <v>2333399.3066666671</v>
      </c>
      <c r="AV192" s="30">
        <v>0</v>
      </c>
      <c r="AW192" s="27">
        <v>0</v>
      </c>
      <c r="AX192" s="27">
        <v>0</v>
      </c>
      <c r="AY192" s="51">
        <v>2333399.3066666671</v>
      </c>
      <c r="BA192" s="30">
        <v>0</v>
      </c>
      <c r="BB192" s="27">
        <v>0</v>
      </c>
      <c r="BC192" s="27">
        <v>0</v>
      </c>
      <c r="BD192" s="51">
        <v>2333399.3066666671</v>
      </c>
      <c r="BF192" s="30">
        <v>0</v>
      </c>
      <c r="BG192" s="27">
        <v>0</v>
      </c>
      <c r="BH192" s="27">
        <v>0</v>
      </c>
      <c r="BI192" s="51">
        <v>2333399.3066666671</v>
      </c>
      <c r="BK192" s="30">
        <v>0</v>
      </c>
      <c r="BL192" s="27">
        <v>0</v>
      </c>
      <c r="BM192" s="27">
        <v>0</v>
      </c>
      <c r="BN192" s="51">
        <v>2333399.3066666671</v>
      </c>
      <c r="BP192" s="30">
        <v>2333399.3066666671</v>
      </c>
      <c r="BQ192" s="20">
        <v>440151281.53360069</v>
      </c>
      <c r="BR192" s="51">
        <v>0</v>
      </c>
      <c r="BT192" s="30">
        <v>0</v>
      </c>
      <c r="BU192" s="51">
        <v>0</v>
      </c>
      <c r="BW192" s="221">
        <v>0</v>
      </c>
      <c r="BX192" s="222">
        <v>0</v>
      </c>
    </row>
    <row r="193" spans="6:76" x14ac:dyDescent="0.2">
      <c r="F193" s="151">
        <v>189</v>
      </c>
      <c r="G193" s="30">
        <v>1907906.14</v>
      </c>
      <c r="H193" s="28">
        <v>0</v>
      </c>
      <c r="I193" s="28">
        <v>0</v>
      </c>
      <c r="J193" s="28">
        <v>0</v>
      </c>
      <c r="K193" s="28">
        <v>0</v>
      </c>
      <c r="L193" s="28">
        <v>0</v>
      </c>
      <c r="M193" s="27">
        <v>0</v>
      </c>
      <c r="N193" s="27">
        <v>200333.33333333334</v>
      </c>
      <c r="O193" s="51">
        <v>2108239.4733333332</v>
      </c>
      <c r="P193" s="5"/>
      <c r="Q193" s="30">
        <v>16666.666666666668</v>
      </c>
      <c r="R193" s="27">
        <v>16666.666666666668</v>
      </c>
      <c r="S193" s="27">
        <v>0</v>
      </c>
      <c r="T193" s="51">
        <v>2091572.8066666664</v>
      </c>
      <c r="U193" s="5"/>
      <c r="V193" s="30">
        <v>0</v>
      </c>
      <c r="W193" s="51">
        <v>1891239.4733333332</v>
      </c>
      <c r="Y193" s="30">
        <v>0</v>
      </c>
      <c r="Z193" s="27">
        <v>0</v>
      </c>
      <c r="AA193" s="27">
        <v>0</v>
      </c>
      <c r="AB193" s="51">
        <v>2829963.5239232122</v>
      </c>
      <c r="AD193" s="30">
        <v>991514042.25524819</v>
      </c>
      <c r="AE193" s="27">
        <v>132872.22168079135</v>
      </c>
      <c r="AF193" s="27">
        <v>991381170.03356743</v>
      </c>
      <c r="AG193" s="51">
        <v>2697091.3022424206</v>
      </c>
      <c r="AI193" s="30">
        <v>0</v>
      </c>
      <c r="AJ193" s="51">
        <v>1891239.4733333332</v>
      </c>
      <c r="AL193" s="43">
        <v>200000</v>
      </c>
      <c r="AM193" s="52">
        <v>-333.33333333334303</v>
      </c>
      <c r="AN193" s="53">
        <v>200000</v>
      </c>
      <c r="AO193" s="54">
        <v>1891572.8066666664</v>
      </c>
      <c r="AQ193" s="30">
        <v>0</v>
      </c>
      <c r="AR193" s="27">
        <v>0</v>
      </c>
      <c r="AS193" s="27">
        <v>0</v>
      </c>
      <c r="AT193" s="51">
        <v>1891572.8066666664</v>
      </c>
      <c r="AV193" s="30">
        <v>0</v>
      </c>
      <c r="AW193" s="27">
        <v>0</v>
      </c>
      <c r="AX193" s="27">
        <v>0</v>
      </c>
      <c r="AY193" s="51">
        <v>1891572.8066666664</v>
      </c>
      <c r="BA193" s="30">
        <v>0</v>
      </c>
      <c r="BB193" s="27">
        <v>0</v>
      </c>
      <c r="BC193" s="27">
        <v>0</v>
      </c>
      <c r="BD193" s="51">
        <v>1891572.8066666664</v>
      </c>
      <c r="BF193" s="30">
        <v>0</v>
      </c>
      <c r="BG193" s="27">
        <v>0</v>
      </c>
      <c r="BH193" s="27">
        <v>0</v>
      </c>
      <c r="BI193" s="51">
        <v>1891572.8066666664</v>
      </c>
      <c r="BK193" s="30">
        <v>0</v>
      </c>
      <c r="BL193" s="27">
        <v>0</v>
      </c>
      <c r="BM193" s="27">
        <v>0</v>
      </c>
      <c r="BN193" s="51">
        <v>1891572.8066666664</v>
      </c>
      <c r="BP193" s="30">
        <v>1891572.8066666664</v>
      </c>
      <c r="BQ193" s="20">
        <v>442042854.34026736</v>
      </c>
      <c r="BR193" s="51">
        <v>0</v>
      </c>
      <c r="BT193" s="30">
        <v>0</v>
      </c>
      <c r="BU193" s="51">
        <v>0</v>
      </c>
      <c r="BW193" s="221">
        <v>0</v>
      </c>
      <c r="BX193" s="222">
        <v>0</v>
      </c>
    </row>
    <row r="194" spans="6:76" x14ac:dyDescent="0.2">
      <c r="F194" s="151">
        <v>190</v>
      </c>
      <c r="G194" s="30">
        <v>1517373.49</v>
      </c>
      <c r="H194" s="28">
        <v>0</v>
      </c>
      <c r="I194" s="28">
        <v>0</v>
      </c>
      <c r="J194" s="28">
        <v>0</v>
      </c>
      <c r="K194" s="28">
        <v>0</v>
      </c>
      <c r="L194" s="28">
        <v>0</v>
      </c>
      <c r="M194" s="27">
        <v>0</v>
      </c>
      <c r="N194" s="27">
        <v>200333.33333333334</v>
      </c>
      <c r="O194" s="51">
        <v>1717706.8233333332</v>
      </c>
      <c r="P194" s="5"/>
      <c r="Q194" s="30">
        <v>16666.666666666668</v>
      </c>
      <c r="R194" s="27">
        <v>16666.666666666668</v>
      </c>
      <c r="S194" s="27">
        <v>0</v>
      </c>
      <c r="T194" s="51">
        <v>1701040.1566666665</v>
      </c>
      <c r="U194" s="5"/>
      <c r="V194" s="30">
        <v>0</v>
      </c>
      <c r="W194" s="51">
        <v>1500706.8233333332</v>
      </c>
      <c r="Y194" s="30">
        <v>0</v>
      </c>
      <c r="Z194" s="27">
        <v>0</v>
      </c>
      <c r="AA194" s="27">
        <v>0</v>
      </c>
      <c r="AB194" s="51">
        <v>3426745.987627334</v>
      </c>
      <c r="AD194" s="30">
        <v>1019352259.2758217</v>
      </c>
      <c r="AE194" s="27">
        <v>132872.22168079135</v>
      </c>
      <c r="AF194" s="27">
        <v>1019219387.0541409</v>
      </c>
      <c r="AG194" s="51">
        <v>3293873.7659465428</v>
      </c>
      <c r="AI194" s="30">
        <v>0</v>
      </c>
      <c r="AJ194" s="51">
        <v>1500706.8233333332</v>
      </c>
      <c r="AL194" s="43">
        <v>200000</v>
      </c>
      <c r="AM194" s="52">
        <v>-333.33333333334303</v>
      </c>
      <c r="AN194" s="53">
        <v>200000</v>
      </c>
      <c r="AO194" s="54">
        <v>1501040.1566666665</v>
      </c>
      <c r="AQ194" s="30">
        <v>0</v>
      </c>
      <c r="AR194" s="27">
        <v>0</v>
      </c>
      <c r="AS194" s="27">
        <v>0</v>
      </c>
      <c r="AT194" s="51">
        <v>1501040.1566666665</v>
      </c>
      <c r="AV194" s="30">
        <v>0</v>
      </c>
      <c r="AW194" s="27">
        <v>0</v>
      </c>
      <c r="AX194" s="27">
        <v>0</v>
      </c>
      <c r="AY194" s="51">
        <v>1501040.1566666665</v>
      </c>
      <c r="BA194" s="30">
        <v>0</v>
      </c>
      <c r="BB194" s="27">
        <v>0</v>
      </c>
      <c r="BC194" s="27">
        <v>0</v>
      </c>
      <c r="BD194" s="51">
        <v>1501040.1566666665</v>
      </c>
      <c r="BF194" s="30">
        <v>0</v>
      </c>
      <c r="BG194" s="27">
        <v>0</v>
      </c>
      <c r="BH194" s="27">
        <v>0</v>
      </c>
      <c r="BI194" s="51">
        <v>1501040.1566666665</v>
      </c>
      <c r="BK194" s="30">
        <v>0</v>
      </c>
      <c r="BL194" s="27">
        <v>0</v>
      </c>
      <c r="BM194" s="27">
        <v>0</v>
      </c>
      <c r="BN194" s="51">
        <v>1501040.1566666665</v>
      </c>
      <c r="BP194" s="30">
        <v>1501040.1566666665</v>
      </c>
      <c r="BQ194" s="20">
        <v>443543894.49693406</v>
      </c>
      <c r="BR194" s="51">
        <v>0</v>
      </c>
      <c r="BT194" s="30">
        <v>0</v>
      </c>
      <c r="BU194" s="51">
        <v>0</v>
      </c>
      <c r="BW194" s="221">
        <v>0</v>
      </c>
      <c r="BX194" s="222">
        <v>0</v>
      </c>
    </row>
    <row r="195" spans="6:76" x14ac:dyDescent="0.2">
      <c r="F195" s="151">
        <v>191</v>
      </c>
      <c r="G195" s="30">
        <v>1873627.75</v>
      </c>
      <c r="H195" s="28">
        <v>0</v>
      </c>
      <c r="I195" s="28">
        <v>0</v>
      </c>
      <c r="J195" s="28">
        <v>0</v>
      </c>
      <c r="K195" s="28">
        <v>0</v>
      </c>
      <c r="L195" s="28">
        <v>0</v>
      </c>
      <c r="M195" s="27">
        <v>0</v>
      </c>
      <c r="N195" s="27">
        <v>200333.33333333334</v>
      </c>
      <c r="O195" s="51">
        <v>2073961.0833333333</v>
      </c>
      <c r="P195" s="5"/>
      <c r="Q195" s="30">
        <v>16666.666666666668</v>
      </c>
      <c r="R195" s="27">
        <v>16666.666666666668</v>
      </c>
      <c r="S195" s="27">
        <v>0</v>
      </c>
      <c r="T195" s="51">
        <v>2057294.4166666665</v>
      </c>
      <c r="U195" s="5"/>
      <c r="V195" s="30">
        <v>0</v>
      </c>
      <c r="W195" s="51">
        <v>1856961.0833333333</v>
      </c>
      <c r="Y195" s="30">
        <v>0</v>
      </c>
      <c r="Z195" s="27">
        <v>0</v>
      </c>
      <c r="AA195" s="27">
        <v>0</v>
      </c>
      <c r="AB195" s="51">
        <v>2665246.8792657042</v>
      </c>
      <c r="AD195" s="30">
        <v>1047975911.077854</v>
      </c>
      <c r="AE195" s="27">
        <v>132872.22168079135</v>
      </c>
      <c r="AF195" s="27">
        <v>1047843038.8561733</v>
      </c>
      <c r="AG195" s="51">
        <v>2532374.6575849131</v>
      </c>
      <c r="AI195" s="30">
        <v>0</v>
      </c>
      <c r="AJ195" s="51">
        <v>1856961.0833333333</v>
      </c>
      <c r="AL195" s="43">
        <v>200000</v>
      </c>
      <c r="AM195" s="52">
        <v>-333.33333333334303</v>
      </c>
      <c r="AN195" s="53">
        <v>200000</v>
      </c>
      <c r="AO195" s="54">
        <v>1857294.4166666665</v>
      </c>
      <c r="AQ195" s="30">
        <v>0</v>
      </c>
      <c r="AR195" s="27">
        <v>0</v>
      </c>
      <c r="AS195" s="27">
        <v>0</v>
      </c>
      <c r="AT195" s="51">
        <v>1857294.4166666665</v>
      </c>
      <c r="AV195" s="30">
        <v>0</v>
      </c>
      <c r="AW195" s="27">
        <v>0</v>
      </c>
      <c r="AX195" s="27">
        <v>0</v>
      </c>
      <c r="AY195" s="51">
        <v>1857294.4166666665</v>
      </c>
      <c r="BA195" s="30">
        <v>0</v>
      </c>
      <c r="BB195" s="27">
        <v>0</v>
      </c>
      <c r="BC195" s="27">
        <v>0</v>
      </c>
      <c r="BD195" s="51">
        <v>1857294.4166666665</v>
      </c>
      <c r="BF195" s="30">
        <v>0</v>
      </c>
      <c r="BG195" s="27">
        <v>0</v>
      </c>
      <c r="BH195" s="27">
        <v>0</v>
      </c>
      <c r="BI195" s="51">
        <v>1857294.4166666665</v>
      </c>
      <c r="BK195" s="30">
        <v>0</v>
      </c>
      <c r="BL195" s="27">
        <v>0</v>
      </c>
      <c r="BM195" s="27">
        <v>0</v>
      </c>
      <c r="BN195" s="51">
        <v>1857294.4166666665</v>
      </c>
      <c r="BP195" s="30">
        <v>1857294.4166666665</v>
      </c>
      <c r="BQ195" s="20">
        <v>445401188.91360074</v>
      </c>
      <c r="BR195" s="51">
        <v>0</v>
      </c>
      <c r="BT195" s="30">
        <v>0</v>
      </c>
      <c r="BU195" s="51">
        <v>0</v>
      </c>
      <c r="BW195" s="221">
        <v>0</v>
      </c>
      <c r="BX195" s="222">
        <v>0</v>
      </c>
    </row>
    <row r="196" spans="6:76" x14ac:dyDescent="0.2">
      <c r="F196" s="151">
        <v>192</v>
      </c>
      <c r="G196" s="30">
        <v>12040007.560000001</v>
      </c>
      <c r="H196" s="28">
        <v>0</v>
      </c>
      <c r="I196" s="28">
        <v>0</v>
      </c>
      <c r="J196" s="28">
        <v>0</v>
      </c>
      <c r="K196" s="28">
        <v>0</v>
      </c>
      <c r="L196" s="28">
        <v>0</v>
      </c>
      <c r="M196" s="27">
        <v>0</v>
      </c>
      <c r="N196" s="27">
        <v>200333.33333333334</v>
      </c>
      <c r="O196" s="51">
        <v>12240340.893333334</v>
      </c>
      <c r="P196" s="5"/>
      <c r="Q196" s="30">
        <v>15000</v>
      </c>
      <c r="R196" s="27">
        <v>15000</v>
      </c>
      <c r="S196" s="27">
        <v>0</v>
      </c>
      <c r="T196" s="51">
        <v>12225340.893333334</v>
      </c>
      <c r="U196" s="5"/>
      <c r="V196" s="30">
        <v>0</v>
      </c>
      <c r="W196" s="51">
        <v>12025007.560000001</v>
      </c>
      <c r="Y196" s="30">
        <v>0</v>
      </c>
      <c r="Z196" s="27">
        <v>0</v>
      </c>
      <c r="AA196" s="27">
        <v>0</v>
      </c>
      <c r="AB196" s="51">
        <v>20868131.055855047</v>
      </c>
      <c r="AD196" s="30">
        <v>1077407158.1249793</v>
      </c>
      <c r="AE196" s="27">
        <v>132872.22168079135</v>
      </c>
      <c r="AF196" s="27">
        <v>1077274285.9032984</v>
      </c>
      <c r="AG196" s="51">
        <v>20735258.834174257</v>
      </c>
      <c r="AI196" s="30">
        <v>0</v>
      </c>
      <c r="AJ196" s="51">
        <v>12025007.560000001</v>
      </c>
      <c r="AL196" s="43">
        <v>180000</v>
      </c>
      <c r="AM196" s="52">
        <v>-20333.333333333343</v>
      </c>
      <c r="AN196" s="53">
        <v>180000</v>
      </c>
      <c r="AO196" s="54">
        <v>12045340.893333334</v>
      </c>
      <c r="AQ196" s="30">
        <v>0</v>
      </c>
      <c r="AR196" s="27">
        <v>0</v>
      </c>
      <c r="AS196" s="27">
        <v>0</v>
      </c>
      <c r="AT196" s="51">
        <v>12045340.893333334</v>
      </c>
      <c r="AV196" s="30">
        <v>0</v>
      </c>
      <c r="AW196" s="27">
        <v>0</v>
      </c>
      <c r="AX196" s="27">
        <v>0</v>
      </c>
      <c r="AY196" s="51">
        <v>12045340.893333334</v>
      </c>
      <c r="BA196" s="30">
        <v>0</v>
      </c>
      <c r="BB196" s="27">
        <v>0</v>
      </c>
      <c r="BC196" s="27">
        <v>0</v>
      </c>
      <c r="BD196" s="51">
        <v>12045340.893333334</v>
      </c>
      <c r="BF196" s="30">
        <v>0</v>
      </c>
      <c r="BG196" s="27">
        <v>0</v>
      </c>
      <c r="BH196" s="27">
        <v>0</v>
      </c>
      <c r="BI196" s="51">
        <v>12045340.893333334</v>
      </c>
      <c r="BK196" s="30">
        <v>0</v>
      </c>
      <c r="BL196" s="27">
        <v>0</v>
      </c>
      <c r="BM196" s="27">
        <v>0</v>
      </c>
      <c r="BN196" s="51">
        <v>12045340.893333334</v>
      </c>
      <c r="BP196" s="30">
        <v>12045340.893333334</v>
      </c>
      <c r="BQ196" s="20">
        <v>457446529.80693406</v>
      </c>
      <c r="BR196" s="51">
        <v>0</v>
      </c>
      <c r="BT196" s="30">
        <v>0</v>
      </c>
      <c r="BU196" s="51">
        <v>0</v>
      </c>
      <c r="BW196" s="221">
        <v>0</v>
      </c>
      <c r="BX196" s="222">
        <v>0</v>
      </c>
    </row>
    <row r="197" spans="6:76" x14ac:dyDescent="0.2">
      <c r="F197" s="151">
        <v>193</v>
      </c>
      <c r="G197" s="30">
        <v>2813031.19</v>
      </c>
      <c r="H197" s="28">
        <v>0</v>
      </c>
      <c r="I197" s="28">
        <v>0</v>
      </c>
      <c r="J197" s="28">
        <v>0</v>
      </c>
      <c r="K197" s="28">
        <v>0</v>
      </c>
      <c r="L197" s="28">
        <v>0</v>
      </c>
      <c r="M197" s="27">
        <v>0</v>
      </c>
      <c r="N197" s="27">
        <v>180300</v>
      </c>
      <c r="O197" s="51">
        <v>2993331.19</v>
      </c>
      <c r="P197" s="5"/>
      <c r="Q197" s="30">
        <v>15000</v>
      </c>
      <c r="R197" s="27">
        <v>15000</v>
      </c>
      <c r="S197" s="27">
        <v>0</v>
      </c>
      <c r="T197" s="51">
        <v>2978331.19</v>
      </c>
      <c r="U197" s="5"/>
      <c r="V197" s="30">
        <v>0</v>
      </c>
      <c r="W197" s="51">
        <v>2798031.19</v>
      </c>
      <c r="Y197" s="30">
        <v>0</v>
      </c>
      <c r="Z197" s="27">
        <v>0</v>
      </c>
      <c r="AA197" s="27">
        <v>0</v>
      </c>
      <c r="AB197" s="51">
        <v>1260207.2918907925</v>
      </c>
      <c r="AD197" s="30">
        <v>1107668786.1219847</v>
      </c>
      <c r="AE197" s="27">
        <v>132872.22168079135</v>
      </c>
      <c r="AF197" s="27">
        <v>1107535913.9003038</v>
      </c>
      <c r="AG197" s="51">
        <v>1127335.0702100012</v>
      </c>
      <c r="AI197" s="30">
        <v>0</v>
      </c>
      <c r="AJ197" s="51">
        <v>2798031.19</v>
      </c>
      <c r="AL197" s="43">
        <v>180000</v>
      </c>
      <c r="AM197" s="52">
        <v>-300</v>
      </c>
      <c r="AN197" s="53">
        <v>180000</v>
      </c>
      <c r="AO197" s="54">
        <v>2798331.19</v>
      </c>
      <c r="AQ197" s="30">
        <v>0</v>
      </c>
      <c r="AR197" s="27">
        <v>0</v>
      </c>
      <c r="AS197" s="27">
        <v>0</v>
      </c>
      <c r="AT197" s="51">
        <v>2798331.19</v>
      </c>
      <c r="AV197" s="30">
        <v>0</v>
      </c>
      <c r="AW197" s="27">
        <v>0</v>
      </c>
      <c r="AX197" s="27">
        <v>0</v>
      </c>
      <c r="AY197" s="51">
        <v>2798331.19</v>
      </c>
      <c r="BA197" s="30">
        <v>0</v>
      </c>
      <c r="BB197" s="27">
        <v>0</v>
      </c>
      <c r="BC197" s="27">
        <v>0</v>
      </c>
      <c r="BD197" s="51">
        <v>2798331.19</v>
      </c>
      <c r="BF197" s="30">
        <v>0</v>
      </c>
      <c r="BG197" s="27">
        <v>0</v>
      </c>
      <c r="BH197" s="27">
        <v>0</v>
      </c>
      <c r="BI197" s="51">
        <v>2798331.19</v>
      </c>
      <c r="BK197" s="30">
        <v>0</v>
      </c>
      <c r="BL197" s="27">
        <v>0</v>
      </c>
      <c r="BM197" s="27">
        <v>0</v>
      </c>
      <c r="BN197" s="51">
        <v>2798331.19</v>
      </c>
      <c r="BP197" s="30">
        <v>2798331.19</v>
      </c>
      <c r="BQ197" s="20">
        <v>460244860.99693406</v>
      </c>
      <c r="BR197" s="51">
        <v>0</v>
      </c>
      <c r="BT197" s="30">
        <v>0</v>
      </c>
      <c r="BU197" s="51">
        <v>0</v>
      </c>
      <c r="BW197" s="221">
        <v>0</v>
      </c>
      <c r="BX197" s="222">
        <v>0</v>
      </c>
    </row>
    <row r="198" spans="6:76" x14ac:dyDescent="0.2">
      <c r="F198" s="151">
        <v>194</v>
      </c>
      <c r="G198" s="30">
        <v>2531728.08</v>
      </c>
      <c r="H198" s="28">
        <v>0</v>
      </c>
      <c r="I198" s="28">
        <v>0</v>
      </c>
      <c r="J198" s="28">
        <v>0</v>
      </c>
      <c r="K198" s="28">
        <v>0</v>
      </c>
      <c r="L198" s="28">
        <v>0</v>
      </c>
      <c r="M198" s="27">
        <v>0</v>
      </c>
      <c r="N198" s="27">
        <v>180300</v>
      </c>
      <c r="O198" s="51">
        <v>2712028.08</v>
      </c>
      <c r="P198" s="5"/>
      <c r="Q198" s="30">
        <v>15000</v>
      </c>
      <c r="R198" s="27">
        <v>15000</v>
      </c>
      <c r="S198" s="27">
        <v>0</v>
      </c>
      <c r="T198" s="51">
        <v>2697028.08</v>
      </c>
      <c r="U198" s="5"/>
      <c r="V198" s="30">
        <v>0</v>
      </c>
      <c r="W198" s="51">
        <v>2516728.08</v>
      </c>
      <c r="Y198" s="30">
        <v>0</v>
      </c>
      <c r="Z198" s="27">
        <v>0</v>
      </c>
      <c r="AA198" s="27">
        <v>0</v>
      </c>
      <c r="AB198" s="51">
        <v>1542723.8809146727</v>
      </c>
      <c r="AD198" s="30">
        <v>1138784223.6555295</v>
      </c>
      <c r="AE198" s="27">
        <v>132872.22168079135</v>
      </c>
      <c r="AF198" s="27">
        <v>1138651351.4338486</v>
      </c>
      <c r="AG198" s="51">
        <v>1409851.6592338814</v>
      </c>
      <c r="AI198" s="30">
        <v>0</v>
      </c>
      <c r="AJ198" s="51">
        <v>2516728.08</v>
      </c>
      <c r="AL198" s="43">
        <v>180000</v>
      </c>
      <c r="AM198" s="52">
        <v>-300</v>
      </c>
      <c r="AN198" s="53">
        <v>180000</v>
      </c>
      <c r="AO198" s="54">
        <v>2517028.08</v>
      </c>
      <c r="AQ198" s="30">
        <v>0</v>
      </c>
      <c r="AR198" s="27">
        <v>0</v>
      </c>
      <c r="AS198" s="27">
        <v>0</v>
      </c>
      <c r="AT198" s="51">
        <v>2517028.08</v>
      </c>
      <c r="AV198" s="30">
        <v>0</v>
      </c>
      <c r="AW198" s="27">
        <v>0</v>
      </c>
      <c r="AX198" s="27">
        <v>0</v>
      </c>
      <c r="AY198" s="51">
        <v>2517028.08</v>
      </c>
      <c r="BA198" s="30">
        <v>0</v>
      </c>
      <c r="BB198" s="27">
        <v>0</v>
      </c>
      <c r="BC198" s="27">
        <v>0</v>
      </c>
      <c r="BD198" s="51">
        <v>2517028.08</v>
      </c>
      <c r="BF198" s="30">
        <v>0</v>
      </c>
      <c r="BG198" s="27">
        <v>0</v>
      </c>
      <c r="BH198" s="27">
        <v>0</v>
      </c>
      <c r="BI198" s="51">
        <v>2517028.08</v>
      </c>
      <c r="BK198" s="30">
        <v>0</v>
      </c>
      <c r="BL198" s="27">
        <v>0</v>
      </c>
      <c r="BM198" s="27">
        <v>0</v>
      </c>
      <c r="BN198" s="51">
        <v>2517028.08</v>
      </c>
      <c r="BP198" s="30">
        <v>2517028.08</v>
      </c>
      <c r="BQ198" s="20">
        <v>462761889.07693404</v>
      </c>
      <c r="BR198" s="51">
        <v>0</v>
      </c>
      <c r="BT198" s="30">
        <v>0</v>
      </c>
      <c r="BU198" s="51">
        <v>0</v>
      </c>
      <c r="BW198" s="221">
        <v>0</v>
      </c>
      <c r="BX198" s="222">
        <v>0</v>
      </c>
    </row>
    <row r="199" spans="6:76" x14ac:dyDescent="0.2">
      <c r="F199" s="151">
        <v>195</v>
      </c>
      <c r="G199" s="30">
        <v>2250424.96</v>
      </c>
      <c r="H199" s="28">
        <v>0</v>
      </c>
      <c r="I199" s="28">
        <v>0</v>
      </c>
      <c r="J199" s="28">
        <v>0</v>
      </c>
      <c r="K199" s="28">
        <v>0</v>
      </c>
      <c r="L199" s="28">
        <v>0</v>
      </c>
      <c r="M199" s="27">
        <v>0</v>
      </c>
      <c r="N199" s="27">
        <v>180300</v>
      </c>
      <c r="O199" s="51">
        <v>2430724.96</v>
      </c>
      <c r="P199" s="5"/>
      <c r="Q199" s="30">
        <v>15000</v>
      </c>
      <c r="R199" s="27">
        <v>15000</v>
      </c>
      <c r="S199" s="27">
        <v>0</v>
      </c>
      <c r="T199" s="51">
        <v>2415724.96</v>
      </c>
      <c r="U199" s="5"/>
      <c r="V199" s="30">
        <v>0</v>
      </c>
      <c r="W199" s="51">
        <v>2235424.96</v>
      </c>
      <c r="Y199" s="30">
        <v>0</v>
      </c>
      <c r="Z199" s="27">
        <v>0</v>
      </c>
      <c r="AA199" s="27">
        <v>0</v>
      </c>
      <c r="AB199" s="51">
        <v>1033093.174190074</v>
      </c>
      <c r="AD199" s="30">
        <v>1170777560.3325825</v>
      </c>
      <c r="AE199" s="27">
        <v>132872.22168079135</v>
      </c>
      <c r="AF199" s="27">
        <v>1170644688.1109016</v>
      </c>
      <c r="AG199" s="51">
        <v>900220.95250928262</v>
      </c>
      <c r="AI199" s="30">
        <v>0</v>
      </c>
      <c r="AJ199" s="51">
        <v>2235424.96</v>
      </c>
      <c r="AL199" s="43">
        <v>180000</v>
      </c>
      <c r="AM199" s="52">
        <v>-300</v>
      </c>
      <c r="AN199" s="53">
        <v>180000</v>
      </c>
      <c r="AO199" s="54">
        <v>2235724.96</v>
      </c>
      <c r="AQ199" s="30">
        <v>0</v>
      </c>
      <c r="AR199" s="27">
        <v>0</v>
      </c>
      <c r="AS199" s="27">
        <v>0</v>
      </c>
      <c r="AT199" s="51">
        <v>2235724.96</v>
      </c>
      <c r="AV199" s="30">
        <v>0</v>
      </c>
      <c r="AW199" s="27">
        <v>0</v>
      </c>
      <c r="AX199" s="27">
        <v>0</v>
      </c>
      <c r="AY199" s="51">
        <v>2235724.96</v>
      </c>
      <c r="BA199" s="30">
        <v>0</v>
      </c>
      <c r="BB199" s="27">
        <v>0</v>
      </c>
      <c r="BC199" s="27">
        <v>0</v>
      </c>
      <c r="BD199" s="51">
        <v>2235724.96</v>
      </c>
      <c r="BF199" s="30">
        <v>0</v>
      </c>
      <c r="BG199" s="27">
        <v>0</v>
      </c>
      <c r="BH199" s="27">
        <v>0</v>
      </c>
      <c r="BI199" s="51">
        <v>2235724.96</v>
      </c>
      <c r="BK199" s="30">
        <v>0</v>
      </c>
      <c r="BL199" s="27">
        <v>0</v>
      </c>
      <c r="BM199" s="27">
        <v>0</v>
      </c>
      <c r="BN199" s="51">
        <v>2235724.96</v>
      </c>
      <c r="BP199" s="30">
        <v>2235724.96</v>
      </c>
      <c r="BQ199" s="20">
        <v>464997614.03693402</v>
      </c>
      <c r="BR199" s="51">
        <v>0</v>
      </c>
      <c r="BT199" s="30">
        <v>0</v>
      </c>
      <c r="BU199" s="51">
        <v>0</v>
      </c>
      <c r="BW199" s="221">
        <v>0</v>
      </c>
      <c r="BX199" s="222">
        <v>0</v>
      </c>
    </row>
    <row r="200" spans="6:76" x14ac:dyDescent="0.2">
      <c r="F200" s="151">
        <v>196</v>
      </c>
      <c r="G200" s="30">
        <v>2538655.5499999998</v>
      </c>
      <c r="H200" s="28">
        <v>0</v>
      </c>
      <c r="I200" s="28">
        <v>0</v>
      </c>
      <c r="J200" s="28">
        <v>0</v>
      </c>
      <c r="K200" s="28">
        <v>0</v>
      </c>
      <c r="L200" s="28">
        <v>0</v>
      </c>
      <c r="M200" s="27">
        <v>0</v>
      </c>
      <c r="N200" s="27">
        <v>180300</v>
      </c>
      <c r="O200" s="51">
        <v>2718955.55</v>
      </c>
      <c r="P200" s="5"/>
      <c r="Q200" s="30">
        <v>15000</v>
      </c>
      <c r="R200" s="27">
        <v>15000</v>
      </c>
      <c r="S200" s="27">
        <v>0</v>
      </c>
      <c r="T200" s="51">
        <v>2703955.55</v>
      </c>
      <c r="U200" s="5"/>
      <c r="V200" s="30">
        <v>0</v>
      </c>
      <c r="W200" s="51">
        <v>2523655.5499999998</v>
      </c>
      <c r="Y200" s="30">
        <v>0</v>
      </c>
      <c r="Z200" s="27">
        <v>0</v>
      </c>
      <c r="AA200" s="27">
        <v>0</v>
      </c>
      <c r="AB200" s="51">
        <v>1489144.0520426529</v>
      </c>
      <c r="AD200" s="30">
        <v>1203673565.4306233</v>
      </c>
      <c r="AE200" s="27">
        <v>132872.22168079135</v>
      </c>
      <c r="AF200" s="27">
        <v>1203540693.2089424</v>
      </c>
      <c r="AG200" s="51">
        <v>1356271.8303618615</v>
      </c>
      <c r="AI200" s="30">
        <v>0</v>
      </c>
      <c r="AJ200" s="51">
        <v>2523655.5499999998</v>
      </c>
      <c r="AL200" s="43">
        <v>180000</v>
      </c>
      <c r="AM200" s="52">
        <v>-300</v>
      </c>
      <c r="AN200" s="53">
        <v>180000</v>
      </c>
      <c r="AO200" s="54">
        <v>2523955.5499999998</v>
      </c>
      <c r="AQ200" s="30">
        <v>0</v>
      </c>
      <c r="AR200" s="27">
        <v>0</v>
      </c>
      <c r="AS200" s="27">
        <v>0</v>
      </c>
      <c r="AT200" s="51">
        <v>2523955.5499999998</v>
      </c>
      <c r="AV200" s="30">
        <v>0</v>
      </c>
      <c r="AW200" s="27">
        <v>0</v>
      </c>
      <c r="AX200" s="27">
        <v>0</v>
      </c>
      <c r="AY200" s="51">
        <v>2523955.5499999998</v>
      </c>
      <c r="BA200" s="30">
        <v>0</v>
      </c>
      <c r="BB200" s="27">
        <v>0</v>
      </c>
      <c r="BC200" s="27">
        <v>0</v>
      </c>
      <c r="BD200" s="51">
        <v>2523955.5499999998</v>
      </c>
      <c r="BF200" s="30">
        <v>0</v>
      </c>
      <c r="BG200" s="27">
        <v>0</v>
      </c>
      <c r="BH200" s="27">
        <v>0</v>
      </c>
      <c r="BI200" s="51">
        <v>2523955.5499999998</v>
      </c>
      <c r="BK200" s="30">
        <v>0</v>
      </c>
      <c r="BL200" s="27">
        <v>0</v>
      </c>
      <c r="BM200" s="27">
        <v>0</v>
      </c>
      <c r="BN200" s="51">
        <v>2523955.5499999998</v>
      </c>
      <c r="BP200" s="30">
        <v>2523955.5499999998</v>
      </c>
      <c r="BQ200" s="20">
        <v>467521569.58693403</v>
      </c>
      <c r="BR200" s="51">
        <v>0</v>
      </c>
      <c r="BT200" s="30">
        <v>0</v>
      </c>
      <c r="BU200" s="51">
        <v>0</v>
      </c>
      <c r="BW200" s="221">
        <v>0</v>
      </c>
      <c r="BX200" s="222">
        <v>0</v>
      </c>
    </row>
    <row r="201" spans="6:76" x14ac:dyDescent="0.2">
      <c r="F201" s="151">
        <v>197</v>
      </c>
      <c r="G201" s="30">
        <v>2899601.93</v>
      </c>
      <c r="H201" s="28">
        <v>0</v>
      </c>
      <c r="I201" s="28">
        <v>0</v>
      </c>
      <c r="J201" s="28">
        <v>0</v>
      </c>
      <c r="K201" s="28">
        <v>0</v>
      </c>
      <c r="L201" s="28">
        <v>0</v>
      </c>
      <c r="M201" s="27">
        <v>0</v>
      </c>
      <c r="N201" s="27">
        <v>180300</v>
      </c>
      <c r="O201" s="51">
        <v>3079901.93</v>
      </c>
      <c r="P201" s="5"/>
      <c r="Q201" s="30">
        <v>15000</v>
      </c>
      <c r="R201" s="27">
        <v>15000</v>
      </c>
      <c r="S201" s="27">
        <v>0</v>
      </c>
      <c r="T201" s="51">
        <v>3064901.93</v>
      </c>
      <c r="U201" s="5"/>
      <c r="V201" s="30">
        <v>0</v>
      </c>
      <c r="W201" s="51">
        <v>2884601.93</v>
      </c>
      <c r="Y201" s="30">
        <v>0</v>
      </c>
      <c r="Z201" s="27">
        <v>0</v>
      </c>
      <c r="AA201" s="27">
        <v>0</v>
      </c>
      <c r="AB201" s="51">
        <v>1450818.1428701412</v>
      </c>
      <c r="AD201" s="30">
        <v>1237497707.0740454</v>
      </c>
      <c r="AE201" s="27">
        <v>132872.22168079135</v>
      </c>
      <c r="AF201" s="27">
        <v>1237364834.8523645</v>
      </c>
      <c r="AG201" s="51">
        <v>1317945.9211893498</v>
      </c>
      <c r="AI201" s="30">
        <v>0</v>
      </c>
      <c r="AJ201" s="51">
        <v>2884601.93</v>
      </c>
      <c r="AL201" s="43">
        <v>180000</v>
      </c>
      <c r="AM201" s="52">
        <v>-300</v>
      </c>
      <c r="AN201" s="53">
        <v>180000</v>
      </c>
      <c r="AO201" s="54">
        <v>2884901.93</v>
      </c>
      <c r="AQ201" s="30">
        <v>0</v>
      </c>
      <c r="AR201" s="27">
        <v>0</v>
      </c>
      <c r="AS201" s="27">
        <v>0</v>
      </c>
      <c r="AT201" s="51">
        <v>2884901.93</v>
      </c>
      <c r="AV201" s="30">
        <v>0</v>
      </c>
      <c r="AW201" s="27">
        <v>0</v>
      </c>
      <c r="AX201" s="27">
        <v>0</v>
      </c>
      <c r="AY201" s="51">
        <v>2884901.93</v>
      </c>
      <c r="BA201" s="30">
        <v>0</v>
      </c>
      <c r="BB201" s="27">
        <v>0</v>
      </c>
      <c r="BC201" s="27">
        <v>0</v>
      </c>
      <c r="BD201" s="51">
        <v>2884901.93</v>
      </c>
      <c r="BF201" s="30">
        <v>0</v>
      </c>
      <c r="BG201" s="27">
        <v>0</v>
      </c>
      <c r="BH201" s="27">
        <v>0</v>
      </c>
      <c r="BI201" s="51">
        <v>2884901.93</v>
      </c>
      <c r="BK201" s="30">
        <v>0</v>
      </c>
      <c r="BL201" s="27">
        <v>0</v>
      </c>
      <c r="BM201" s="27">
        <v>0</v>
      </c>
      <c r="BN201" s="51">
        <v>2884901.93</v>
      </c>
      <c r="BP201" s="30">
        <v>2884901.93</v>
      </c>
      <c r="BQ201" s="20">
        <v>470406471.51693404</v>
      </c>
      <c r="BR201" s="51">
        <v>0</v>
      </c>
      <c r="BT201" s="30">
        <v>0</v>
      </c>
      <c r="BU201" s="51">
        <v>0</v>
      </c>
      <c r="BW201" s="221">
        <v>0</v>
      </c>
      <c r="BX201" s="222">
        <v>0</v>
      </c>
    </row>
    <row r="202" spans="6:76" x14ac:dyDescent="0.2">
      <c r="F202" s="151">
        <v>198</v>
      </c>
      <c r="G202" s="30">
        <v>1847555.01</v>
      </c>
      <c r="H202" s="28">
        <v>0</v>
      </c>
      <c r="I202" s="28">
        <v>0</v>
      </c>
      <c r="J202" s="28">
        <v>0</v>
      </c>
      <c r="K202" s="28">
        <v>0</v>
      </c>
      <c r="L202" s="28">
        <v>0</v>
      </c>
      <c r="M202" s="27">
        <v>0</v>
      </c>
      <c r="N202" s="27">
        <v>180300</v>
      </c>
      <c r="O202" s="51">
        <v>2027855.01</v>
      </c>
      <c r="P202" s="5"/>
      <c r="Q202" s="30">
        <v>15000</v>
      </c>
      <c r="R202" s="27">
        <v>15000</v>
      </c>
      <c r="S202" s="27">
        <v>0</v>
      </c>
      <c r="T202" s="51">
        <v>2012855.01</v>
      </c>
      <c r="U202" s="5"/>
      <c r="V202" s="30">
        <v>0</v>
      </c>
      <c r="W202" s="51">
        <v>1832555.01</v>
      </c>
      <c r="Y202" s="30">
        <v>0</v>
      </c>
      <c r="Z202" s="27">
        <v>0</v>
      </c>
      <c r="AA202" s="27">
        <v>0</v>
      </c>
      <c r="AB202" s="51">
        <v>893059.65701509896</v>
      </c>
      <c r="AD202" s="30">
        <v>1272276171.9516065</v>
      </c>
      <c r="AE202" s="27">
        <v>132872.22168079135</v>
      </c>
      <c r="AF202" s="27">
        <v>1272143299.7299256</v>
      </c>
      <c r="AG202" s="51">
        <v>760187.43533430761</v>
      </c>
      <c r="AI202" s="30">
        <v>0</v>
      </c>
      <c r="AJ202" s="51">
        <v>1832555.01</v>
      </c>
      <c r="AL202" s="43">
        <v>180000</v>
      </c>
      <c r="AM202" s="52">
        <v>-300</v>
      </c>
      <c r="AN202" s="53">
        <v>180000</v>
      </c>
      <c r="AO202" s="54">
        <v>1832855.01</v>
      </c>
      <c r="AQ202" s="30">
        <v>0</v>
      </c>
      <c r="AR202" s="27">
        <v>0</v>
      </c>
      <c r="AS202" s="27">
        <v>0</v>
      </c>
      <c r="AT202" s="51">
        <v>1832855.01</v>
      </c>
      <c r="AV202" s="30">
        <v>0</v>
      </c>
      <c r="AW202" s="27">
        <v>0</v>
      </c>
      <c r="AX202" s="27">
        <v>0</v>
      </c>
      <c r="AY202" s="51">
        <v>1832855.01</v>
      </c>
      <c r="BA202" s="30">
        <v>0</v>
      </c>
      <c r="BB202" s="27">
        <v>0</v>
      </c>
      <c r="BC202" s="27">
        <v>0</v>
      </c>
      <c r="BD202" s="51">
        <v>1832855.01</v>
      </c>
      <c r="BF202" s="30">
        <v>0</v>
      </c>
      <c r="BG202" s="27">
        <v>0</v>
      </c>
      <c r="BH202" s="27">
        <v>0</v>
      </c>
      <c r="BI202" s="51">
        <v>1832855.01</v>
      </c>
      <c r="BK202" s="30">
        <v>0</v>
      </c>
      <c r="BL202" s="27">
        <v>0</v>
      </c>
      <c r="BM202" s="27">
        <v>0</v>
      </c>
      <c r="BN202" s="51">
        <v>1832855.01</v>
      </c>
      <c r="BP202" s="30">
        <v>1832855.01</v>
      </c>
      <c r="BQ202" s="20">
        <v>472239326.52693403</v>
      </c>
      <c r="BR202" s="51">
        <v>0</v>
      </c>
      <c r="BT202" s="30">
        <v>0</v>
      </c>
      <c r="BU202" s="51">
        <v>0</v>
      </c>
      <c r="BW202" s="221">
        <v>0</v>
      </c>
      <c r="BX202" s="222">
        <v>0</v>
      </c>
    </row>
    <row r="203" spans="6:76" x14ac:dyDescent="0.2">
      <c r="F203" s="151">
        <v>199</v>
      </c>
      <c r="G203" s="30">
        <v>1797477.69</v>
      </c>
      <c r="H203" s="28">
        <v>0</v>
      </c>
      <c r="I203" s="28">
        <v>0</v>
      </c>
      <c r="J203" s="28">
        <v>0</v>
      </c>
      <c r="K203" s="28">
        <v>0</v>
      </c>
      <c r="L203" s="28">
        <v>0</v>
      </c>
      <c r="M203" s="27">
        <v>0</v>
      </c>
      <c r="N203" s="27">
        <v>180300</v>
      </c>
      <c r="O203" s="51">
        <v>1977777.69</v>
      </c>
      <c r="P203" s="5"/>
      <c r="Q203" s="30">
        <v>15000</v>
      </c>
      <c r="R203" s="27">
        <v>15000</v>
      </c>
      <c r="S203" s="27">
        <v>0</v>
      </c>
      <c r="T203" s="51">
        <v>1962777.69</v>
      </c>
      <c r="U203" s="5"/>
      <c r="V203" s="30">
        <v>0</v>
      </c>
      <c r="W203" s="51">
        <v>1782477.69</v>
      </c>
      <c r="Y203" s="30">
        <v>0</v>
      </c>
      <c r="Z203" s="27">
        <v>0</v>
      </c>
      <c r="AA203" s="27">
        <v>0</v>
      </c>
      <c r="AB203" s="51">
        <v>1064140.0202256828</v>
      </c>
      <c r="AD203" s="30">
        <v>1308035885.5901923</v>
      </c>
      <c r="AE203" s="27">
        <v>132872.22168079135</v>
      </c>
      <c r="AF203" s="27">
        <v>1307903013.3685114</v>
      </c>
      <c r="AG203" s="51">
        <v>931267.79854489141</v>
      </c>
      <c r="AI203" s="30">
        <v>0</v>
      </c>
      <c r="AJ203" s="51">
        <v>1782477.69</v>
      </c>
      <c r="AL203" s="43">
        <v>180000</v>
      </c>
      <c r="AM203" s="52">
        <v>-300</v>
      </c>
      <c r="AN203" s="53">
        <v>180000</v>
      </c>
      <c r="AO203" s="54">
        <v>1782777.69</v>
      </c>
      <c r="AQ203" s="30">
        <v>0</v>
      </c>
      <c r="AR203" s="27">
        <v>0</v>
      </c>
      <c r="AS203" s="27">
        <v>0</v>
      </c>
      <c r="AT203" s="51">
        <v>1782777.69</v>
      </c>
      <c r="AV203" s="30">
        <v>0</v>
      </c>
      <c r="AW203" s="27">
        <v>0</v>
      </c>
      <c r="AX203" s="27">
        <v>0</v>
      </c>
      <c r="AY203" s="51">
        <v>1782777.69</v>
      </c>
      <c r="BA203" s="30">
        <v>0</v>
      </c>
      <c r="BB203" s="27">
        <v>0</v>
      </c>
      <c r="BC203" s="27">
        <v>0</v>
      </c>
      <c r="BD203" s="51">
        <v>1782777.69</v>
      </c>
      <c r="BF203" s="30">
        <v>0</v>
      </c>
      <c r="BG203" s="27">
        <v>0</v>
      </c>
      <c r="BH203" s="27">
        <v>0</v>
      </c>
      <c r="BI203" s="51">
        <v>1782777.69</v>
      </c>
      <c r="BK203" s="30">
        <v>0</v>
      </c>
      <c r="BL203" s="27">
        <v>0</v>
      </c>
      <c r="BM203" s="27">
        <v>0</v>
      </c>
      <c r="BN203" s="51">
        <v>1782777.69</v>
      </c>
      <c r="BP203" s="30">
        <v>1782777.69</v>
      </c>
      <c r="BQ203" s="20">
        <v>474022104.21693403</v>
      </c>
      <c r="BR203" s="51">
        <v>0</v>
      </c>
      <c r="BT203" s="30">
        <v>0</v>
      </c>
      <c r="BU203" s="51">
        <v>0</v>
      </c>
      <c r="BW203" s="221">
        <v>0</v>
      </c>
      <c r="BX203" s="222">
        <v>0</v>
      </c>
    </row>
    <row r="204" spans="6:76" x14ac:dyDescent="0.2">
      <c r="F204" s="151">
        <v>200</v>
      </c>
      <c r="G204" s="30">
        <v>2392225.17</v>
      </c>
      <c r="H204" s="28">
        <v>0</v>
      </c>
      <c r="I204" s="28">
        <v>0</v>
      </c>
      <c r="J204" s="28">
        <v>0</v>
      </c>
      <c r="K204" s="28">
        <v>0</v>
      </c>
      <c r="L204" s="28">
        <v>0</v>
      </c>
      <c r="M204" s="27">
        <v>0</v>
      </c>
      <c r="N204" s="27">
        <v>180300</v>
      </c>
      <c r="O204" s="51">
        <v>2572525.17</v>
      </c>
      <c r="P204" s="5"/>
      <c r="Q204" s="30">
        <v>15000</v>
      </c>
      <c r="R204" s="27">
        <v>15000</v>
      </c>
      <c r="S204" s="27">
        <v>0</v>
      </c>
      <c r="T204" s="51">
        <v>2557525.17</v>
      </c>
      <c r="U204" s="5"/>
      <c r="V204" s="30">
        <v>0</v>
      </c>
      <c r="W204" s="51">
        <v>2377225.17</v>
      </c>
      <c r="Y204" s="30">
        <v>0</v>
      </c>
      <c r="Z204" s="27">
        <v>0</v>
      </c>
      <c r="AA204" s="27">
        <v>0</v>
      </c>
      <c r="AB204" s="51">
        <v>1331702.22017847</v>
      </c>
      <c r="AD204" s="30">
        <v>1344804533.2005911</v>
      </c>
      <c r="AE204" s="27">
        <v>132872.22168079135</v>
      </c>
      <c r="AF204" s="27">
        <v>1344671660.9789102</v>
      </c>
      <c r="AG204" s="51">
        <v>1198829.9984976787</v>
      </c>
      <c r="AI204" s="30">
        <v>0</v>
      </c>
      <c r="AJ204" s="51">
        <v>2377225.17</v>
      </c>
      <c r="AL204" s="43">
        <v>180000</v>
      </c>
      <c r="AM204" s="52">
        <v>-300</v>
      </c>
      <c r="AN204" s="53">
        <v>180000</v>
      </c>
      <c r="AO204" s="54">
        <v>2377525.17</v>
      </c>
      <c r="AQ204" s="30">
        <v>0</v>
      </c>
      <c r="AR204" s="27">
        <v>0</v>
      </c>
      <c r="AS204" s="27">
        <v>0</v>
      </c>
      <c r="AT204" s="51">
        <v>2377525.17</v>
      </c>
      <c r="AV204" s="30">
        <v>0</v>
      </c>
      <c r="AW204" s="27">
        <v>0</v>
      </c>
      <c r="AX204" s="27">
        <v>0</v>
      </c>
      <c r="AY204" s="51">
        <v>2377525.17</v>
      </c>
      <c r="BA204" s="30">
        <v>0</v>
      </c>
      <c r="BB204" s="27">
        <v>0</v>
      </c>
      <c r="BC204" s="27">
        <v>0</v>
      </c>
      <c r="BD204" s="51">
        <v>2377525.17</v>
      </c>
      <c r="BF204" s="30">
        <v>0</v>
      </c>
      <c r="BG204" s="27">
        <v>0</v>
      </c>
      <c r="BH204" s="27">
        <v>0</v>
      </c>
      <c r="BI204" s="51">
        <v>2377525.17</v>
      </c>
      <c r="BK204" s="30">
        <v>0</v>
      </c>
      <c r="BL204" s="27">
        <v>0</v>
      </c>
      <c r="BM204" s="27">
        <v>0</v>
      </c>
      <c r="BN204" s="51">
        <v>2377525.17</v>
      </c>
      <c r="BP204" s="30">
        <v>2377525.17</v>
      </c>
      <c r="BQ204" s="20">
        <v>476399629.38693404</v>
      </c>
      <c r="BR204" s="51">
        <v>0</v>
      </c>
      <c r="BT204" s="30">
        <v>0</v>
      </c>
      <c r="BU204" s="51">
        <v>0</v>
      </c>
      <c r="BW204" s="221">
        <v>0</v>
      </c>
      <c r="BX204" s="222">
        <v>0</v>
      </c>
    </row>
    <row r="205" spans="6:76" x14ac:dyDescent="0.2">
      <c r="F205" s="151">
        <v>201</v>
      </c>
      <c r="G205" s="30">
        <v>2930489.2</v>
      </c>
      <c r="H205" s="28">
        <v>0</v>
      </c>
      <c r="I205" s="28">
        <v>0</v>
      </c>
      <c r="J205" s="28">
        <v>0</v>
      </c>
      <c r="K205" s="28">
        <v>0</v>
      </c>
      <c r="L205" s="28">
        <v>0</v>
      </c>
      <c r="M205" s="27">
        <v>0</v>
      </c>
      <c r="N205" s="27">
        <v>180300</v>
      </c>
      <c r="O205" s="51">
        <v>3110789.2</v>
      </c>
      <c r="P205" s="5"/>
      <c r="Q205" s="30">
        <v>15000</v>
      </c>
      <c r="R205" s="27">
        <v>15000</v>
      </c>
      <c r="S205" s="27">
        <v>0</v>
      </c>
      <c r="T205" s="51">
        <v>3095789.2</v>
      </c>
      <c r="U205" s="5"/>
      <c r="V205" s="30">
        <v>0</v>
      </c>
      <c r="W205" s="51">
        <v>2915489.2</v>
      </c>
      <c r="Y205" s="30">
        <v>0</v>
      </c>
      <c r="Z205" s="27">
        <v>0</v>
      </c>
      <c r="AA205" s="27">
        <v>0</v>
      </c>
      <c r="AB205" s="51">
        <v>1388031.6111255651</v>
      </c>
      <c r="AD205" s="30">
        <v>1382610581.1114137</v>
      </c>
      <c r="AE205" s="27">
        <v>132872.22168079135</v>
      </c>
      <c r="AF205" s="27">
        <v>1382477708.8897328</v>
      </c>
      <c r="AG205" s="51">
        <v>1255159.3894447738</v>
      </c>
      <c r="AI205" s="30">
        <v>0</v>
      </c>
      <c r="AJ205" s="51">
        <v>2915489.2</v>
      </c>
      <c r="AL205" s="43">
        <v>180000</v>
      </c>
      <c r="AM205" s="52">
        <v>-300</v>
      </c>
      <c r="AN205" s="53">
        <v>180000</v>
      </c>
      <c r="AO205" s="54">
        <v>2915789.2</v>
      </c>
      <c r="AQ205" s="30">
        <v>0</v>
      </c>
      <c r="AR205" s="27">
        <v>0</v>
      </c>
      <c r="AS205" s="27">
        <v>0</v>
      </c>
      <c r="AT205" s="51">
        <v>2915789.2</v>
      </c>
      <c r="AV205" s="30">
        <v>0</v>
      </c>
      <c r="AW205" s="27">
        <v>0</v>
      </c>
      <c r="AX205" s="27">
        <v>0</v>
      </c>
      <c r="AY205" s="51">
        <v>2915789.2</v>
      </c>
      <c r="BA205" s="30">
        <v>0</v>
      </c>
      <c r="BB205" s="27">
        <v>0</v>
      </c>
      <c r="BC205" s="27">
        <v>0</v>
      </c>
      <c r="BD205" s="51">
        <v>2915789.2</v>
      </c>
      <c r="BF205" s="30">
        <v>0</v>
      </c>
      <c r="BG205" s="27">
        <v>0</v>
      </c>
      <c r="BH205" s="27">
        <v>0</v>
      </c>
      <c r="BI205" s="51">
        <v>2915789.2</v>
      </c>
      <c r="BK205" s="30">
        <v>0</v>
      </c>
      <c r="BL205" s="27">
        <v>0</v>
      </c>
      <c r="BM205" s="27">
        <v>0</v>
      </c>
      <c r="BN205" s="51">
        <v>2915789.2</v>
      </c>
      <c r="BP205" s="30">
        <v>2915789.2</v>
      </c>
      <c r="BQ205" s="20">
        <v>479315418.58693403</v>
      </c>
      <c r="BR205" s="51">
        <v>0</v>
      </c>
      <c r="BT205" s="30">
        <v>0</v>
      </c>
      <c r="BU205" s="51">
        <v>0</v>
      </c>
      <c r="BW205" s="221">
        <v>0</v>
      </c>
      <c r="BX205" s="222">
        <v>0</v>
      </c>
    </row>
    <row r="206" spans="6:76" x14ac:dyDescent="0.2">
      <c r="F206" s="151">
        <v>202</v>
      </c>
      <c r="G206" s="30">
        <v>1435482.65</v>
      </c>
      <c r="H206" s="28">
        <v>0</v>
      </c>
      <c r="I206" s="28">
        <v>0</v>
      </c>
      <c r="J206" s="28">
        <v>0</v>
      </c>
      <c r="K206" s="28">
        <v>0</v>
      </c>
      <c r="L206" s="28">
        <v>0</v>
      </c>
      <c r="M206" s="27">
        <v>0</v>
      </c>
      <c r="N206" s="27">
        <v>180300</v>
      </c>
      <c r="O206" s="51">
        <v>1615782.65</v>
      </c>
      <c r="P206" s="5"/>
      <c r="Q206" s="30">
        <v>15000</v>
      </c>
      <c r="R206" s="27">
        <v>15000</v>
      </c>
      <c r="S206" s="27">
        <v>0</v>
      </c>
      <c r="T206" s="51">
        <v>1600782.65</v>
      </c>
      <c r="U206" s="5"/>
      <c r="V206" s="30">
        <v>0</v>
      </c>
      <c r="W206" s="51">
        <v>1420482.65</v>
      </c>
      <c r="Y206" s="30">
        <v>0</v>
      </c>
      <c r="Z206" s="27">
        <v>0</v>
      </c>
      <c r="AA206" s="27">
        <v>0</v>
      </c>
      <c r="AB206" s="51">
        <v>832818.96667533927</v>
      </c>
      <c r="AD206" s="30">
        <v>1421483298.8077586</v>
      </c>
      <c r="AE206" s="27">
        <v>132872.22168079135</v>
      </c>
      <c r="AF206" s="27">
        <v>1421350426.5860777</v>
      </c>
      <c r="AG206" s="51">
        <v>699946.74499454792</v>
      </c>
      <c r="AI206" s="30">
        <v>0</v>
      </c>
      <c r="AJ206" s="51">
        <v>1420482.65</v>
      </c>
      <c r="AL206" s="43">
        <v>180000</v>
      </c>
      <c r="AM206" s="52">
        <v>-300</v>
      </c>
      <c r="AN206" s="53">
        <v>180000</v>
      </c>
      <c r="AO206" s="54">
        <v>1420782.65</v>
      </c>
      <c r="AQ206" s="30">
        <v>0</v>
      </c>
      <c r="AR206" s="27">
        <v>0</v>
      </c>
      <c r="AS206" s="27">
        <v>0</v>
      </c>
      <c r="AT206" s="51">
        <v>1420782.65</v>
      </c>
      <c r="AV206" s="30">
        <v>0</v>
      </c>
      <c r="AW206" s="27">
        <v>0</v>
      </c>
      <c r="AX206" s="27">
        <v>0</v>
      </c>
      <c r="AY206" s="51">
        <v>1420782.65</v>
      </c>
      <c r="BA206" s="30">
        <v>0</v>
      </c>
      <c r="BB206" s="27">
        <v>0</v>
      </c>
      <c r="BC206" s="27">
        <v>0</v>
      </c>
      <c r="BD206" s="51">
        <v>1420782.65</v>
      </c>
      <c r="BF206" s="30">
        <v>0</v>
      </c>
      <c r="BG206" s="27">
        <v>0</v>
      </c>
      <c r="BH206" s="27">
        <v>0</v>
      </c>
      <c r="BI206" s="51">
        <v>1420782.65</v>
      </c>
      <c r="BK206" s="30">
        <v>0</v>
      </c>
      <c r="BL206" s="27">
        <v>0</v>
      </c>
      <c r="BM206" s="27">
        <v>0</v>
      </c>
      <c r="BN206" s="51">
        <v>1420782.65</v>
      </c>
      <c r="BP206" s="30">
        <v>1420782.65</v>
      </c>
      <c r="BQ206" s="20">
        <v>480736201.23693401</v>
      </c>
      <c r="BR206" s="51">
        <v>0</v>
      </c>
      <c r="BT206" s="30">
        <v>0</v>
      </c>
      <c r="BU206" s="51">
        <v>0</v>
      </c>
      <c r="BW206" s="221">
        <v>0</v>
      </c>
      <c r="BX206" s="222">
        <v>0</v>
      </c>
    </row>
    <row r="207" spans="6:76" x14ac:dyDescent="0.2">
      <c r="F207" s="151">
        <v>203</v>
      </c>
      <c r="G207" s="30">
        <v>1924310.3</v>
      </c>
      <c r="H207" s="28">
        <v>0</v>
      </c>
      <c r="I207" s="28">
        <v>0</v>
      </c>
      <c r="J207" s="28">
        <v>0</v>
      </c>
      <c r="K207" s="28">
        <v>0</v>
      </c>
      <c r="L207" s="28">
        <v>0</v>
      </c>
      <c r="M207" s="27">
        <v>0</v>
      </c>
      <c r="N207" s="27">
        <v>180300</v>
      </c>
      <c r="O207" s="51">
        <v>2104610.2999999998</v>
      </c>
      <c r="P207" s="5"/>
      <c r="Q207" s="30">
        <v>15000</v>
      </c>
      <c r="R207" s="27">
        <v>15000</v>
      </c>
      <c r="S207" s="27">
        <v>0</v>
      </c>
      <c r="T207" s="51">
        <v>2089610.2999999998</v>
      </c>
      <c r="U207" s="5"/>
      <c r="V207" s="30">
        <v>0</v>
      </c>
      <c r="W207" s="51">
        <v>1909310.2999999998</v>
      </c>
      <c r="Y207" s="30">
        <v>0</v>
      </c>
      <c r="Z207" s="27">
        <v>0</v>
      </c>
      <c r="AA207" s="27">
        <v>0</v>
      </c>
      <c r="AB207" s="51">
        <v>1555179.1551379766</v>
      </c>
      <c r="AD207" s="30">
        <v>1461452781.5916798</v>
      </c>
      <c r="AE207" s="27">
        <v>132872.22168079135</v>
      </c>
      <c r="AF207" s="27">
        <v>1461319909.3699989</v>
      </c>
      <c r="AG207" s="51">
        <v>1422306.9334571853</v>
      </c>
      <c r="AI207" s="30">
        <v>0</v>
      </c>
      <c r="AJ207" s="51">
        <v>1909310.2999999998</v>
      </c>
      <c r="AL207" s="43">
        <v>180000</v>
      </c>
      <c r="AM207" s="52">
        <v>-300</v>
      </c>
      <c r="AN207" s="53">
        <v>180000</v>
      </c>
      <c r="AO207" s="54">
        <v>1909610.2999999998</v>
      </c>
      <c r="AQ207" s="30">
        <v>0</v>
      </c>
      <c r="AR207" s="27">
        <v>0</v>
      </c>
      <c r="AS207" s="27">
        <v>0</v>
      </c>
      <c r="AT207" s="51">
        <v>1909610.2999999998</v>
      </c>
      <c r="AV207" s="30">
        <v>0</v>
      </c>
      <c r="AW207" s="27">
        <v>0</v>
      </c>
      <c r="AX207" s="27">
        <v>0</v>
      </c>
      <c r="AY207" s="51">
        <v>1909610.2999999998</v>
      </c>
      <c r="BA207" s="30">
        <v>0</v>
      </c>
      <c r="BB207" s="27">
        <v>0</v>
      </c>
      <c r="BC207" s="27">
        <v>0</v>
      </c>
      <c r="BD207" s="51">
        <v>1909610.2999999998</v>
      </c>
      <c r="BF207" s="30">
        <v>0</v>
      </c>
      <c r="BG207" s="27">
        <v>0</v>
      </c>
      <c r="BH207" s="27">
        <v>0</v>
      </c>
      <c r="BI207" s="51">
        <v>1909610.2999999998</v>
      </c>
      <c r="BK207" s="30">
        <v>0</v>
      </c>
      <c r="BL207" s="27">
        <v>0</v>
      </c>
      <c r="BM207" s="27">
        <v>0</v>
      </c>
      <c r="BN207" s="51">
        <v>1909610.2999999998</v>
      </c>
      <c r="BP207" s="30">
        <v>1909610.2999999998</v>
      </c>
      <c r="BQ207" s="20">
        <v>482645811.53693402</v>
      </c>
      <c r="BR207" s="51">
        <v>0</v>
      </c>
      <c r="BT207" s="30">
        <v>0</v>
      </c>
      <c r="BU207" s="51">
        <v>0</v>
      </c>
      <c r="BW207" s="221">
        <v>0</v>
      </c>
      <c r="BX207" s="222">
        <v>0</v>
      </c>
    </row>
    <row r="208" spans="6:76" x14ac:dyDescent="0.2">
      <c r="F208" s="151">
        <v>204</v>
      </c>
      <c r="G208" s="30">
        <v>25152019.059999999</v>
      </c>
      <c r="H208" s="28">
        <v>0</v>
      </c>
      <c r="I208" s="28">
        <v>0</v>
      </c>
      <c r="J208" s="28">
        <v>0</v>
      </c>
      <c r="K208" s="28">
        <v>0</v>
      </c>
      <c r="L208" s="28">
        <v>0</v>
      </c>
      <c r="M208" s="27">
        <v>0</v>
      </c>
      <c r="N208" s="27">
        <v>180300</v>
      </c>
      <c r="O208" s="51">
        <v>25332319.059999999</v>
      </c>
      <c r="P208" s="5"/>
      <c r="Q208" s="30">
        <v>11666.666666666666</v>
      </c>
      <c r="R208" s="27">
        <v>11666.666666666666</v>
      </c>
      <c r="S208" s="27">
        <v>0</v>
      </c>
      <c r="T208" s="51">
        <v>25320652.393333331</v>
      </c>
      <c r="U208" s="5"/>
      <c r="V208" s="30">
        <v>0</v>
      </c>
      <c r="W208" s="51">
        <v>25140352.393333331</v>
      </c>
      <c r="Y208" s="30">
        <v>0</v>
      </c>
      <c r="Z208" s="27">
        <v>0</v>
      </c>
      <c r="AA208" s="27">
        <v>0</v>
      </c>
      <c r="AB208" s="51">
        <v>10261313.607865255</v>
      </c>
      <c r="AD208" s="30">
        <v>1502549973.882004</v>
      </c>
      <c r="AE208" s="27">
        <v>132872.22168079135</v>
      </c>
      <c r="AF208" s="27">
        <v>1502417101.6603231</v>
      </c>
      <c r="AG208" s="51">
        <v>10128441.386184463</v>
      </c>
      <c r="AI208" s="30">
        <v>0</v>
      </c>
      <c r="AJ208" s="51">
        <v>25140352.393333331</v>
      </c>
      <c r="AL208" s="43">
        <v>140000</v>
      </c>
      <c r="AM208" s="52">
        <v>-40300</v>
      </c>
      <c r="AN208" s="53">
        <v>140000</v>
      </c>
      <c r="AO208" s="54">
        <v>25180652.393333331</v>
      </c>
      <c r="AQ208" s="30">
        <v>0</v>
      </c>
      <c r="AR208" s="27">
        <v>0</v>
      </c>
      <c r="AS208" s="27">
        <v>0</v>
      </c>
      <c r="AT208" s="51">
        <v>25180652.393333331</v>
      </c>
      <c r="AV208" s="30">
        <v>0</v>
      </c>
      <c r="AW208" s="27">
        <v>0</v>
      </c>
      <c r="AX208" s="27">
        <v>0</v>
      </c>
      <c r="AY208" s="51">
        <v>25180652.393333331</v>
      </c>
      <c r="BA208" s="30">
        <v>0</v>
      </c>
      <c r="BB208" s="27">
        <v>0</v>
      </c>
      <c r="BC208" s="27">
        <v>0</v>
      </c>
      <c r="BD208" s="51">
        <v>25180652.393333331</v>
      </c>
      <c r="BF208" s="30">
        <v>0</v>
      </c>
      <c r="BG208" s="27">
        <v>0</v>
      </c>
      <c r="BH208" s="27">
        <v>0</v>
      </c>
      <c r="BI208" s="51">
        <v>25180652.393333331</v>
      </c>
      <c r="BK208" s="30">
        <v>0</v>
      </c>
      <c r="BL208" s="27">
        <v>0</v>
      </c>
      <c r="BM208" s="27">
        <v>0</v>
      </c>
      <c r="BN208" s="51">
        <v>25180652.393333331</v>
      </c>
      <c r="BP208" s="30">
        <v>25180652.393333331</v>
      </c>
      <c r="BQ208" s="20">
        <v>507826463.93026733</v>
      </c>
      <c r="BR208" s="51">
        <v>0</v>
      </c>
      <c r="BT208" s="30">
        <v>0</v>
      </c>
      <c r="BU208" s="51">
        <v>0</v>
      </c>
      <c r="BW208" s="221">
        <v>0</v>
      </c>
      <c r="BX208" s="222">
        <v>0</v>
      </c>
    </row>
    <row r="209" spans="6:76" x14ac:dyDescent="0.2">
      <c r="F209" s="151">
        <v>205</v>
      </c>
      <c r="G209" s="30">
        <v>2435396.37</v>
      </c>
      <c r="H209" s="28">
        <v>0</v>
      </c>
      <c r="I209" s="28">
        <v>0</v>
      </c>
      <c r="J209" s="28">
        <v>0</v>
      </c>
      <c r="K209" s="28">
        <v>0</v>
      </c>
      <c r="L209" s="28">
        <v>0</v>
      </c>
      <c r="M209" s="27">
        <v>0</v>
      </c>
      <c r="N209" s="27">
        <v>140233.33333333334</v>
      </c>
      <c r="O209" s="51">
        <v>2575629.7033333336</v>
      </c>
      <c r="P209" s="5"/>
      <c r="Q209" s="30">
        <v>11666.666666666666</v>
      </c>
      <c r="R209" s="27">
        <v>11666.666666666666</v>
      </c>
      <c r="S209" s="27">
        <v>0</v>
      </c>
      <c r="T209" s="51">
        <v>2563963.0366666671</v>
      </c>
      <c r="U209" s="5"/>
      <c r="V209" s="30">
        <v>0</v>
      </c>
      <c r="W209" s="51">
        <v>2423729.7033333336</v>
      </c>
      <c r="Y209" s="30">
        <v>0</v>
      </c>
      <c r="Z209" s="27">
        <v>0</v>
      </c>
      <c r="AA209" s="27">
        <v>0</v>
      </c>
      <c r="AB209" s="51">
        <v>1539462.6837080903</v>
      </c>
      <c r="AD209" s="30">
        <v>1544806693.1715348</v>
      </c>
      <c r="AE209" s="27">
        <v>132872.22168079135</v>
      </c>
      <c r="AF209" s="27">
        <v>1544673820.9498539</v>
      </c>
      <c r="AG209" s="51">
        <v>1406590.462027299</v>
      </c>
      <c r="AI209" s="30">
        <v>0</v>
      </c>
      <c r="AJ209" s="51">
        <v>2423729.7033333336</v>
      </c>
      <c r="AL209" s="43">
        <v>140000</v>
      </c>
      <c r="AM209" s="52">
        <v>-233.33333333334303</v>
      </c>
      <c r="AN209" s="53">
        <v>140000</v>
      </c>
      <c r="AO209" s="54">
        <v>2423963.0366666671</v>
      </c>
      <c r="AQ209" s="30">
        <v>0</v>
      </c>
      <c r="AR209" s="27">
        <v>0</v>
      </c>
      <c r="AS209" s="27">
        <v>0</v>
      </c>
      <c r="AT209" s="51">
        <v>2423963.0366666671</v>
      </c>
      <c r="AV209" s="30">
        <v>0</v>
      </c>
      <c r="AW209" s="27">
        <v>0</v>
      </c>
      <c r="AX209" s="27">
        <v>0</v>
      </c>
      <c r="AY209" s="51">
        <v>2423963.0366666671</v>
      </c>
      <c r="BA209" s="30">
        <v>0</v>
      </c>
      <c r="BB209" s="27">
        <v>0</v>
      </c>
      <c r="BC209" s="27">
        <v>0</v>
      </c>
      <c r="BD209" s="51">
        <v>2423963.0366666671</v>
      </c>
      <c r="BF209" s="30">
        <v>0</v>
      </c>
      <c r="BG209" s="27">
        <v>0</v>
      </c>
      <c r="BH209" s="27">
        <v>0</v>
      </c>
      <c r="BI209" s="51">
        <v>2423963.0366666671</v>
      </c>
      <c r="BK209" s="30">
        <v>0</v>
      </c>
      <c r="BL209" s="27">
        <v>0</v>
      </c>
      <c r="BM209" s="27">
        <v>0</v>
      </c>
      <c r="BN209" s="51">
        <v>2423963.0366666671</v>
      </c>
      <c r="BP209" s="30">
        <v>2423963.0366666671</v>
      </c>
      <c r="BQ209" s="20">
        <v>510250426.96693403</v>
      </c>
      <c r="BR209" s="51">
        <v>0</v>
      </c>
      <c r="BT209" s="30">
        <v>0</v>
      </c>
      <c r="BU209" s="51">
        <v>0</v>
      </c>
      <c r="BW209" s="221">
        <v>0</v>
      </c>
      <c r="BX209" s="222">
        <v>0</v>
      </c>
    </row>
    <row r="210" spans="6:76" x14ac:dyDescent="0.2">
      <c r="F210" s="151">
        <v>206</v>
      </c>
      <c r="G210" s="30">
        <v>1978509.05</v>
      </c>
      <c r="H210" s="28">
        <v>0</v>
      </c>
      <c r="I210" s="28">
        <v>0</v>
      </c>
      <c r="J210" s="28">
        <v>0</v>
      </c>
      <c r="K210" s="28">
        <v>0</v>
      </c>
      <c r="L210" s="28">
        <v>0</v>
      </c>
      <c r="M210" s="27">
        <v>0</v>
      </c>
      <c r="N210" s="27">
        <v>140233.33333333334</v>
      </c>
      <c r="O210" s="51">
        <v>2118742.3833333333</v>
      </c>
      <c r="P210" s="5"/>
      <c r="Q210" s="30">
        <v>11666.666666666666</v>
      </c>
      <c r="R210" s="27">
        <v>11666.666666666666</v>
      </c>
      <c r="S210" s="27">
        <v>0</v>
      </c>
      <c r="T210" s="51">
        <v>2107075.7166666668</v>
      </c>
      <c r="U210" s="5"/>
      <c r="V210" s="30">
        <v>0</v>
      </c>
      <c r="W210" s="51">
        <v>1966842.3833333335</v>
      </c>
      <c r="Y210" s="30">
        <v>0</v>
      </c>
      <c r="Z210" s="27">
        <v>0</v>
      </c>
      <c r="AA210" s="27">
        <v>0</v>
      </c>
      <c r="AB210" s="51">
        <v>1649762.0734240599</v>
      </c>
      <c r="AD210" s="30">
        <v>1588255654.6601908</v>
      </c>
      <c r="AE210" s="27">
        <v>132872.22168079135</v>
      </c>
      <c r="AF210" s="27">
        <v>1588122782.4385099</v>
      </c>
      <c r="AG210" s="51">
        <v>1516889.8517432685</v>
      </c>
      <c r="AI210" s="30">
        <v>0</v>
      </c>
      <c r="AJ210" s="51">
        <v>1966842.3833333335</v>
      </c>
      <c r="AL210" s="43">
        <v>140000</v>
      </c>
      <c r="AM210" s="52">
        <v>-233.33333333334303</v>
      </c>
      <c r="AN210" s="53">
        <v>140000</v>
      </c>
      <c r="AO210" s="54">
        <v>1967075.7166666668</v>
      </c>
      <c r="AQ210" s="30">
        <v>0</v>
      </c>
      <c r="AR210" s="27">
        <v>0</v>
      </c>
      <c r="AS210" s="27">
        <v>0</v>
      </c>
      <c r="AT210" s="51">
        <v>1967075.7166666668</v>
      </c>
      <c r="AV210" s="30">
        <v>0</v>
      </c>
      <c r="AW210" s="27">
        <v>0</v>
      </c>
      <c r="AX210" s="27">
        <v>0</v>
      </c>
      <c r="AY210" s="51">
        <v>1967075.7166666668</v>
      </c>
      <c r="BA210" s="30">
        <v>0</v>
      </c>
      <c r="BB210" s="27">
        <v>0</v>
      </c>
      <c r="BC210" s="27">
        <v>0</v>
      </c>
      <c r="BD210" s="51">
        <v>1967075.7166666668</v>
      </c>
      <c r="BF210" s="30">
        <v>0</v>
      </c>
      <c r="BG210" s="27">
        <v>0</v>
      </c>
      <c r="BH210" s="27">
        <v>0</v>
      </c>
      <c r="BI210" s="51">
        <v>1967075.7166666668</v>
      </c>
      <c r="BK210" s="30">
        <v>0</v>
      </c>
      <c r="BL210" s="27">
        <v>0</v>
      </c>
      <c r="BM210" s="27">
        <v>0</v>
      </c>
      <c r="BN210" s="51">
        <v>1967075.7166666668</v>
      </c>
      <c r="BP210" s="30">
        <v>1967075.7166666668</v>
      </c>
      <c r="BQ210" s="20">
        <v>512217502.68360066</v>
      </c>
      <c r="BR210" s="51">
        <v>0</v>
      </c>
      <c r="BT210" s="30">
        <v>0</v>
      </c>
      <c r="BU210" s="51">
        <v>0</v>
      </c>
      <c r="BW210" s="221">
        <v>0</v>
      </c>
      <c r="BX210" s="222">
        <v>0</v>
      </c>
    </row>
    <row r="211" spans="6:76" x14ac:dyDescent="0.2">
      <c r="F211" s="151">
        <v>207</v>
      </c>
      <c r="G211" s="30">
        <v>1978509.05</v>
      </c>
      <c r="H211" s="28">
        <v>0</v>
      </c>
      <c r="I211" s="28">
        <v>0</v>
      </c>
      <c r="J211" s="28">
        <v>0</v>
      </c>
      <c r="K211" s="28">
        <v>0</v>
      </c>
      <c r="L211" s="28">
        <v>0</v>
      </c>
      <c r="M211" s="27">
        <v>0</v>
      </c>
      <c r="N211" s="27">
        <v>140233.33333333334</v>
      </c>
      <c r="O211" s="51">
        <v>2118742.3833333333</v>
      </c>
      <c r="P211" s="5"/>
      <c r="Q211" s="30">
        <v>11666.666666666666</v>
      </c>
      <c r="R211" s="27">
        <v>11666.666666666666</v>
      </c>
      <c r="S211" s="27">
        <v>0</v>
      </c>
      <c r="T211" s="51">
        <v>2107075.7166666668</v>
      </c>
      <c r="U211" s="5"/>
      <c r="V211" s="30">
        <v>0</v>
      </c>
      <c r="W211" s="51">
        <v>1966842.3833333335</v>
      </c>
      <c r="Y211" s="30">
        <v>0</v>
      </c>
      <c r="Z211" s="27">
        <v>0</v>
      </c>
      <c r="AA211" s="27">
        <v>0</v>
      </c>
      <c r="AB211" s="51">
        <v>659904.82936962391</v>
      </c>
      <c r="AD211" s="30">
        <v>1632930496.5831518</v>
      </c>
      <c r="AE211" s="27">
        <v>132872.22168079135</v>
      </c>
      <c r="AF211" s="27">
        <v>1632797624.3614709</v>
      </c>
      <c r="AG211" s="51">
        <v>527032.60768883256</v>
      </c>
      <c r="AI211" s="30">
        <v>0</v>
      </c>
      <c r="AJ211" s="51">
        <v>1966842.3833333335</v>
      </c>
      <c r="AL211" s="43">
        <v>140000</v>
      </c>
      <c r="AM211" s="52">
        <v>-233.33333333334303</v>
      </c>
      <c r="AN211" s="53">
        <v>140000</v>
      </c>
      <c r="AO211" s="54">
        <v>1967075.7166666668</v>
      </c>
      <c r="AQ211" s="30">
        <v>0</v>
      </c>
      <c r="AR211" s="27">
        <v>0</v>
      </c>
      <c r="AS211" s="27">
        <v>0</v>
      </c>
      <c r="AT211" s="51">
        <v>1967075.7166666668</v>
      </c>
      <c r="AV211" s="30">
        <v>0</v>
      </c>
      <c r="AW211" s="27">
        <v>0</v>
      </c>
      <c r="AX211" s="27">
        <v>0</v>
      </c>
      <c r="AY211" s="51">
        <v>1967075.7166666668</v>
      </c>
      <c r="BA211" s="30">
        <v>0</v>
      </c>
      <c r="BB211" s="27">
        <v>0</v>
      </c>
      <c r="BC211" s="27">
        <v>0</v>
      </c>
      <c r="BD211" s="51">
        <v>1967075.7166666668</v>
      </c>
      <c r="BF211" s="30">
        <v>0</v>
      </c>
      <c r="BG211" s="27">
        <v>0</v>
      </c>
      <c r="BH211" s="27">
        <v>0</v>
      </c>
      <c r="BI211" s="51">
        <v>1967075.7166666668</v>
      </c>
      <c r="BK211" s="30">
        <v>0</v>
      </c>
      <c r="BL211" s="27">
        <v>0</v>
      </c>
      <c r="BM211" s="27">
        <v>0</v>
      </c>
      <c r="BN211" s="51">
        <v>1967075.7166666668</v>
      </c>
      <c r="BP211" s="30">
        <v>1967075.7166666668</v>
      </c>
      <c r="BQ211" s="20">
        <v>514184578.4002673</v>
      </c>
      <c r="BR211" s="51">
        <v>0</v>
      </c>
      <c r="BT211" s="30">
        <v>0</v>
      </c>
      <c r="BU211" s="51">
        <v>0</v>
      </c>
      <c r="BW211" s="221">
        <v>0</v>
      </c>
      <c r="BX211" s="222">
        <v>0</v>
      </c>
    </row>
    <row r="212" spans="6:76" x14ac:dyDescent="0.2">
      <c r="F212" s="151">
        <v>208</v>
      </c>
      <c r="G212" s="30">
        <v>1648757.55</v>
      </c>
      <c r="H212" s="28">
        <v>0</v>
      </c>
      <c r="I212" s="28">
        <v>0</v>
      </c>
      <c r="J212" s="28">
        <v>0</v>
      </c>
      <c r="K212" s="28">
        <v>0</v>
      </c>
      <c r="L212" s="28">
        <v>0</v>
      </c>
      <c r="M212" s="27">
        <v>0</v>
      </c>
      <c r="N212" s="27">
        <v>140233.33333333334</v>
      </c>
      <c r="O212" s="51">
        <v>1788990.8833333333</v>
      </c>
      <c r="P212" s="5"/>
      <c r="Q212" s="30">
        <v>11666.666666666666</v>
      </c>
      <c r="R212" s="27">
        <v>11666.666666666666</v>
      </c>
      <c r="S212" s="27">
        <v>0</v>
      </c>
      <c r="T212" s="51">
        <v>1777324.2166666666</v>
      </c>
      <c r="U212" s="5"/>
      <c r="V212" s="30">
        <v>0</v>
      </c>
      <c r="W212" s="51">
        <v>1637090.8833333333</v>
      </c>
      <c r="Y212" s="30">
        <v>0</v>
      </c>
      <c r="Z212" s="27">
        <v>0</v>
      </c>
      <c r="AA212" s="27">
        <v>0</v>
      </c>
      <c r="AB212" s="51">
        <v>1133688.7011505761</v>
      </c>
      <c r="AD212" s="30">
        <v>1678865806.2536175</v>
      </c>
      <c r="AE212" s="27">
        <v>132872.22168079135</v>
      </c>
      <c r="AF212" s="27">
        <v>1678732934.0319366</v>
      </c>
      <c r="AG212" s="51">
        <v>1000816.4794697848</v>
      </c>
      <c r="AI212" s="30">
        <v>0</v>
      </c>
      <c r="AJ212" s="51">
        <v>1637090.8833333333</v>
      </c>
      <c r="AL212" s="43">
        <v>140000</v>
      </c>
      <c r="AM212" s="52">
        <v>-233.33333333334303</v>
      </c>
      <c r="AN212" s="53">
        <v>140000</v>
      </c>
      <c r="AO212" s="54">
        <v>1637324.2166666666</v>
      </c>
      <c r="AQ212" s="30">
        <v>0</v>
      </c>
      <c r="AR212" s="27">
        <v>0</v>
      </c>
      <c r="AS212" s="27">
        <v>0</v>
      </c>
      <c r="AT212" s="51">
        <v>1637324.2166666666</v>
      </c>
      <c r="AV212" s="30">
        <v>0</v>
      </c>
      <c r="AW212" s="27">
        <v>0</v>
      </c>
      <c r="AX212" s="27">
        <v>0</v>
      </c>
      <c r="AY212" s="51">
        <v>1637324.2166666666</v>
      </c>
      <c r="BA212" s="30">
        <v>0</v>
      </c>
      <c r="BB212" s="27">
        <v>0</v>
      </c>
      <c r="BC212" s="27">
        <v>0</v>
      </c>
      <c r="BD212" s="51">
        <v>1637324.2166666666</v>
      </c>
      <c r="BF212" s="30">
        <v>0</v>
      </c>
      <c r="BG212" s="27">
        <v>0</v>
      </c>
      <c r="BH212" s="27">
        <v>0</v>
      </c>
      <c r="BI212" s="51">
        <v>1637324.2166666666</v>
      </c>
      <c r="BK212" s="30">
        <v>0</v>
      </c>
      <c r="BL212" s="27">
        <v>0</v>
      </c>
      <c r="BM212" s="27">
        <v>0</v>
      </c>
      <c r="BN212" s="51">
        <v>1637324.2166666666</v>
      </c>
      <c r="BP212" s="30">
        <v>1637324.2166666666</v>
      </c>
      <c r="BQ212" s="20">
        <v>515821902.61693394</v>
      </c>
      <c r="BR212" s="51">
        <v>0</v>
      </c>
      <c r="BT212" s="30">
        <v>0</v>
      </c>
      <c r="BU212" s="51">
        <v>0</v>
      </c>
      <c r="BW212" s="221">
        <v>0</v>
      </c>
      <c r="BX212" s="222">
        <v>0</v>
      </c>
    </row>
    <row r="213" spans="6:76" x14ac:dyDescent="0.2">
      <c r="F213" s="151">
        <v>209</v>
      </c>
      <c r="G213" s="30">
        <v>1422266.52</v>
      </c>
      <c r="H213" s="28">
        <v>0</v>
      </c>
      <c r="I213" s="28">
        <v>0</v>
      </c>
      <c r="J213" s="28">
        <v>0</v>
      </c>
      <c r="K213" s="28">
        <v>0</v>
      </c>
      <c r="L213" s="28">
        <v>0</v>
      </c>
      <c r="M213" s="27">
        <v>0</v>
      </c>
      <c r="N213" s="27">
        <v>140233.33333333334</v>
      </c>
      <c r="O213" s="51">
        <v>1562499.8533333333</v>
      </c>
      <c r="P213" s="5"/>
      <c r="Q213" s="30">
        <v>11666.666666666666</v>
      </c>
      <c r="R213" s="27">
        <v>11666.666666666666</v>
      </c>
      <c r="S213" s="27">
        <v>0</v>
      </c>
      <c r="T213" s="51">
        <v>1550833.1866666665</v>
      </c>
      <c r="U213" s="5"/>
      <c r="V213" s="30">
        <v>0</v>
      </c>
      <c r="W213" s="51">
        <v>1410599.8533333333</v>
      </c>
      <c r="Y213" s="30">
        <v>0</v>
      </c>
      <c r="Z213" s="27">
        <v>0</v>
      </c>
      <c r="AA213" s="27">
        <v>0</v>
      </c>
      <c r="AB213" s="51">
        <v>857911.82863909565</v>
      </c>
      <c r="AD213" s="30">
        <v>1726097146.8403449</v>
      </c>
      <c r="AE213" s="27">
        <v>132872.22168079135</v>
      </c>
      <c r="AF213" s="27">
        <v>1725964274.618664</v>
      </c>
      <c r="AG213" s="51">
        <v>725039.6069583043</v>
      </c>
      <c r="AI213" s="30">
        <v>0</v>
      </c>
      <c r="AJ213" s="51">
        <v>1410599.8533333333</v>
      </c>
      <c r="AL213" s="43">
        <v>140000</v>
      </c>
      <c r="AM213" s="52">
        <v>-233.33333333334303</v>
      </c>
      <c r="AN213" s="53">
        <v>140000</v>
      </c>
      <c r="AO213" s="54">
        <v>1410833.1866666665</v>
      </c>
      <c r="AQ213" s="30">
        <v>0</v>
      </c>
      <c r="AR213" s="27">
        <v>0</v>
      </c>
      <c r="AS213" s="27">
        <v>0</v>
      </c>
      <c r="AT213" s="51">
        <v>1410833.1866666665</v>
      </c>
      <c r="AV213" s="30">
        <v>0</v>
      </c>
      <c r="AW213" s="27">
        <v>0</v>
      </c>
      <c r="AX213" s="27">
        <v>0</v>
      </c>
      <c r="AY213" s="51">
        <v>1410833.1866666665</v>
      </c>
      <c r="BA213" s="30">
        <v>0</v>
      </c>
      <c r="BB213" s="27">
        <v>0</v>
      </c>
      <c r="BC213" s="27">
        <v>0</v>
      </c>
      <c r="BD213" s="51">
        <v>1410833.1866666665</v>
      </c>
      <c r="BF213" s="30">
        <v>0</v>
      </c>
      <c r="BG213" s="27">
        <v>0</v>
      </c>
      <c r="BH213" s="27">
        <v>0</v>
      </c>
      <c r="BI213" s="51">
        <v>1410833.1866666665</v>
      </c>
      <c r="BK213" s="30">
        <v>0</v>
      </c>
      <c r="BL213" s="27">
        <v>0</v>
      </c>
      <c r="BM213" s="27">
        <v>0</v>
      </c>
      <c r="BN213" s="51">
        <v>1410833.1866666665</v>
      </c>
      <c r="BP213" s="30">
        <v>1410833.1866666665</v>
      </c>
      <c r="BQ213" s="20">
        <v>517232735.80360061</v>
      </c>
      <c r="BR213" s="51">
        <v>0</v>
      </c>
      <c r="BT213" s="30">
        <v>0</v>
      </c>
      <c r="BU213" s="51">
        <v>0</v>
      </c>
      <c r="BW213" s="221">
        <v>0</v>
      </c>
      <c r="BX213" s="222">
        <v>0</v>
      </c>
    </row>
    <row r="214" spans="6:76" x14ac:dyDescent="0.2">
      <c r="F214" s="151">
        <v>210</v>
      </c>
      <c r="G214" s="30">
        <v>1596355.2</v>
      </c>
      <c r="H214" s="28">
        <v>0</v>
      </c>
      <c r="I214" s="28">
        <v>0</v>
      </c>
      <c r="J214" s="28">
        <v>0</v>
      </c>
      <c r="K214" s="28">
        <v>0</v>
      </c>
      <c r="L214" s="28">
        <v>0</v>
      </c>
      <c r="M214" s="27">
        <v>0</v>
      </c>
      <c r="N214" s="27">
        <v>140233.33333333334</v>
      </c>
      <c r="O214" s="51">
        <v>1736588.5333333332</v>
      </c>
      <c r="P214" s="5"/>
      <c r="Q214" s="30">
        <v>11666.666666666666</v>
      </c>
      <c r="R214" s="27">
        <v>11666.666666666666</v>
      </c>
      <c r="S214" s="27">
        <v>0</v>
      </c>
      <c r="T214" s="51">
        <v>1724921.8666666665</v>
      </c>
      <c r="U214" s="5"/>
      <c r="V214" s="30">
        <v>0</v>
      </c>
      <c r="W214" s="51">
        <v>1584688.5333333332</v>
      </c>
      <c r="Y214" s="30">
        <v>0</v>
      </c>
      <c r="Z214" s="27">
        <v>0</v>
      </c>
      <c r="AA214" s="27">
        <v>0</v>
      </c>
      <c r="AB214" s="51">
        <v>1124361.1559397946</v>
      </c>
      <c r="AD214" s="30">
        <v>1774661084.9006937</v>
      </c>
      <c r="AE214" s="27">
        <v>132872.22168079135</v>
      </c>
      <c r="AF214" s="27">
        <v>1774528212.6790128</v>
      </c>
      <c r="AG214" s="51">
        <v>991488.93425900326</v>
      </c>
      <c r="AI214" s="30">
        <v>0</v>
      </c>
      <c r="AJ214" s="51">
        <v>1584688.5333333332</v>
      </c>
      <c r="AL214" s="43">
        <v>140000</v>
      </c>
      <c r="AM214" s="52">
        <v>-233.33333333334303</v>
      </c>
      <c r="AN214" s="53">
        <v>140000</v>
      </c>
      <c r="AO214" s="54">
        <v>1584921.8666666665</v>
      </c>
      <c r="AQ214" s="30">
        <v>0</v>
      </c>
      <c r="AR214" s="27">
        <v>0</v>
      </c>
      <c r="AS214" s="27">
        <v>0</v>
      </c>
      <c r="AT214" s="51">
        <v>1584921.8666666665</v>
      </c>
      <c r="AV214" s="30">
        <v>0</v>
      </c>
      <c r="AW214" s="27">
        <v>0</v>
      </c>
      <c r="AX214" s="27">
        <v>0</v>
      </c>
      <c r="AY214" s="51">
        <v>1584921.8666666665</v>
      </c>
      <c r="BA214" s="30">
        <v>0</v>
      </c>
      <c r="BB214" s="27">
        <v>0</v>
      </c>
      <c r="BC214" s="27">
        <v>0</v>
      </c>
      <c r="BD214" s="51">
        <v>1584921.8666666665</v>
      </c>
      <c r="BF214" s="30">
        <v>0</v>
      </c>
      <c r="BG214" s="27">
        <v>0</v>
      </c>
      <c r="BH214" s="27">
        <v>0</v>
      </c>
      <c r="BI214" s="51">
        <v>1584921.8666666665</v>
      </c>
      <c r="BK214" s="30">
        <v>0</v>
      </c>
      <c r="BL214" s="27">
        <v>0</v>
      </c>
      <c r="BM214" s="27">
        <v>0</v>
      </c>
      <c r="BN214" s="51">
        <v>1584921.8666666665</v>
      </c>
      <c r="BP214" s="30">
        <v>1584921.8666666665</v>
      </c>
      <c r="BQ214" s="20">
        <v>518817657.67026728</v>
      </c>
      <c r="BR214" s="51">
        <v>0</v>
      </c>
      <c r="BT214" s="30">
        <v>0</v>
      </c>
      <c r="BU214" s="51">
        <v>0</v>
      </c>
      <c r="BW214" s="221">
        <v>0</v>
      </c>
      <c r="BX214" s="222">
        <v>0</v>
      </c>
    </row>
    <row r="215" spans="6:76" x14ac:dyDescent="0.2">
      <c r="F215" s="151">
        <v>211</v>
      </c>
      <c r="G215" s="30">
        <v>1720283.72</v>
      </c>
      <c r="H215" s="28">
        <v>0</v>
      </c>
      <c r="I215" s="28">
        <v>0</v>
      </c>
      <c r="J215" s="28">
        <v>0</v>
      </c>
      <c r="K215" s="28">
        <v>0</v>
      </c>
      <c r="L215" s="28">
        <v>0</v>
      </c>
      <c r="M215" s="27">
        <v>0</v>
      </c>
      <c r="N215" s="27">
        <v>140233.33333333334</v>
      </c>
      <c r="O215" s="51">
        <v>1860517.0533333332</v>
      </c>
      <c r="P215" s="5"/>
      <c r="Q215" s="30">
        <v>11666.666666666666</v>
      </c>
      <c r="R215" s="27">
        <v>11666.666666666666</v>
      </c>
      <c r="S215" s="27">
        <v>0</v>
      </c>
      <c r="T215" s="51">
        <v>1848850.3866666665</v>
      </c>
      <c r="U215" s="5"/>
      <c r="V215" s="30">
        <v>0</v>
      </c>
      <c r="W215" s="51">
        <v>1708617.0533333332</v>
      </c>
      <c r="Y215" s="30">
        <v>0</v>
      </c>
      <c r="Z215" s="27">
        <v>0</v>
      </c>
      <c r="AA215" s="27">
        <v>0</v>
      </c>
      <c r="AB215" s="51">
        <v>1477468.5161297633</v>
      </c>
      <c r="AD215" s="30">
        <v>1824595218.6904967</v>
      </c>
      <c r="AE215" s="27">
        <v>132872.22168079135</v>
      </c>
      <c r="AF215" s="27">
        <v>1824462346.4688158</v>
      </c>
      <c r="AG215" s="51">
        <v>1344596.294448972</v>
      </c>
      <c r="AI215" s="30">
        <v>0</v>
      </c>
      <c r="AJ215" s="51">
        <v>1708617.0533333332</v>
      </c>
      <c r="AL215" s="43">
        <v>140000</v>
      </c>
      <c r="AM215" s="52">
        <v>-233.33333333334303</v>
      </c>
      <c r="AN215" s="53">
        <v>140000</v>
      </c>
      <c r="AO215" s="54">
        <v>1708850.3866666665</v>
      </c>
      <c r="AQ215" s="30">
        <v>0</v>
      </c>
      <c r="AR215" s="27">
        <v>0</v>
      </c>
      <c r="AS215" s="27">
        <v>0</v>
      </c>
      <c r="AT215" s="51">
        <v>1708850.3866666665</v>
      </c>
      <c r="AV215" s="30">
        <v>0</v>
      </c>
      <c r="AW215" s="27">
        <v>0</v>
      </c>
      <c r="AX215" s="27">
        <v>0</v>
      </c>
      <c r="AY215" s="51">
        <v>1708850.3866666665</v>
      </c>
      <c r="BA215" s="30">
        <v>0</v>
      </c>
      <c r="BB215" s="27">
        <v>0</v>
      </c>
      <c r="BC215" s="27">
        <v>0</v>
      </c>
      <c r="BD215" s="51">
        <v>1708850.3866666665</v>
      </c>
      <c r="BF215" s="30">
        <v>0</v>
      </c>
      <c r="BG215" s="27">
        <v>0</v>
      </c>
      <c r="BH215" s="27">
        <v>0</v>
      </c>
      <c r="BI215" s="51">
        <v>1708850.3866666665</v>
      </c>
      <c r="BK215" s="30">
        <v>0</v>
      </c>
      <c r="BL215" s="27">
        <v>0</v>
      </c>
      <c r="BM215" s="27">
        <v>0</v>
      </c>
      <c r="BN215" s="51">
        <v>1708850.3866666665</v>
      </c>
      <c r="BP215" s="30">
        <v>1708850.3866666665</v>
      </c>
      <c r="BQ215" s="20">
        <v>520526508.05693394</v>
      </c>
      <c r="BR215" s="51">
        <v>0</v>
      </c>
      <c r="BT215" s="30">
        <v>0</v>
      </c>
      <c r="BU215" s="51">
        <v>0</v>
      </c>
      <c r="BW215" s="221">
        <v>0</v>
      </c>
      <c r="BX215" s="222">
        <v>0</v>
      </c>
    </row>
    <row r="216" spans="6:76" x14ac:dyDescent="0.2">
      <c r="F216" s="151">
        <v>212</v>
      </c>
      <c r="G216" s="30">
        <v>3324735.43</v>
      </c>
      <c r="H216" s="28">
        <v>0</v>
      </c>
      <c r="I216" s="28">
        <v>0</v>
      </c>
      <c r="J216" s="28">
        <v>0</v>
      </c>
      <c r="K216" s="28">
        <v>0</v>
      </c>
      <c r="L216" s="28">
        <v>0</v>
      </c>
      <c r="M216" s="27">
        <v>0</v>
      </c>
      <c r="N216" s="27">
        <v>140233.33333333334</v>
      </c>
      <c r="O216" s="51">
        <v>3464968.7633333337</v>
      </c>
      <c r="P216" s="5"/>
      <c r="Q216" s="30">
        <v>11666.666666666666</v>
      </c>
      <c r="R216" s="27">
        <v>11666.666666666666</v>
      </c>
      <c r="S216" s="27">
        <v>0</v>
      </c>
      <c r="T216" s="51">
        <v>3453302.0966666671</v>
      </c>
      <c r="U216" s="5"/>
      <c r="V216" s="30">
        <v>0</v>
      </c>
      <c r="W216" s="51">
        <v>3313068.7633333337</v>
      </c>
      <c r="Y216" s="30">
        <v>0</v>
      </c>
      <c r="Z216" s="27">
        <v>0</v>
      </c>
      <c r="AA216" s="27">
        <v>0</v>
      </c>
      <c r="AB216" s="51">
        <v>2244528.3566481438</v>
      </c>
      <c r="AD216" s="30">
        <v>1875938207.2726719</v>
      </c>
      <c r="AE216" s="27">
        <v>132872.22168079135</v>
      </c>
      <c r="AF216" s="27">
        <v>1875805335.0509911</v>
      </c>
      <c r="AG216" s="51">
        <v>2111656.1349673523</v>
      </c>
      <c r="AI216" s="30">
        <v>0</v>
      </c>
      <c r="AJ216" s="51">
        <v>3313068.7633333337</v>
      </c>
      <c r="AL216" s="43">
        <v>140000</v>
      </c>
      <c r="AM216" s="52">
        <v>-233.33333333334303</v>
      </c>
      <c r="AN216" s="53">
        <v>140000</v>
      </c>
      <c r="AO216" s="54">
        <v>3313302.0966666671</v>
      </c>
      <c r="AQ216" s="30">
        <v>0</v>
      </c>
      <c r="AR216" s="27">
        <v>0</v>
      </c>
      <c r="AS216" s="27">
        <v>0</v>
      </c>
      <c r="AT216" s="51">
        <v>3313302.0966666671</v>
      </c>
      <c r="AV216" s="30">
        <v>0</v>
      </c>
      <c r="AW216" s="27">
        <v>0</v>
      </c>
      <c r="AX216" s="27">
        <v>0</v>
      </c>
      <c r="AY216" s="51">
        <v>3313302.0966666671</v>
      </c>
      <c r="BA216" s="30">
        <v>0</v>
      </c>
      <c r="BB216" s="27">
        <v>0</v>
      </c>
      <c r="BC216" s="27">
        <v>0</v>
      </c>
      <c r="BD216" s="51">
        <v>3313302.0966666671</v>
      </c>
      <c r="BF216" s="30">
        <v>0</v>
      </c>
      <c r="BG216" s="27">
        <v>0</v>
      </c>
      <c r="BH216" s="27">
        <v>0</v>
      </c>
      <c r="BI216" s="51">
        <v>3313302.0966666671</v>
      </c>
      <c r="BK216" s="30">
        <v>0</v>
      </c>
      <c r="BL216" s="27">
        <v>0</v>
      </c>
      <c r="BM216" s="27">
        <v>0</v>
      </c>
      <c r="BN216" s="51">
        <v>3313302.0966666671</v>
      </c>
      <c r="BP216" s="30">
        <v>3313302.0966666671</v>
      </c>
      <c r="BQ216" s="20">
        <v>523839810.15360063</v>
      </c>
      <c r="BR216" s="51">
        <v>0</v>
      </c>
      <c r="BT216" s="30">
        <v>0</v>
      </c>
      <c r="BU216" s="51">
        <v>0</v>
      </c>
      <c r="BW216" s="221">
        <v>0</v>
      </c>
      <c r="BX216" s="222">
        <v>0</v>
      </c>
    </row>
    <row r="217" spans="6:76" x14ac:dyDescent="0.2">
      <c r="F217" s="151">
        <v>213</v>
      </c>
      <c r="G217" s="30">
        <v>2516476.2599999998</v>
      </c>
      <c r="H217" s="28">
        <v>0</v>
      </c>
      <c r="I217" s="28">
        <v>0</v>
      </c>
      <c r="J217" s="28">
        <v>0</v>
      </c>
      <c r="K217" s="28">
        <v>0</v>
      </c>
      <c r="L217" s="28">
        <v>0</v>
      </c>
      <c r="M217" s="27">
        <v>0</v>
      </c>
      <c r="N217" s="27">
        <v>140233.33333333334</v>
      </c>
      <c r="O217" s="51">
        <v>2656709.5933333333</v>
      </c>
      <c r="P217" s="5"/>
      <c r="Q217" s="30">
        <v>11666.666666666666</v>
      </c>
      <c r="R217" s="27">
        <v>11666.666666666666</v>
      </c>
      <c r="S217" s="27">
        <v>0</v>
      </c>
      <c r="T217" s="51">
        <v>2645042.9266666668</v>
      </c>
      <c r="U217" s="5"/>
      <c r="V217" s="30">
        <v>0</v>
      </c>
      <c r="W217" s="51">
        <v>2504809.5933333333</v>
      </c>
      <c r="Y217" s="30">
        <v>0</v>
      </c>
      <c r="Z217" s="27">
        <v>0</v>
      </c>
      <c r="AA217" s="27">
        <v>0</v>
      </c>
      <c r="AB217" s="51">
        <v>2565021.4355990742</v>
      </c>
      <c r="AD217" s="30">
        <v>1928729800.4471126</v>
      </c>
      <c r="AE217" s="27">
        <v>132872.22168079135</v>
      </c>
      <c r="AF217" s="27">
        <v>1928596928.2254317</v>
      </c>
      <c r="AG217" s="51">
        <v>2432149.2139182827</v>
      </c>
      <c r="AI217" s="30">
        <v>0</v>
      </c>
      <c r="AJ217" s="51">
        <v>2504809.5933333333</v>
      </c>
      <c r="AL217" s="43">
        <v>140000</v>
      </c>
      <c r="AM217" s="52">
        <v>-233.33333333334303</v>
      </c>
      <c r="AN217" s="53">
        <v>140000</v>
      </c>
      <c r="AO217" s="54">
        <v>2505042.9266666668</v>
      </c>
      <c r="AQ217" s="30">
        <v>0</v>
      </c>
      <c r="AR217" s="27">
        <v>0</v>
      </c>
      <c r="AS217" s="27">
        <v>0</v>
      </c>
      <c r="AT217" s="51">
        <v>2505042.9266666668</v>
      </c>
      <c r="AV217" s="30">
        <v>0</v>
      </c>
      <c r="AW217" s="27">
        <v>0</v>
      </c>
      <c r="AX217" s="27">
        <v>0</v>
      </c>
      <c r="AY217" s="51">
        <v>2505042.9266666668</v>
      </c>
      <c r="BA217" s="30">
        <v>0</v>
      </c>
      <c r="BB217" s="27">
        <v>0</v>
      </c>
      <c r="BC217" s="27">
        <v>0</v>
      </c>
      <c r="BD217" s="51">
        <v>2505042.9266666668</v>
      </c>
      <c r="BF217" s="30">
        <v>0</v>
      </c>
      <c r="BG217" s="27">
        <v>0</v>
      </c>
      <c r="BH217" s="27">
        <v>0</v>
      </c>
      <c r="BI217" s="51">
        <v>2505042.9266666668</v>
      </c>
      <c r="BK217" s="30">
        <v>0</v>
      </c>
      <c r="BL217" s="27">
        <v>0</v>
      </c>
      <c r="BM217" s="27">
        <v>0</v>
      </c>
      <c r="BN217" s="51">
        <v>2505042.9266666668</v>
      </c>
      <c r="BP217" s="30">
        <v>2505042.9266666668</v>
      </c>
      <c r="BQ217" s="20">
        <v>526344853.08026731</v>
      </c>
      <c r="BR217" s="51">
        <v>0</v>
      </c>
      <c r="BT217" s="30">
        <v>0</v>
      </c>
      <c r="BU217" s="51">
        <v>0</v>
      </c>
      <c r="BW217" s="221">
        <v>0</v>
      </c>
      <c r="BX217" s="222">
        <v>0</v>
      </c>
    </row>
    <row r="218" spans="6:76" x14ac:dyDescent="0.2">
      <c r="F218" s="151">
        <v>214</v>
      </c>
      <c r="G218" s="30">
        <v>2097063.55</v>
      </c>
      <c r="H218" s="28">
        <v>0</v>
      </c>
      <c r="I218" s="28">
        <v>0</v>
      </c>
      <c r="J218" s="28">
        <v>0</v>
      </c>
      <c r="K218" s="28">
        <v>0</v>
      </c>
      <c r="L218" s="28">
        <v>0</v>
      </c>
      <c r="M218" s="27">
        <v>0</v>
      </c>
      <c r="N218" s="27">
        <v>140233.33333333334</v>
      </c>
      <c r="O218" s="51">
        <v>2237296.8833333333</v>
      </c>
      <c r="P218" s="5"/>
      <c r="Q218" s="30">
        <v>11666.666666666666</v>
      </c>
      <c r="R218" s="27">
        <v>11666.666666666666</v>
      </c>
      <c r="S218" s="27">
        <v>0</v>
      </c>
      <c r="T218" s="51">
        <v>2225630.2166666668</v>
      </c>
      <c r="U218" s="5"/>
      <c r="V218" s="30">
        <v>0</v>
      </c>
      <c r="W218" s="51">
        <v>2085396.8833333335</v>
      </c>
      <c r="Y218" s="30">
        <v>0</v>
      </c>
      <c r="Z218" s="27">
        <v>0</v>
      </c>
      <c r="AA218" s="27">
        <v>0</v>
      </c>
      <c r="AB218" s="51">
        <v>1539012.861359444</v>
      </c>
      <c r="AD218" s="30">
        <v>1983010869.5250273</v>
      </c>
      <c r="AE218" s="27">
        <v>132872.22168079135</v>
      </c>
      <c r="AF218" s="27">
        <v>1982877997.3033464</v>
      </c>
      <c r="AG218" s="51">
        <v>1406140.6396786526</v>
      </c>
      <c r="AI218" s="30">
        <v>0</v>
      </c>
      <c r="AJ218" s="51">
        <v>2085396.8833333335</v>
      </c>
      <c r="AL218" s="43">
        <v>140000</v>
      </c>
      <c r="AM218" s="52">
        <v>-233.33333333334303</v>
      </c>
      <c r="AN218" s="53">
        <v>140000</v>
      </c>
      <c r="AO218" s="54">
        <v>2085630.2166666668</v>
      </c>
      <c r="AQ218" s="30">
        <v>0</v>
      </c>
      <c r="AR218" s="27">
        <v>0</v>
      </c>
      <c r="AS218" s="27">
        <v>0</v>
      </c>
      <c r="AT218" s="51">
        <v>2085630.2166666668</v>
      </c>
      <c r="AV218" s="30">
        <v>0</v>
      </c>
      <c r="AW218" s="27">
        <v>0</v>
      </c>
      <c r="AX218" s="27">
        <v>0</v>
      </c>
      <c r="AY218" s="51">
        <v>2085630.2166666668</v>
      </c>
      <c r="BA218" s="30">
        <v>0</v>
      </c>
      <c r="BB218" s="27">
        <v>0</v>
      </c>
      <c r="BC218" s="27">
        <v>0</v>
      </c>
      <c r="BD218" s="51">
        <v>2085630.2166666668</v>
      </c>
      <c r="BF218" s="30">
        <v>0</v>
      </c>
      <c r="BG218" s="27">
        <v>0</v>
      </c>
      <c r="BH218" s="27">
        <v>0</v>
      </c>
      <c r="BI218" s="51">
        <v>2085630.2166666668</v>
      </c>
      <c r="BK218" s="30">
        <v>0</v>
      </c>
      <c r="BL218" s="27">
        <v>0</v>
      </c>
      <c r="BM218" s="27">
        <v>0</v>
      </c>
      <c r="BN218" s="51">
        <v>2085630.2166666668</v>
      </c>
      <c r="BP218" s="30">
        <v>2085630.2166666668</v>
      </c>
      <c r="BQ218" s="20">
        <v>528430483.29693395</v>
      </c>
      <c r="BR218" s="51">
        <v>0</v>
      </c>
      <c r="BT218" s="30">
        <v>0</v>
      </c>
      <c r="BU218" s="51">
        <v>0</v>
      </c>
      <c r="BW218" s="221">
        <v>0</v>
      </c>
      <c r="BX218" s="222">
        <v>0</v>
      </c>
    </row>
    <row r="219" spans="6:76" x14ac:dyDescent="0.2">
      <c r="F219" s="151">
        <v>215</v>
      </c>
      <c r="G219" s="30">
        <v>2097063.55</v>
      </c>
      <c r="H219" s="28">
        <v>0</v>
      </c>
      <c r="I219" s="28">
        <v>0</v>
      </c>
      <c r="J219" s="28">
        <v>0</v>
      </c>
      <c r="K219" s="28">
        <v>0</v>
      </c>
      <c r="L219" s="28">
        <v>0</v>
      </c>
      <c r="M219" s="27">
        <v>0</v>
      </c>
      <c r="N219" s="27">
        <v>140233.33333333334</v>
      </c>
      <c r="O219" s="51">
        <v>2237296.8833333333</v>
      </c>
      <c r="P219" s="5"/>
      <c r="Q219" s="30">
        <v>11666.666666666666</v>
      </c>
      <c r="R219" s="27">
        <v>11666.666666666666</v>
      </c>
      <c r="S219" s="27">
        <v>0</v>
      </c>
      <c r="T219" s="51">
        <v>2225630.2166666668</v>
      </c>
      <c r="U219" s="5"/>
      <c r="V219" s="30">
        <v>0</v>
      </c>
      <c r="W219" s="51">
        <v>2085396.8833333335</v>
      </c>
      <c r="Y219" s="30">
        <v>0</v>
      </c>
      <c r="Z219" s="27">
        <v>0</v>
      </c>
      <c r="AA219" s="27">
        <v>0</v>
      </c>
      <c r="AB219" s="51">
        <v>1539012.861359444</v>
      </c>
      <c r="AD219" s="30">
        <v>2038823438.9715559</v>
      </c>
      <c r="AE219" s="27">
        <v>132872.22168079135</v>
      </c>
      <c r="AF219" s="27">
        <v>2038690566.7498751</v>
      </c>
      <c r="AG219" s="51">
        <v>1406140.6396786526</v>
      </c>
      <c r="AI219" s="30">
        <v>0</v>
      </c>
      <c r="AJ219" s="51">
        <v>2085396.8833333335</v>
      </c>
      <c r="AL219" s="43">
        <v>140000</v>
      </c>
      <c r="AM219" s="52">
        <v>-233.33333333334303</v>
      </c>
      <c r="AN219" s="53">
        <v>140000</v>
      </c>
      <c r="AO219" s="54">
        <v>2085630.2166666668</v>
      </c>
      <c r="AQ219" s="30">
        <v>0</v>
      </c>
      <c r="AR219" s="27">
        <v>0</v>
      </c>
      <c r="AS219" s="27">
        <v>0</v>
      </c>
      <c r="AT219" s="51">
        <v>2085630.2166666668</v>
      </c>
      <c r="AV219" s="30">
        <v>0</v>
      </c>
      <c r="AW219" s="27">
        <v>0</v>
      </c>
      <c r="AX219" s="27">
        <v>0</v>
      </c>
      <c r="AY219" s="51">
        <v>2085630.2166666668</v>
      </c>
      <c r="BA219" s="30">
        <v>0</v>
      </c>
      <c r="BB219" s="27">
        <v>0</v>
      </c>
      <c r="BC219" s="27">
        <v>0</v>
      </c>
      <c r="BD219" s="51">
        <v>2085630.2166666668</v>
      </c>
      <c r="BF219" s="30">
        <v>0</v>
      </c>
      <c r="BG219" s="27">
        <v>0</v>
      </c>
      <c r="BH219" s="27">
        <v>0</v>
      </c>
      <c r="BI219" s="51">
        <v>2085630.2166666668</v>
      </c>
      <c r="BK219" s="30">
        <v>0</v>
      </c>
      <c r="BL219" s="27">
        <v>0</v>
      </c>
      <c r="BM219" s="27">
        <v>0</v>
      </c>
      <c r="BN219" s="51">
        <v>2085630.2166666668</v>
      </c>
      <c r="BP219" s="30">
        <v>2085630.2166666668</v>
      </c>
      <c r="BQ219" s="20">
        <v>530516113.51360059</v>
      </c>
      <c r="BR219" s="51">
        <v>0</v>
      </c>
      <c r="BT219" s="30">
        <v>0</v>
      </c>
      <c r="BU219" s="51">
        <v>0</v>
      </c>
      <c r="BW219" s="221">
        <v>0</v>
      </c>
      <c r="BX219" s="222">
        <v>0</v>
      </c>
    </row>
    <row r="220" spans="6:76" x14ac:dyDescent="0.2">
      <c r="F220" s="151">
        <v>216</v>
      </c>
      <c r="G220" s="30">
        <v>27492608.800000001</v>
      </c>
      <c r="H220" s="28">
        <v>0</v>
      </c>
      <c r="I220" s="28">
        <v>0</v>
      </c>
      <c r="J220" s="28">
        <v>0</v>
      </c>
      <c r="K220" s="28">
        <v>0</v>
      </c>
      <c r="L220" s="28">
        <v>0</v>
      </c>
      <c r="M220" s="27">
        <v>0</v>
      </c>
      <c r="N220" s="27">
        <v>140233.33333333334</v>
      </c>
      <c r="O220" s="51">
        <v>27632842.133333333</v>
      </c>
      <c r="P220" s="5"/>
      <c r="Q220" s="30">
        <v>8333.3333333333339</v>
      </c>
      <c r="R220" s="27">
        <v>8333.3333333333339</v>
      </c>
      <c r="S220" s="27">
        <v>0</v>
      </c>
      <c r="T220" s="51">
        <v>27624508.800000001</v>
      </c>
      <c r="U220" s="5"/>
      <c r="V220" s="30">
        <v>0</v>
      </c>
      <c r="W220" s="51">
        <v>27484275.466666669</v>
      </c>
      <c r="Y220" s="30">
        <v>0</v>
      </c>
      <c r="Z220" s="27">
        <v>0</v>
      </c>
      <c r="AA220" s="27">
        <v>0</v>
      </c>
      <c r="AB220" s="51">
        <v>10297882.68674474</v>
      </c>
      <c r="AD220" s="30">
        <v>2096210718.9411578</v>
      </c>
      <c r="AE220" s="27">
        <v>132872.22168079135</v>
      </c>
      <c r="AF220" s="27">
        <v>2096077846.7194769</v>
      </c>
      <c r="AG220" s="51">
        <v>10165010.465063948</v>
      </c>
      <c r="AI220" s="30">
        <v>0</v>
      </c>
      <c r="AJ220" s="51">
        <v>27484275.466666669</v>
      </c>
      <c r="AL220" s="43">
        <v>100000</v>
      </c>
      <c r="AM220" s="52">
        <v>-40233.333333333343</v>
      </c>
      <c r="AN220" s="53">
        <v>100000</v>
      </c>
      <c r="AO220" s="54">
        <v>27524508.800000001</v>
      </c>
      <c r="AQ220" s="30">
        <v>0</v>
      </c>
      <c r="AR220" s="27">
        <v>0</v>
      </c>
      <c r="AS220" s="27">
        <v>0</v>
      </c>
      <c r="AT220" s="51">
        <v>27524508.800000001</v>
      </c>
      <c r="AV220" s="30">
        <v>0</v>
      </c>
      <c r="AW220" s="27">
        <v>0</v>
      </c>
      <c r="AX220" s="27">
        <v>0</v>
      </c>
      <c r="AY220" s="51">
        <v>27524508.800000001</v>
      </c>
      <c r="BA220" s="30">
        <v>0</v>
      </c>
      <c r="BB220" s="27">
        <v>0</v>
      </c>
      <c r="BC220" s="27">
        <v>0</v>
      </c>
      <c r="BD220" s="51">
        <v>27524508.800000001</v>
      </c>
      <c r="BF220" s="30">
        <v>0</v>
      </c>
      <c r="BG220" s="27">
        <v>0</v>
      </c>
      <c r="BH220" s="27">
        <v>0</v>
      </c>
      <c r="BI220" s="51">
        <v>27524508.800000001</v>
      </c>
      <c r="BK220" s="30">
        <v>0</v>
      </c>
      <c r="BL220" s="27">
        <v>0</v>
      </c>
      <c r="BM220" s="27">
        <v>0</v>
      </c>
      <c r="BN220" s="51">
        <v>27524508.800000001</v>
      </c>
      <c r="BP220" s="30">
        <v>27524508.800000001</v>
      </c>
      <c r="BQ220" s="20">
        <v>558040622.31360054</v>
      </c>
      <c r="BR220" s="51">
        <v>0</v>
      </c>
      <c r="BT220" s="30">
        <v>0</v>
      </c>
      <c r="BU220" s="51">
        <v>0</v>
      </c>
      <c r="BW220" s="221">
        <v>0</v>
      </c>
      <c r="BX220" s="222">
        <v>0</v>
      </c>
    </row>
    <row r="221" spans="6:76" x14ac:dyDescent="0.2">
      <c r="F221" s="151">
        <v>217</v>
      </c>
      <c r="G221" s="30">
        <v>903296.28</v>
      </c>
      <c r="H221" s="28">
        <v>0</v>
      </c>
      <c r="I221" s="28">
        <v>0</v>
      </c>
      <c r="J221" s="28">
        <v>0</v>
      </c>
      <c r="K221" s="28">
        <v>0</v>
      </c>
      <c r="L221" s="28">
        <v>0</v>
      </c>
      <c r="M221" s="27">
        <v>0</v>
      </c>
      <c r="N221" s="27">
        <v>100166.66666666667</v>
      </c>
      <c r="O221" s="51">
        <v>1003462.9466666667</v>
      </c>
      <c r="P221" s="5"/>
      <c r="Q221" s="30">
        <v>8333.3333333333339</v>
      </c>
      <c r="R221" s="27">
        <v>8333.3333333333339</v>
      </c>
      <c r="S221" s="27">
        <v>0</v>
      </c>
      <c r="T221" s="51">
        <v>995129.61333333328</v>
      </c>
      <c r="U221" s="5"/>
      <c r="V221" s="30">
        <v>0</v>
      </c>
      <c r="W221" s="51">
        <v>894962.94666666666</v>
      </c>
      <c r="Y221" s="30">
        <v>0</v>
      </c>
      <c r="Z221" s="27">
        <v>0</v>
      </c>
      <c r="AA221" s="27">
        <v>0</v>
      </c>
      <c r="AB221" s="51">
        <v>1279751.2681768513</v>
      </c>
      <c r="AD221" s="30">
        <v>2155217138.7309618</v>
      </c>
      <c r="AE221" s="27">
        <v>132872.22168079135</v>
      </c>
      <c r="AF221" s="27">
        <v>2155084266.5092812</v>
      </c>
      <c r="AG221" s="51">
        <v>1146879.04649606</v>
      </c>
      <c r="AI221" s="30">
        <v>0</v>
      </c>
      <c r="AJ221" s="51">
        <v>894962.94666666666</v>
      </c>
      <c r="AL221" s="43">
        <v>100000</v>
      </c>
      <c r="AM221" s="52">
        <v>-166.66666666667152</v>
      </c>
      <c r="AN221" s="53">
        <v>100000</v>
      </c>
      <c r="AO221" s="54">
        <v>895129.61333333328</v>
      </c>
      <c r="AQ221" s="30">
        <v>0</v>
      </c>
      <c r="AR221" s="27">
        <v>0</v>
      </c>
      <c r="AS221" s="27">
        <v>0</v>
      </c>
      <c r="AT221" s="51">
        <v>895129.61333333328</v>
      </c>
      <c r="AV221" s="30">
        <v>0</v>
      </c>
      <c r="AW221" s="27">
        <v>0</v>
      </c>
      <c r="AX221" s="27">
        <v>0</v>
      </c>
      <c r="AY221" s="51">
        <v>895129.61333333328</v>
      </c>
      <c r="BA221" s="30">
        <v>0</v>
      </c>
      <c r="BB221" s="27">
        <v>0</v>
      </c>
      <c r="BC221" s="27">
        <v>0</v>
      </c>
      <c r="BD221" s="51">
        <v>895129.61333333328</v>
      </c>
      <c r="BF221" s="30">
        <v>0</v>
      </c>
      <c r="BG221" s="27">
        <v>0</v>
      </c>
      <c r="BH221" s="27">
        <v>0</v>
      </c>
      <c r="BI221" s="51">
        <v>895129.61333333328</v>
      </c>
      <c r="BK221" s="30">
        <v>0</v>
      </c>
      <c r="BL221" s="27">
        <v>0</v>
      </c>
      <c r="BM221" s="27">
        <v>0</v>
      </c>
      <c r="BN221" s="51">
        <v>895129.61333333328</v>
      </c>
      <c r="BP221" s="30">
        <v>895129.61333333328</v>
      </c>
      <c r="BQ221" s="20">
        <v>558935751.92693388</v>
      </c>
      <c r="BR221" s="51">
        <v>0</v>
      </c>
      <c r="BT221" s="30">
        <v>0</v>
      </c>
      <c r="BU221" s="51">
        <v>0</v>
      </c>
      <c r="BW221" s="221">
        <v>0</v>
      </c>
      <c r="BX221" s="222">
        <v>0</v>
      </c>
    </row>
    <row r="222" spans="6:76" x14ac:dyDescent="0.2">
      <c r="F222" s="151">
        <v>218</v>
      </c>
      <c r="G222" s="30">
        <v>903296.28</v>
      </c>
      <c r="H222" s="28">
        <v>0</v>
      </c>
      <c r="I222" s="28">
        <v>0</v>
      </c>
      <c r="J222" s="28">
        <v>0</v>
      </c>
      <c r="K222" s="28">
        <v>0</v>
      </c>
      <c r="L222" s="28">
        <v>0</v>
      </c>
      <c r="M222" s="27">
        <v>0</v>
      </c>
      <c r="N222" s="27">
        <v>100166.66666666667</v>
      </c>
      <c r="O222" s="51">
        <v>1003462.9466666667</v>
      </c>
      <c r="P222" s="5"/>
      <c r="Q222" s="30">
        <v>8333.3333333333339</v>
      </c>
      <c r="R222" s="27">
        <v>8333.3333333333339</v>
      </c>
      <c r="S222" s="27">
        <v>0</v>
      </c>
      <c r="T222" s="51">
        <v>995129.61333333328</v>
      </c>
      <c r="U222" s="5"/>
      <c r="V222" s="30">
        <v>0</v>
      </c>
      <c r="W222" s="51">
        <v>894962.94666666666</v>
      </c>
      <c r="Y222" s="30">
        <v>0</v>
      </c>
      <c r="Z222" s="27">
        <v>0</v>
      </c>
      <c r="AA222" s="27">
        <v>0</v>
      </c>
      <c r="AB222" s="51">
        <v>1279751.2681768513</v>
      </c>
      <c r="AD222" s="30">
        <v>2215888381.1779795</v>
      </c>
      <c r="AE222" s="27">
        <v>132872.22168079135</v>
      </c>
      <c r="AF222" s="27">
        <v>2215755508.9562988</v>
      </c>
      <c r="AG222" s="51">
        <v>1146879.04649606</v>
      </c>
      <c r="AI222" s="30">
        <v>0</v>
      </c>
      <c r="AJ222" s="51">
        <v>894962.94666666666</v>
      </c>
      <c r="AL222" s="43">
        <v>100000</v>
      </c>
      <c r="AM222" s="52">
        <v>-166.66666666667152</v>
      </c>
      <c r="AN222" s="53">
        <v>100000</v>
      </c>
      <c r="AO222" s="54">
        <v>895129.61333333328</v>
      </c>
      <c r="AQ222" s="30">
        <v>0</v>
      </c>
      <c r="AR222" s="27">
        <v>0</v>
      </c>
      <c r="AS222" s="27">
        <v>0</v>
      </c>
      <c r="AT222" s="51">
        <v>895129.61333333328</v>
      </c>
      <c r="AV222" s="30">
        <v>0</v>
      </c>
      <c r="AW222" s="27">
        <v>0</v>
      </c>
      <c r="AX222" s="27">
        <v>0</v>
      </c>
      <c r="AY222" s="51">
        <v>895129.61333333328</v>
      </c>
      <c r="BA222" s="30">
        <v>0</v>
      </c>
      <c r="BB222" s="27">
        <v>0</v>
      </c>
      <c r="BC222" s="27">
        <v>0</v>
      </c>
      <c r="BD222" s="51">
        <v>895129.61333333328</v>
      </c>
      <c r="BF222" s="30">
        <v>0</v>
      </c>
      <c r="BG222" s="27">
        <v>0</v>
      </c>
      <c r="BH222" s="27">
        <v>0</v>
      </c>
      <c r="BI222" s="51">
        <v>895129.61333333328</v>
      </c>
      <c r="BK222" s="30">
        <v>0</v>
      </c>
      <c r="BL222" s="27">
        <v>0</v>
      </c>
      <c r="BM222" s="27">
        <v>0</v>
      </c>
      <c r="BN222" s="51">
        <v>895129.61333333328</v>
      </c>
      <c r="BP222" s="30">
        <v>895129.61333333328</v>
      </c>
      <c r="BQ222" s="20">
        <v>559830881.54026723</v>
      </c>
      <c r="BR222" s="51">
        <v>0</v>
      </c>
      <c r="BT222" s="30">
        <v>0</v>
      </c>
      <c r="BU222" s="51">
        <v>0</v>
      </c>
      <c r="BW222" s="221">
        <v>0</v>
      </c>
      <c r="BX222" s="222">
        <v>0</v>
      </c>
    </row>
    <row r="223" spans="6:76" x14ac:dyDescent="0.2">
      <c r="F223" s="151">
        <v>219</v>
      </c>
      <c r="G223" s="30">
        <v>1615900.74</v>
      </c>
      <c r="H223" s="28">
        <v>0</v>
      </c>
      <c r="I223" s="28">
        <v>0</v>
      </c>
      <c r="J223" s="28">
        <v>0</v>
      </c>
      <c r="K223" s="28">
        <v>0</v>
      </c>
      <c r="L223" s="28">
        <v>0</v>
      </c>
      <c r="M223" s="27">
        <v>0</v>
      </c>
      <c r="N223" s="27">
        <v>100166.66666666667</v>
      </c>
      <c r="O223" s="51">
        <v>1716067.4066666667</v>
      </c>
      <c r="P223" s="5"/>
      <c r="Q223" s="30">
        <v>8333.3333333333339</v>
      </c>
      <c r="R223" s="27">
        <v>8333.3333333333339</v>
      </c>
      <c r="S223" s="27">
        <v>0</v>
      </c>
      <c r="T223" s="51">
        <v>1707734.0733333335</v>
      </c>
      <c r="U223" s="5"/>
      <c r="V223" s="30">
        <v>0</v>
      </c>
      <c r="W223" s="51">
        <v>1607567.4066666667</v>
      </c>
      <c r="Y223" s="30">
        <v>0</v>
      </c>
      <c r="Z223" s="27">
        <v>0</v>
      </c>
      <c r="AA223" s="27">
        <v>0</v>
      </c>
      <c r="AB223" s="51">
        <v>1563686.9698217334</v>
      </c>
      <c r="AD223" s="30">
        <v>2278271418.0268078</v>
      </c>
      <c r="AE223" s="27">
        <v>132872.22168079135</v>
      </c>
      <c r="AF223" s="27">
        <v>2278138545.8051271</v>
      </c>
      <c r="AG223" s="51">
        <v>1430814.7481409421</v>
      </c>
      <c r="AI223" s="30">
        <v>0</v>
      </c>
      <c r="AJ223" s="51">
        <v>1607567.4066666667</v>
      </c>
      <c r="AL223" s="43">
        <v>100000</v>
      </c>
      <c r="AM223" s="52">
        <v>-166.66666666667152</v>
      </c>
      <c r="AN223" s="53">
        <v>100000</v>
      </c>
      <c r="AO223" s="54">
        <v>1607734.0733333335</v>
      </c>
      <c r="AQ223" s="30">
        <v>0</v>
      </c>
      <c r="AR223" s="27">
        <v>0</v>
      </c>
      <c r="AS223" s="27">
        <v>0</v>
      </c>
      <c r="AT223" s="51">
        <v>1607734.0733333335</v>
      </c>
      <c r="AV223" s="30">
        <v>0</v>
      </c>
      <c r="AW223" s="27">
        <v>0</v>
      </c>
      <c r="AX223" s="27">
        <v>0</v>
      </c>
      <c r="AY223" s="51">
        <v>1607734.0733333335</v>
      </c>
      <c r="BA223" s="30">
        <v>0</v>
      </c>
      <c r="BB223" s="27">
        <v>0</v>
      </c>
      <c r="BC223" s="27">
        <v>0</v>
      </c>
      <c r="BD223" s="51">
        <v>1607734.0733333335</v>
      </c>
      <c r="BF223" s="30">
        <v>0</v>
      </c>
      <c r="BG223" s="27">
        <v>0</v>
      </c>
      <c r="BH223" s="27">
        <v>0</v>
      </c>
      <c r="BI223" s="51">
        <v>1607734.0733333335</v>
      </c>
      <c r="BK223" s="30">
        <v>0</v>
      </c>
      <c r="BL223" s="27">
        <v>0</v>
      </c>
      <c r="BM223" s="27">
        <v>0</v>
      </c>
      <c r="BN223" s="51">
        <v>1607734.0733333335</v>
      </c>
      <c r="BP223" s="30">
        <v>1607734.0733333335</v>
      </c>
      <c r="BQ223" s="20">
        <v>561438615.61360061</v>
      </c>
      <c r="BR223" s="51">
        <v>0</v>
      </c>
      <c r="BT223" s="30">
        <v>0</v>
      </c>
      <c r="BU223" s="51">
        <v>0</v>
      </c>
      <c r="BW223" s="221">
        <v>0</v>
      </c>
      <c r="BX223" s="222">
        <v>0</v>
      </c>
    </row>
    <row r="224" spans="6:76" x14ac:dyDescent="0.2">
      <c r="F224" s="151">
        <v>220</v>
      </c>
      <c r="G224" s="30">
        <v>2027406.44</v>
      </c>
      <c r="H224" s="28">
        <v>0</v>
      </c>
      <c r="I224" s="28">
        <v>0</v>
      </c>
      <c r="J224" s="28">
        <v>0</v>
      </c>
      <c r="K224" s="28">
        <v>0</v>
      </c>
      <c r="L224" s="28">
        <v>0</v>
      </c>
      <c r="M224" s="27">
        <v>0</v>
      </c>
      <c r="N224" s="27">
        <v>100166.66666666667</v>
      </c>
      <c r="O224" s="51">
        <v>2127573.1066666665</v>
      </c>
      <c r="P224" s="5"/>
      <c r="Q224" s="30">
        <v>8333.3333333333339</v>
      </c>
      <c r="R224" s="27">
        <v>8333.3333333333339</v>
      </c>
      <c r="S224" s="27">
        <v>0</v>
      </c>
      <c r="T224" s="51">
        <v>2119239.773333333</v>
      </c>
      <c r="U224" s="5"/>
      <c r="V224" s="30">
        <v>0</v>
      </c>
      <c r="W224" s="51">
        <v>2019073.1066666662</v>
      </c>
      <c r="Y224" s="30">
        <v>0</v>
      </c>
      <c r="Z224" s="27">
        <v>0</v>
      </c>
      <c r="AA224" s="27">
        <v>0</v>
      </c>
      <c r="AB224" s="51">
        <v>1421038.9154076644</v>
      </c>
      <c r="AD224" s="30">
        <v>2342414546.295208</v>
      </c>
      <c r="AE224" s="27">
        <v>132872.22168079135</v>
      </c>
      <c r="AF224" s="27">
        <v>2342281674.0735273</v>
      </c>
      <c r="AG224" s="51">
        <v>1288166.693726873</v>
      </c>
      <c r="AI224" s="30">
        <v>0</v>
      </c>
      <c r="AJ224" s="51">
        <v>2019073.1066666662</v>
      </c>
      <c r="AL224" s="43">
        <v>100000</v>
      </c>
      <c r="AM224" s="52">
        <v>-166.66666666667152</v>
      </c>
      <c r="AN224" s="53">
        <v>100000</v>
      </c>
      <c r="AO224" s="54">
        <v>2019239.773333333</v>
      </c>
      <c r="AQ224" s="30">
        <v>0</v>
      </c>
      <c r="AR224" s="27">
        <v>0</v>
      </c>
      <c r="AS224" s="27">
        <v>0</v>
      </c>
      <c r="AT224" s="51">
        <v>2019239.773333333</v>
      </c>
      <c r="AV224" s="30">
        <v>0</v>
      </c>
      <c r="AW224" s="27">
        <v>0</v>
      </c>
      <c r="AX224" s="27">
        <v>0</v>
      </c>
      <c r="AY224" s="51">
        <v>2019239.773333333</v>
      </c>
      <c r="BA224" s="30">
        <v>0</v>
      </c>
      <c r="BB224" s="27">
        <v>0</v>
      </c>
      <c r="BC224" s="27">
        <v>0</v>
      </c>
      <c r="BD224" s="51">
        <v>2019239.773333333</v>
      </c>
      <c r="BF224" s="30">
        <v>0</v>
      </c>
      <c r="BG224" s="27">
        <v>0</v>
      </c>
      <c r="BH224" s="27">
        <v>0</v>
      </c>
      <c r="BI224" s="51">
        <v>2019239.773333333</v>
      </c>
      <c r="BK224" s="30">
        <v>0</v>
      </c>
      <c r="BL224" s="27">
        <v>0</v>
      </c>
      <c r="BM224" s="27">
        <v>0</v>
      </c>
      <c r="BN224" s="51">
        <v>2019239.773333333</v>
      </c>
      <c r="BP224" s="30">
        <v>2019239.773333333</v>
      </c>
      <c r="BQ224" s="20">
        <v>563457855.38693392</v>
      </c>
      <c r="BR224" s="51">
        <v>0</v>
      </c>
      <c r="BT224" s="30">
        <v>0</v>
      </c>
      <c r="BU224" s="51">
        <v>0</v>
      </c>
      <c r="BW224" s="221">
        <v>0</v>
      </c>
      <c r="BX224" s="222">
        <v>0</v>
      </c>
    </row>
    <row r="225" spans="6:76" x14ac:dyDescent="0.2">
      <c r="F225" s="151">
        <v>221</v>
      </c>
      <c r="G225" s="30">
        <v>2027406.44</v>
      </c>
      <c r="H225" s="28">
        <v>0</v>
      </c>
      <c r="I225" s="28">
        <v>0</v>
      </c>
      <c r="J225" s="28">
        <v>0</v>
      </c>
      <c r="K225" s="28">
        <v>0</v>
      </c>
      <c r="L225" s="28">
        <v>0</v>
      </c>
      <c r="M225" s="27">
        <v>0</v>
      </c>
      <c r="N225" s="27">
        <v>100166.66666666667</v>
      </c>
      <c r="O225" s="51">
        <v>2127573.1066666665</v>
      </c>
      <c r="P225" s="5"/>
      <c r="Q225" s="30">
        <v>8333.3333333333339</v>
      </c>
      <c r="R225" s="27">
        <v>8333.3333333333339</v>
      </c>
      <c r="S225" s="27">
        <v>0</v>
      </c>
      <c r="T225" s="51">
        <v>2119239.773333333</v>
      </c>
      <c r="U225" s="5"/>
      <c r="V225" s="30">
        <v>0</v>
      </c>
      <c r="W225" s="51">
        <v>2019073.1066666662</v>
      </c>
      <c r="Y225" s="30">
        <v>0</v>
      </c>
      <c r="Z225" s="27">
        <v>0</v>
      </c>
      <c r="AA225" s="27">
        <v>0</v>
      </c>
      <c r="AB225" s="51">
        <v>1421038.9154076644</v>
      </c>
      <c r="AD225" s="30">
        <v>2408367425.6657114</v>
      </c>
      <c r="AE225" s="27">
        <v>132872.22168079135</v>
      </c>
      <c r="AF225" s="27">
        <v>2408234553.4440308</v>
      </c>
      <c r="AG225" s="51">
        <v>1288166.693726873</v>
      </c>
      <c r="AI225" s="30">
        <v>0</v>
      </c>
      <c r="AJ225" s="51">
        <v>2019073.1066666662</v>
      </c>
      <c r="AL225" s="43">
        <v>100000</v>
      </c>
      <c r="AM225" s="52">
        <v>-166.66666666667152</v>
      </c>
      <c r="AN225" s="53">
        <v>100000</v>
      </c>
      <c r="AO225" s="54">
        <v>2019239.773333333</v>
      </c>
      <c r="AQ225" s="30">
        <v>0</v>
      </c>
      <c r="AR225" s="27">
        <v>0</v>
      </c>
      <c r="AS225" s="27">
        <v>0</v>
      </c>
      <c r="AT225" s="51">
        <v>2019239.773333333</v>
      </c>
      <c r="AV225" s="30">
        <v>0</v>
      </c>
      <c r="AW225" s="27">
        <v>0</v>
      </c>
      <c r="AX225" s="27">
        <v>0</v>
      </c>
      <c r="AY225" s="51">
        <v>2019239.773333333</v>
      </c>
      <c r="BA225" s="30">
        <v>0</v>
      </c>
      <c r="BB225" s="27">
        <v>0</v>
      </c>
      <c r="BC225" s="27">
        <v>0</v>
      </c>
      <c r="BD225" s="51">
        <v>2019239.773333333</v>
      </c>
      <c r="BF225" s="30">
        <v>0</v>
      </c>
      <c r="BG225" s="27">
        <v>0</v>
      </c>
      <c r="BH225" s="27">
        <v>0</v>
      </c>
      <c r="BI225" s="51">
        <v>2019239.773333333</v>
      </c>
      <c r="BK225" s="30">
        <v>0</v>
      </c>
      <c r="BL225" s="27">
        <v>0</v>
      </c>
      <c r="BM225" s="27">
        <v>0</v>
      </c>
      <c r="BN225" s="51">
        <v>2019239.773333333</v>
      </c>
      <c r="BP225" s="30">
        <v>2019239.773333333</v>
      </c>
      <c r="BQ225" s="20">
        <v>565477095.16026723</v>
      </c>
      <c r="BR225" s="51">
        <v>0</v>
      </c>
      <c r="BT225" s="30">
        <v>0</v>
      </c>
      <c r="BU225" s="51">
        <v>0</v>
      </c>
      <c r="BW225" s="221">
        <v>0</v>
      </c>
      <c r="BX225" s="222">
        <v>0</v>
      </c>
    </row>
    <row r="226" spans="6:76" x14ac:dyDescent="0.2">
      <c r="F226" s="151">
        <v>222</v>
      </c>
      <c r="G226" s="30">
        <v>1520554.83</v>
      </c>
      <c r="H226" s="28">
        <v>0</v>
      </c>
      <c r="I226" s="28">
        <v>0</v>
      </c>
      <c r="J226" s="28">
        <v>0</v>
      </c>
      <c r="K226" s="28">
        <v>0</v>
      </c>
      <c r="L226" s="28">
        <v>0</v>
      </c>
      <c r="M226" s="27">
        <v>0</v>
      </c>
      <c r="N226" s="27">
        <v>100166.66666666667</v>
      </c>
      <c r="O226" s="51">
        <v>1620721.4966666668</v>
      </c>
      <c r="P226" s="5"/>
      <c r="Q226" s="30">
        <v>8333.3333333333339</v>
      </c>
      <c r="R226" s="27">
        <v>8333.3333333333339</v>
      </c>
      <c r="S226" s="27">
        <v>0</v>
      </c>
      <c r="T226" s="51">
        <v>1612388.1633333336</v>
      </c>
      <c r="U226" s="5"/>
      <c r="V226" s="30">
        <v>0</v>
      </c>
      <c r="W226" s="51">
        <v>1512221.4966666668</v>
      </c>
      <c r="Y226" s="30">
        <v>0</v>
      </c>
      <c r="Z226" s="27">
        <v>0</v>
      </c>
      <c r="AA226" s="27">
        <v>0</v>
      </c>
      <c r="AB226" s="51">
        <v>1421038.9154076644</v>
      </c>
      <c r="AD226" s="30">
        <v>2476181116.9322019</v>
      </c>
      <c r="AE226" s="27">
        <v>132872.22168079135</v>
      </c>
      <c r="AF226" s="27">
        <v>2476048244.7105212</v>
      </c>
      <c r="AG226" s="51">
        <v>1288166.693726873</v>
      </c>
      <c r="AI226" s="30">
        <v>0</v>
      </c>
      <c r="AJ226" s="51">
        <v>1512221.4966666668</v>
      </c>
      <c r="AL226" s="43">
        <v>100000</v>
      </c>
      <c r="AM226" s="52">
        <v>-166.66666666667152</v>
      </c>
      <c r="AN226" s="53">
        <v>100000</v>
      </c>
      <c r="AO226" s="54">
        <v>1512388.1633333336</v>
      </c>
      <c r="AQ226" s="30">
        <v>0</v>
      </c>
      <c r="AR226" s="27">
        <v>0</v>
      </c>
      <c r="AS226" s="27">
        <v>0</v>
      </c>
      <c r="AT226" s="51">
        <v>1512388.1633333336</v>
      </c>
      <c r="AV226" s="30">
        <v>0</v>
      </c>
      <c r="AW226" s="27">
        <v>0</v>
      </c>
      <c r="AX226" s="27">
        <v>0</v>
      </c>
      <c r="AY226" s="51">
        <v>1512388.1633333336</v>
      </c>
      <c r="BA226" s="30">
        <v>0</v>
      </c>
      <c r="BB226" s="27">
        <v>0</v>
      </c>
      <c r="BC226" s="27">
        <v>0</v>
      </c>
      <c r="BD226" s="51">
        <v>1512388.1633333336</v>
      </c>
      <c r="BF226" s="30">
        <v>0</v>
      </c>
      <c r="BG226" s="27">
        <v>0</v>
      </c>
      <c r="BH226" s="27">
        <v>0</v>
      </c>
      <c r="BI226" s="51">
        <v>1512388.1633333336</v>
      </c>
      <c r="BK226" s="30">
        <v>0</v>
      </c>
      <c r="BL226" s="27">
        <v>0</v>
      </c>
      <c r="BM226" s="27">
        <v>0</v>
      </c>
      <c r="BN226" s="51">
        <v>1512388.1633333336</v>
      </c>
      <c r="BP226" s="30">
        <v>1512388.1633333336</v>
      </c>
      <c r="BQ226" s="20">
        <v>566989483.32360053</v>
      </c>
      <c r="BR226" s="51">
        <v>0</v>
      </c>
      <c r="BT226" s="30">
        <v>0</v>
      </c>
      <c r="BU226" s="51">
        <v>0</v>
      </c>
      <c r="BW226" s="221">
        <v>0</v>
      </c>
      <c r="BX226" s="222">
        <v>0</v>
      </c>
    </row>
    <row r="227" spans="6:76" x14ac:dyDescent="0.2">
      <c r="F227" s="151">
        <v>223</v>
      </c>
      <c r="G227" s="30">
        <v>1013703.22</v>
      </c>
      <c r="H227" s="28">
        <v>0</v>
      </c>
      <c r="I227" s="28">
        <v>0</v>
      </c>
      <c r="J227" s="28">
        <v>0</v>
      </c>
      <c r="K227" s="28">
        <v>0</v>
      </c>
      <c r="L227" s="28">
        <v>0</v>
      </c>
      <c r="M227" s="27">
        <v>0</v>
      </c>
      <c r="N227" s="27">
        <v>100166.66666666667</v>
      </c>
      <c r="O227" s="51">
        <v>1113869.8866666667</v>
      </c>
      <c r="P227" s="5"/>
      <c r="Q227" s="30">
        <v>8333.3333333333339</v>
      </c>
      <c r="R227" s="27">
        <v>8333.3333333333339</v>
      </c>
      <c r="S227" s="27">
        <v>0</v>
      </c>
      <c r="T227" s="51">
        <v>1105536.5533333335</v>
      </c>
      <c r="U227" s="5"/>
      <c r="V227" s="30">
        <v>0</v>
      </c>
      <c r="W227" s="51">
        <v>1005369.8866666668</v>
      </c>
      <c r="Y227" s="30">
        <v>0</v>
      </c>
      <c r="Z227" s="27">
        <v>0</v>
      </c>
      <c r="AA227" s="27">
        <v>0</v>
      </c>
      <c r="AB227" s="51">
        <v>1065779.1865557481</v>
      </c>
      <c r="AD227" s="30">
        <v>2545908121.53124</v>
      </c>
      <c r="AE227" s="27">
        <v>132872.22168079135</v>
      </c>
      <c r="AF227" s="27">
        <v>2545775249.3095593</v>
      </c>
      <c r="AG227" s="51">
        <v>932906.96487495676</v>
      </c>
      <c r="AI227" s="30">
        <v>0</v>
      </c>
      <c r="AJ227" s="51">
        <v>1005369.8866666668</v>
      </c>
      <c r="AL227" s="43">
        <v>100000</v>
      </c>
      <c r="AM227" s="52">
        <v>-166.66666666667152</v>
      </c>
      <c r="AN227" s="53">
        <v>100000</v>
      </c>
      <c r="AO227" s="54">
        <v>1005536.5533333335</v>
      </c>
      <c r="AQ227" s="30">
        <v>0</v>
      </c>
      <c r="AR227" s="27">
        <v>0</v>
      </c>
      <c r="AS227" s="27">
        <v>0</v>
      </c>
      <c r="AT227" s="51">
        <v>1005536.5533333335</v>
      </c>
      <c r="AV227" s="30">
        <v>0</v>
      </c>
      <c r="AW227" s="27">
        <v>0</v>
      </c>
      <c r="AX227" s="27">
        <v>0</v>
      </c>
      <c r="AY227" s="51">
        <v>1005536.5533333335</v>
      </c>
      <c r="BA227" s="30">
        <v>0</v>
      </c>
      <c r="BB227" s="27">
        <v>0</v>
      </c>
      <c r="BC227" s="27">
        <v>0</v>
      </c>
      <c r="BD227" s="51">
        <v>1005536.5533333335</v>
      </c>
      <c r="BF227" s="30">
        <v>0</v>
      </c>
      <c r="BG227" s="27">
        <v>0</v>
      </c>
      <c r="BH227" s="27">
        <v>0</v>
      </c>
      <c r="BI227" s="51">
        <v>1005536.5533333335</v>
      </c>
      <c r="BK227" s="30">
        <v>0</v>
      </c>
      <c r="BL227" s="27">
        <v>0</v>
      </c>
      <c r="BM227" s="27">
        <v>0</v>
      </c>
      <c r="BN227" s="51">
        <v>1005536.5533333335</v>
      </c>
      <c r="BP227" s="30">
        <v>1005536.5533333335</v>
      </c>
      <c r="BQ227" s="20">
        <v>567995019.87693381</v>
      </c>
      <c r="BR227" s="51">
        <v>0</v>
      </c>
      <c r="BT227" s="30">
        <v>0</v>
      </c>
      <c r="BU227" s="51">
        <v>0</v>
      </c>
      <c r="BW227" s="221">
        <v>0</v>
      </c>
      <c r="BX227" s="222">
        <v>0</v>
      </c>
    </row>
    <row r="228" spans="6:76" x14ac:dyDescent="0.2">
      <c r="F228" s="151">
        <v>224</v>
      </c>
      <c r="G228" s="30">
        <v>1383983.2</v>
      </c>
      <c r="H228" s="28">
        <v>0</v>
      </c>
      <c r="I228" s="28">
        <v>0</v>
      </c>
      <c r="J228" s="28">
        <v>0</v>
      </c>
      <c r="K228" s="28">
        <v>0</v>
      </c>
      <c r="L228" s="28">
        <v>0</v>
      </c>
      <c r="M228" s="27">
        <v>0</v>
      </c>
      <c r="N228" s="27">
        <v>100166.66666666667</v>
      </c>
      <c r="O228" s="51">
        <v>1484149.8666666667</v>
      </c>
      <c r="P228" s="5"/>
      <c r="Q228" s="30">
        <v>8333.3333333333339</v>
      </c>
      <c r="R228" s="27">
        <v>8333.3333333333339</v>
      </c>
      <c r="S228" s="27">
        <v>0</v>
      </c>
      <c r="T228" s="51">
        <v>1475816.5333333334</v>
      </c>
      <c r="U228" s="5"/>
      <c r="V228" s="30">
        <v>0</v>
      </c>
      <c r="W228" s="51">
        <v>1375649.8666666667</v>
      </c>
      <c r="Y228" s="30">
        <v>0</v>
      </c>
      <c r="Z228" s="27">
        <v>0</v>
      </c>
      <c r="AA228" s="27">
        <v>0</v>
      </c>
      <c r="AB228" s="51">
        <v>710519.45770383219</v>
      </c>
      <c r="AD228" s="30">
        <v>2617602422.1887341</v>
      </c>
      <c r="AE228" s="27">
        <v>132872.22168079135</v>
      </c>
      <c r="AF228" s="27">
        <v>2617469549.9670534</v>
      </c>
      <c r="AG228" s="51">
        <v>577647.23602304084</v>
      </c>
      <c r="AI228" s="30">
        <v>0</v>
      </c>
      <c r="AJ228" s="51">
        <v>1375649.8666666667</v>
      </c>
      <c r="AL228" s="43">
        <v>100000</v>
      </c>
      <c r="AM228" s="52">
        <v>-166.66666666667152</v>
      </c>
      <c r="AN228" s="53">
        <v>100000</v>
      </c>
      <c r="AO228" s="54">
        <v>1375816.5333333334</v>
      </c>
      <c r="AQ228" s="30">
        <v>0</v>
      </c>
      <c r="AR228" s="27">
        <v>0</v>
      </c>
      <c r="AS228" s="27">
        <v>0</v>
      </c>
      <c r="AT228" s="51">
        <v>1375816.5333333334</v>
      </c>
      <c r="AV228" s="30">
        <v>0</v>
      </c>
      <c r="AW228" s="27">
        <v>0</v>
      </c>
      <c r="AX228" s="27">
        <v>0</v>
      </c>
      <c r="AY228" s="51">
        <v>1375816.5333333334</v>
      </c>
      <c r="BA228" s="30">
        <v>0</v>
      </c>
      <c r="BB228" s="27">
        <v>0</v>
      </c>
      <c r="BC228" s="27">
        <v>0</v>
      </c>
      <c r="BD228" s="51">
        <v>1375816.5333333334</v>
      </c>
      <c r="BF228" s="30">
        <v>0</v>
      </c>
      <c r="BG228" s="27">
        <v>0</v>
      </c>
      <c r="BH228" s="27">
        <v>0</v>
      </c>
      <c r="BI228" s="51">
        <v>1375816.5333333334</v>
      </c>
      <c r="BK228" s="30">
        <v>0</v>
      </c>
      <c r="BL228" s="27">
        <v>0</v>
      </c>
      <c r="BM228" s="27">
        <v>0</v>
      </c>
      <c r="BN228" s="51">
        <v>1375816.5333333334</v>
      </c>
      <c r="BP228" s="30">
        <v>1375816.5333333334</v>
      </c>
      <c r="BQ228" s="20">
        <v>569370836.41026711</v>
      </c>
      <c r="BR228" s="51">
        <v>0</v>
      </c>
      <c r="BT228" s="30">
        <v>0</v>
      </c>
      <c r="BU228" s="51">
        <v>0</v>
      </c>
      <c r="BW228" s="221">
        <v>0</v>
      </c>
      <c r="BX228" s="222">
        <v>0</v>
      </c>
    </row>
    <row r="229" spans="6:76" x14ac:dyDescent="0.2">
      <c r="F229" s="151">
        <v>225</v>
      </c>
      <c r="G229" s="30">
        <v>1320537.6599999999</v>
      </c>
      <c r="H229" s="28">
        <v>0</v>
      </c>
      <c r="I229" s="28">
        <v>0</v>
      </c>
      <c r="J229" s="28">
        <v>0</v>
      </c>
      <c r="K229" s="28">
        <v>0</v>
      </c>
      <c r="L229" s="28">
        <v>0</v>
      </c>
      <c r="M229" s="27">
        <v>0</v>
      </c>
      <c r="N229" s="27">
        <v>100166.66666666667</v>
      </c>
      <c r="O229" s="51">
        <v>1420704.3266666667</v>
      </c>
      <c r="P229" s="5"/>
      <c r="Q229" s="30">
        <v>8333.3333333333339</v>
      </c>
      <c r="R229" s="27">
        <v>8333.3333333333339</v>
      </c>
      <c r="S229" s="27">
        <v>0</v>
      </c>
      <c r="T229" s="51">
        <v>1412370.9933333334</v>
      </c>
      <c r="U229" s="5"/>
      <c r="V229" s="30">
        <v>0</v>
      </c>
      <c r="W229" s="51">
        <v>1312204.3266666667</v>
      </c>
      <c r="Y229" s="30">
        <v>0</v>
      </c>
      <c r="Z229" s="27">
        <v>0</v>
      </c>
      <c r="AA229" s="27">
        <v>0</v>
      </c>
      <c r="AB229" s="51">
        <v>980863.12848006794</v>
      </c>
      <c r="AD229" s="30">
        <v>2691319524.7134295</v>
      </c>
      <c r="AE229" s="27">
        <v>132872.22168079135</v>
      </c>
      <c r="AF229" s="27">
        <v>2691186652.4917488</v>
      </c>
      <c r="AG229" s="51">
        <v>847990.90679927659</v>
      </c>
      <c r="AI229" s="30">
        <v>0</v>
      </c>
      <c r="AJ229" s="51">
        <v>1312204.3266666667</v>
      </c>
      <c r="AL229" s="43">
        <v>100000</v>
      </c>
      <c r="AM229" s="52">
        <v>-166.66666666667152</v>
      </c>
      <c r="AN229" s="53">
        <v>100000</v>
      </c>
      <c r="AO229" s="54">
        <v>1312370.9933333334</v>
      </c>
      <c r="AQ229" s="30">
        <v>0</v>
      </c>
      <c r="AR229" s="27">
        <v>0</v>
      </c>
      <c r="AS229" s="27">
        <v>0</v>
      </c>
      <c r="AT229" s="51">
        <v>1312370.9933333334</v>
      </c>
      <c r="AV229" s="30">
        <v>0</v>
      </c>
      <c r="AW229" s="27">
        <v>0</v>
      </c>
      <c r="AX229" s="27">
        <v>0</v>
      </c>
      <c r="AY229" s="51">
        <v>1312370.9933333334</v>
      </c>
      <c r="BA229" s="30">
        <v>0</v>
      </c>
      <c r="BB229" s="27">
        <v>0</v>
      </c>
      <c r="BC229" s="27">
        <v>0</v>
      </c>
      <c r="BD229" s="51">
        <v>1312370.9933333334</v>
      </c>
      <c r="BF229" s="30">
        <v>0</v>
      </c>
      <c r="BG229" s="27">
        <v>0</v>
      </c>
      <c r="BH229" s="27">
        <v>0</v>
      </c>
      <c r="BI229" s="51">
        <v>1312370.9933333334</v>
      </c>
      <c r="BK229" s="30">
        <v>0</v>
      </c>
      <c r="BL229" s="27">
        <v>0</v>
      </c>
      <c r="BM229" s="27">
        <v>0</v>
      </c>
      <c r="BN229" s="51">
        <v>1312370.9933333334</v>
      </c>
      <c r="BP229" s="30">
        <v>1312370.9933333334</v>
      </c>
      <c r="BQ229" s="20">
        <v>570683207.40360045</v>
      </c>
      <c r="BR229" s="51">
        <v>0</v>
      </c>
      <c r="BT229" s="30">
        <v>0</v>
      </c>
      <c r="BU229" s="51">
        <v>0</v>
      </c>
      <c r="BW229" s="221">
        <v>0</v>
      </c>
      <c r="BX229" s="222">
        <v>0</v>
      </c>
    </row>
    <row r="230" spans="6:76" x14ac:dyDescent="0.2">
      <c r="F230" s="151">
        <v>226</v>
      </c>
      <c r="G230" s="30">
        <v>633505.12</v>
      </c>
      <c r="H230" s="28">
        <v>0</v>
      </c>
      <c r="I230" s="28">
        <v>0</v>
      </c>
      <c r="J230" s="28">
        <v>0</v>
      </c>
      <c r="K230" s="28">
        <v>0</v>
      </c>
      <c r="L230" s="28">
        <v>0</v>
      </c>
      <c r="M230" s="27">
        <v>0</v>
      </c>
      <c r="N230" s="27">
        <v>100166.66666666667</v>
      </c>
      <c r="O230" s="51">
        <v>733671.78666666662</v>
      </c>
      <c r="P230" s="5"/>
      <c r="Q230" s="30">
        <v>8333.3333333333339</v>
      </c>
      <c r="R230" s="27">
        <v>8333.3333333333339</v>
      </c>
      <c r="S230" s="27">
        <v>0</v>
      </c>
      <c r="T230" s="51">
        <v>725338.45333333325</v>
      </c>
      <c r="U230" s="5"/>
      <c r="V230" s="30">
        <v>0</v>
      </c>
      <c r="W230" s="51">
        <v>625171.78666666662</v>
      </c>
      <c r="Y230" s="30">
        <v>0</v>
      </c>
      <c r="Z230" s="27">
        <v>0</v>
      </c>
      <c r="AA230" s="27">
        <v>0</v>
      </c>
      <c r="AB230" s="51">
        <v>1010732.1444373969</v>
      </c>
      <c r="AD230" s="30">
        <v>2767116500.9695663</v>
      </c>
      <c r="AE230" s="27">
        <v>132872.22168079135</v>
      </c>
      <c r="AF230" s="27">
        <v>2766983628.7478857</v>
      </c>
      <c r="AG230" s="51">
        <v>877859.92275660555</v>
      </c>
      <c r="AI230" s="30">
        <v>0</v>
      </c>
      <c r="AJ230" s="51">
        <v>625171.78666666662</v>
      </c>
      <c r="AL230" s="43">
        <v>100000</v>
      </c>
      <c r="AM230" s="52">
        <v>-166.66666666667152</v>
      </c>
      <c r="AN230" s="53">
        <v>100000</v>
      </c>
      <c r="AO230" s="54">
        <v>625338.45333333325</v>
      </c>
      <c r="AQ230" s="30">
        <v>0</v>
      </c>
      <c r="AR230" s="27">
        <v>0</v>
      </c>
      <c r="AS230" s="27">
        <v>0</v>
      </c>
      <c r="AT230" s="51">
        <v>625338.45333333325</v>
      </c>
      <c r="AV230" s="30">
        <v>0</v>
      </c>
      <c r="AW230" s="27">
        <v>0</v>
      </c>
      <c r="AX230" s="27">
        <v>0</v>
      </c>
      <c r="AY230" s="51">
        <v>625338.45333333325</v>
      </c>
      <c r="BA230" s="30">
        <v>0</v>
      </c>
      <c r="BB230" s="27">
        <v>0</v>
      </c>
      <c r="BC230" s="27">
        <v>0</v>
      </c>
      <c r="BD230" s="51">
        <v>625338.45333333325</v>
      </c>
      <c r="BF230" s="30">
        <v>0</v>
      </c>
      <c r="BG230" s="27">
        <v>0</v>
      </c>
      <c r="BH230" s="27">
        <v>0</v>
      </c>
      <c r="BI230" s="51">
        <v>625338.45333333325</v>
      </c>
      <c r="BK230" s="30">
        <v>0</v>
      </c>
      <c r="BL230" s="27">
        <v>0</v>
      </c>
      <c r="BM230" s="27">
        <v>0</v>
      </c>
      <c r="BN230" s="51">
        <v>625338.45333333325</v>
      </c>
      <c r="BP230" s="30">
        <v>625338.45333333325</v>
      </c>
      <c r="BQ230" s="20">
        <v>571308545.85693383</v>
      </c>
      <c r="BR230" s="51">
        <v>0</v>
      </c>
      <c r="BT230" s="30">
        <v>0</v>
      </c>
      <c r="BU230" s="51">
        <v>0</v>
      </c>
      <c r="BW230" s="221">
        <v>0</v>
      </c>
      <c r="BX230" s="222">
        <v>0</v>
      </c>
    </row>
    <row r="231" spans="6:76" x14ac:dyDescent="0.2">
      <c r="F231" s="151">
        <v>227</v>
      </c>
      <c r="G231" s="30">
        <v>875059.34</v>
      </c>
      <c r="H231" s="28">
        <v>0</v>
      </c>
      <c r="I231" s="28">
        <v>0</v>
      </c>
      <c r="J231" s="28">
        <v>0</v>
      </c>
      <c r="K231" s="28">
        <v>0</v>
      </c>
      <c r="L231" s="28">
        <v>0</v>
      </c>
      <c r="M231" s="27">
        <v>0</v>
      </c>
      <c r="N231" s="27">
        <v>100166.66666666667</v>
      </c>
      <c r="O231" s="51">
        <v>975226.0066666666</v>
      </c>
      <c r="P231" s="5"/>
      <c r="Q231" s="30">
        <v>8333.3333333333339</v>
      </c>
      <c r="R231" s="27">
        <v>8333.3333333333339</v>
      </c>
      <c r="S231" s="27">
        <v>0</v>
      </c>
      <c r="T231" s="51">
        <v>966892.67333333322</v>
      </c>
      <c r="U231" s="5"/>
      <c r="V231" s="30">
        <v>0</v>
      </c>
      <c r="W231" s="51">
        <v>866726.0066666666</v>
      </c>
      <c r="Y231" s="30">
        <v>0</v>
      </c>
      <c r="Z231" s="27">
        <v>0</v>
      </c>
      <c r="AA231" s="27">
        <v>0</v>
      </c>
      <c r="AB231" s="51">
        <v>1010732.1444373969</v>
      </c>
      <c r="AD231" s="30">
        <v>2845052033.0619831</v>
      </c>
      <c r="AE231" s="27">
        <v>132872.22168079135</v>
      </c>
      <c r="AF231" s="27">
        <v>2844919160.8403025</v>
      </c>
      <c r="AG231" s="51">
        <v>877859.92275660555</v>
      </c>
      <c r="AI231" s="30">
        <v>0</v>
      </c>
      <c r="AJ231" s="51">
        <v>866726.0066666666</v>
      </c>
      <c r="AL231" s="43">
        <v>100000</v>
      </c>
      <c r="AM231" s="52">
        <v>-166.66666666667152</v>
      </c>
      <c r="AN231" s="53">
        <v>100000</v>
      </c>
      <c r="AO231" s="54">
        <v>866892.67333333322</v>
      </c>
      <c r="AQ231" s="30">
        <v>0</v>
      </c>
      <c r="AR231" s="27">
        <v>0</v>
      </c>
      <c r="AS231" s="27">
        <v>0</v>
      </c>
      <c r="AT231" s="51">
        <v>866892.67333333322</v>
      </c>
      <c r="AV231" s="30">
        <v>0</v>
      </c>
      <c r="AW231" s="27">
        <v>0</v>
      </c>
      <c r="AX231" s="27">
        <v>0</v>
      </c>
      <c r="AY231" s="51">
        <v>866892.67333333322</v>
      </c>
      <c r="BA231" s="30">
        <v>0</v>
      </c>
      <c r="BB231" s="27">
        <v>0</v>
      </c>
      <c r="BC231" s="27">
        <v>0</v>
      </c>
      <c r="BD231" s="51">
        <v>866892.67333333322</v>
      </c>
      <c r="BF231" s="30">
        <v>0</v>
      </c>
      <c r="BG231" s="27">
        <v>0</v>
      </c>
      <c r="BH231" s="27">
        <v>0</v>
      </c>
      <c r="BI231" s="51">
        <v>866892.67333333322</v>
      </c>
      <c r="BK231" s="30">
        <v>0</v>
      </c>
      <c r="BL231" s="27">
        <v>0</v>
      </c>
      <c r="BM231" s="27">
        <v>0</v>
      </c>
      <c r="BN231" s="51">
        <v>866892.67333333322</v>
      </c>
      <c r="BP231" s="30">
        <v>866892.67333333322</v>
      </c>
      <c r="BQ231" s="20">
        <v>572175438.53026712</v>
      </c>
      <c r="BR231" s="51">
        <v>0</v>
      </c>
      <c r="BT231" s="30">
        <v>0</v>
      </c>
      <c r="BU231" s="51">
        <v>0</v>
      </c>
      <c r="BW231" s="221">
        <v>0</v>
      </c>
      <c r="BX231" s="222">
        <v>0</v>
      </c>
    </row>
    <row r="232" spans="6:76" x14ac:dyDescent="0.2">
      <c r="F232" s="151">
        <v>228</v>
      </c>
      <c r="G232" s="30">
        <v>6629710.6100000003</v>
      </c>
      <c r="H232" s="28">
        <v>0</v>
      </c>
      <c r="I232" s="28">
        <v>0</v>
      </c>
      <c r="J232" s="28">
        <v>0</v>
      </c>
      <c r="K232" s="28">
        <v>0</v>
      </c>
      <c r="L232" s="28">
        <v>0</v>
      </c>
      <c r="M232" s="27">
        <v>0</v>
      </c>
      <c r="N232" s="27">
        <v>100166.66666666667</v>
      </c>
      <c r="O232" s="51">
        <v>6729877.2766666673</v>
      </c>
      <c r="P232" s="5"/>
      <c r="Q232" s="30">
        <v>5000</v>
      </c>
      <c r="R232" s="27">
        <v>5000</v>
      </c>
      <c r="S232" s="27">
        <v>0</v>
      </c>
      <c r="T232" s="51">
        <v>6724877.2766666673</v>
      </c>
      <c r="U232" s="5"/>
      <c r="V232" s="30">
        <v>0</v>
      </c>
      <c r="W232" s="51">
        <v>6624710.6100000003</v>
      </c>
      <c r="Y232" s="30">
        <v>0</v>
      </c>
      <c r="Z232" s="27">
        <v>0</v>
      </c>
      <c r="AA232" s="27">
        <v>0</v>
      </c>
      <c r="AB232" s="51">
        <v>6777219.989767056</v>
      </c>
      <c r="AD232" s="30">
        <v>2925186458.7678685</v>
      </c>
      <c r="AE232" s="27">
        <v>132872.22168079135</v>
      </c>
      <c r="AF232" s="27">
        <v>2925053586.5461879</v>
      </c>
      <c r="AG232" s="51">
        <v>6644347.7680862648</v>
      </c>
      <c r="AI232" s="30">
        <v>0</v>
      </c>
      <c r="AJ232" s="51">
        <v>6624710.6100000003</v>
      </c>
      <c r="AL232" s="43">
        <v>60000</v>
      </c>
      <c r="AM232" s="52">
        <v>-40166.666666666672</v>
      </c>
      <c r="AN232" s="53">
        <v>60000</v>
      </c>
      <c r="AO232" s="54">
        <v>6664877.2766666673</v>
      </c>
      <c r="AQ232" s="30">
        <v>0</v>
      </c>
      <c r="AR232" s="27">
        <v>0</v>
      </c>
      <c r="AS232" s="27">
        <v>0</v>
      </c>
      <c r="AT232" s="51">
        <v>6664877.2766666673</v>
      </c>
      <c r="AV232" s="30">
        <v>0</v>
      </c>
      <c r="AW232" s="27">
        <v>0</v>
      </c>
      <c r="AX232" s="27">
        <v>0</v>
      </c>
      <c r="AY232" s="51">
        <v>6664877.2766666673</v>
      </c>
      <c r="BA232" s="30">
        <v>0</v>
      </c>
      <c r="BB232" s="27">
        <v>0</v>
      </c>
      <c r="BC232" s="27">
        <v>0</v>
      </c>
      <c r="BD232" s="51">
        <v>6664877.2766666673</v>
      </c>
      <c r="BF232" s="30">
        <v>0</v>
      </c>
      <c r="BG232" s="27">
        <v>0</v>
      </c>
      <c r="BH232" s="27">
        <v>0</v>
      </c>
      <c r="BI232" s="51">
        <v>6664877.2766666673</v>
      </c>
      <c r="BK232" s="30">
        <v>0</v>
      </c>
      <c r="BL232" s="27">
        <v>0</v>
      </c>
      <c r="BM232" s="27">
        <v>0</v>
      </c>
      <c r="BN232" s="51">
        <v>6664877.2766666673</v>
      </c>
      <c r="BP232" s="30">
        <v>6664877.2766666673</v>
      </c>
      <c r="BQ232" s="20">
        <v>578840315.80693376</v>
      </c>
      <c r="BR232" s="51">
        <v>0</v>
      </c>
      <c r="BT232" s="30">
        <v>0</v>
      </c>
      <c r="BU232" s="51">
        <v>0</v>
      </c>
      <c r="BW232" s="221">
        <v>0</v>
      </c>
      <c r="BX232" s="222">
        <v>0</v>
      </c>
    </row>
    <row r="233" spans="6:76" x14ac:dyDescent="0.2">
      <c r="F233" s="151">
        <v>229</v>
      </c>
      <c r="G233" s="30">
        <v>376772.31</v>
      </c>
      <c r="H233" s="28">
        <v>0</v>
      </c>
      <c r="I233" s="28">
        <v>0</v>
      </c>
      <c r="J233" s="28">
        <v>0</v>
      </c>
      <c r="K233" s="28">
        <v>0</v>
      </c>
      <c r="L233" s="28">
        <v>0</v>
      </c>
      <c r="M233" s="27">
        <v>0</v>
      </c>
      <c r="N233" s="27">
        <v>60100</v>
      </c>
      <c r="O233" s="51">
        <v>436872.31</v>
      </c>
      <c r="P233" s="5"/>
      <c r="Q233" s="30">
        <v>5000</v>
      </c>
      <c r="R233" s="27">
        <v>5000</v>
      </c>
      <c r="S233" s="27">
        <v>0</v>
      </c>
      <c r="T233" s="51">
        <v>431872.31</v>
      </c>
      <c r="U233" s="5"/>
      <c r="V233" s="30">
        <v>0</v>
      </c>
      <c r="W233" s="51">
        <v>371772.31</v>
      </c>
      <c r="Y233" s="30">
        <v>0</v>
      </c>
      <c r="Z233" s="27">
        <v>0</v>
      </c>
      <c r="AA233" s="27">
        <v>0</v>
      </c>
      <c r="AB233" s="51">
        <v>336910.71481246571</v>
      </c>
      <c r="AD233" s="30">
        <v>3007581818.2503357</v>
      </c>
      <c r="AE233" s="27">
        <v>132872.22168079135</v>
      </c>
      <c r="AF233" s="27">
        <v>3007448946.0286551</v>
      </c>
      <c r="AG233" s="51">
        <v>204038.49313167436</v>
      </c>
      <c r="AI233" s="30">
        <v>0</v>
      </c>
      <c r="AJ233" s="51">
        <v>371772.31</v>
      </c>
      <c r="AL233" s="43">
        <v>60000</v>
      </c>
      <c r="AM233" s="52">
        <v>-100</v>
      </c>
      <c r="AN233" s="53">
        <v>60000</v>
      </c>
      <c r="AO233" s="54">
        <v>371872.31</v>
      </c>
      <c r="AQ233" s="30">
        <v>0</v>
      </c>
      <c r="AR233" s="27">
        <v>0</v>
      </c>
      <c r="AS233" s="27">
        <v>0</v>
      </c>
      <c r="AT233" s="51">
        <v>371872.31</v>
      </c>
      <c r="AV233" s="30">
        <v>0</v>
      </c>
      <c r="AW233" s="27">
        <v>0</v>
      </c>
      <c r="AX233" s="27">
        <v>0</v>
      </c>
      <c r="AY233" s="51">
        <v>371872.31</v>
      </c>
      <c r="BA233" s="30">
        <v>0</v>
      </c>
      <c r="BB233" s="27">
        <v>0</v>
      </c>
      <c r="BC233" s="27">
        <v>0</v>
      </c>
      <c r="BD233" s="51">
        <v>371872.31</v>
      </c>
      <c r="BF233" s="30">
        <v>0</v>
      </c>
      <c r="BG233" s="27">
        <v>0</v>
      </c>
      <c r="BH233" s="27">
        <v>0</v>
      </c>
      <c r="BI233" s="51">
        <v>371872.31</v>
      </c>
      <c r="BK233" s="30">
        <v>0</v>
      </c>
      <c r="BL233" s="27">
        <v>0</v>
      </c>
      <c r="BM233" s="27">
        <v>0</v>
      </c>
      <c r="BN233" s="51">
        <v>371872.31</v>
      </c>
      <c r="BP233" s="30">
        <v>371872.31</v>
      </c>
      <c r="BQ233" s="20">
        <v>579212188.1169337</v>
      </c>
      <c r="BR233" s="51">
        <v>0</v>
      </c>
      <c r="BT233" s="30">
        <v>0</v>
      </c>
      <c r="BU233" s="51">
        <v>0</v>
      </c>
      <c r="BW233" s="221">
        <v>0</v>
      </c>
      <c r="BX233" s="222">
        <v>0</v>
      </c>
    </row>
    <row r="234" spans="6:76" x14ac:dyDescent="0.2">
      <c r="F234" s="151">
        <v>230</v>
      </c>
      <c r="G234" s="30">
        <v>1483742.02</v>
      </c>
      <c r="H234" s="28">
        <v>0</v>
      </c>
      <c r="I234" s="28">
        <v>0</v>
      </c>
      <c r="J234" s="28">
        <v>0</v>
      </c>
      <c r="K234" s="28">
        <v>0</v>
      </c>
      <c r="L234" s="28">
        <v>0</v>
      </c>
      <c r="M234" s="27">
        <v>0</v>
      </c>
      <c r="N234" s="27">
        <v>60100</v>
      </c>
      <c r="O234" s="51">
        <v>1543842.02</v>
      </c>
      <c r="P234" s="5"/>
      <c r="Q234" s="30">
        <v>5000</v>
      </c>
      <c r="R234" s="27">
        <v>5000</v>
      </c>
      <c r="S234" s="27">
        <v>0</v>
      </c>
      <c r="T234" s="51">
        <v>1538842.02</v>
      </c>
      <c r="U234" s="5"/>
      <c r="V234" s="30">
        <v>0</v>
      </c>
      <c r="W234" s="51">
        <v>1478742.02</v>
      </c>
      <c r="Y234" s="30">
        <v>0</v>
      </c>
      <c r="Z234" s="27">
        <v>0</v>
      </c>
      <c r="AA234" s="27">
        <v>0</v>
      </c>
      <c r="AB234" s="51">
        <v>381136.36047068855</v>
      </c>
      <c r="AD234" s="30">
        <v>3092301902.0899878</v>
      </c>
      <c r="AE234" s="27">
        <v>132872.22168079135</v>
      </c>
      <c r="AF234" s="27">
        <v>3092169029.8683071</v>
      </c>
      <c r="AG234" s="51">
        <v>248264.1387898972</v>
      </c>
      <c r="AI234" s="30">
        <v>0</v>
      </c>
      <c r="AJ234" s="51">
        <v>1478742.02</v>
      </c>
      <c r="AL234" s="43">
        <v>60000</v>
      </c>
      <c r="AM234" s="52">
        <v>-100</v>
      </c>
      <c r="AN234" s="53">
        <v>60000</v>
      </c>
      <c r="AO234" s="54">
        <v>1478842.02</v>
      </c>
      <c r="AQ234" s="30">
        <v>0</v>
      </c>
      <c r="AR234" s="27">
        <v>0</v>
      </c>
      <c r="AS234" s="27">
        <v>0</v>
      </c>
      <c r="AT234" s="51">
        <v>1478842.02</v>
      </c>
      <c r="AV234" s="30">
        <v>0</v>
      </c>
      <c r="AW234" s="27">
        <v>0</v>
      </c>
      <c r="AX234" s="27">
        <v>0</v>
      </c>
      <c r="AY234" s="51">
        <v>1478842.02</v>
      </c>
      <c r="BA234" s="30">
        <v>0</v>
      </c>
      <c r="BB234" s="27">
        <v>0</v>
      </c>
      <c r="BC234" s="27">
        <v>0</v>
      </c>
      <c r="BD234" s="51">
        <v>1478842.02</v>
      </c>
      <c r="BF234" s="30">
        <v>0</v>
      </c>
      <c r="BG234" s="27">
        <v>0</v>
      </c>
      <c r="BH234" s="27">
        <v>0</v>
      </c>
      <c r="BI234" s="51">
        <v>1478842.02</v>
      </c>
      <c r="BK234" s="30">
        <v>0</v>
      </c>
      <c r="BL234" s="27">
        <v>0</v>
      </c>
      <c r="BM234" s="27">
        <v>0</v>
      </c>
      <c r="BN234" s="51">
        <v>1478842.02</v>
      </c>
      <c r="BP234" s="30">
        <v>1478842.02</v>
      </c>
      <c r="BQ234" s="20">
        <v>580691030.13693368</v>
      </c>
      <c r="BR234" s="51">
        <v>0</v>
      </c>
      <c r="BT234" s="30">
        <v>0</v>
      </c>
      <c r="BU234" s="51">
        <v>0</v>
      </c>
      <c r="BW234" s="221">
        <v>0</v>
      </c>
      <c r="BX234" s="222">
        <v>0</v>
      </c>
    </row>
    <row r="235" spans="6:76" x14ac:dyDescent="0.2">
      <c r="F235" s="151">
        <v>231</v>
      </c>
      <c r="G235" s="30">
        <v>1359190.5</v>
      </c>
      <c r="H235" s="28">
        <v>0</v>
      </c>
      <c r="I235" s="28">
        <v>0</v>
      </c>
      <c r="J235" s="28">
        <v>0</v>
      </c>
      <c r="K235" s="28">
        <v>0</v>
      </c>
      <c r="L235" s="28">
        <v>0</v>
      </c>
      <c r="M235" s="27">
        <v>0</v>
      </c>
      <c r="N235" s="27">
        <v>60100</v>
      </c>
      <c r="O235" s="51">
        <v>1419290.5</v>
      </c>
      <c r="P235" s="5"/>
      <c r="Q235" s="30">
        <v>5000</v>
      </c>
      <c r="R235" s="27">
        <v>5000</v>
      </c>
      <c r="S235" s="27">
        <v>0</v>
      </c>
      <c r="T235" s="51">
        <v>1414290.5</v>
      </c>
      <c r="U235" s="5"/>
      <c r="V235" s="30">
        <v>0</v>
      </c>
      <c r="W235" s="51">
        <v>1354190.5</v>
      </c>
      <c r="Y235" s="30">
        <v>0</v>
      </c>
      <c r="Z235" s="27">
        <v>0</v>
      </c>
      <c r="AA235" s="27">
        <v>0</v>
      </c>
      <c r="AB235" s="51">
        <v>800914.02086356422</v>
      </c>
      <c r="AD235" s="30">
        <v>3179412300.671658</v>
      </c>
      <c r="AE235" s="27">
        <v>132872.22168079135</v>
      </c>
      <c r="AF235" s="27">
        <v>3179279428.4499774</v>
      </c>
      <c r="AG235" s="51">
        <v>668041.79918277287</v>
      </c>
      <c r="AI235" s="30">
        <v>0</v>
      </c>
      <c r="AJ235" s="51">
        <v>1354190.5</v>
      </c>
      <c r="AL235" s="43">
        <v>60000</v>
      </c>
      <c r="AM235" s="52">
        <v>-100</v>
      </c>
      <c r="AN235" s="53">
        <v>60000</v>
      </c>
      <c r="AO235" s="54">
        <v>1354290.5</v>
      </c>
      <c r="AQ235" s="30">
        <v>0</v>
      </c>
      <c r="AR235" s="27">
        <v>0</v>
      </c>
      <c r="AS235" s="27">
        <v>0</v>
      </c>
      <c r="AT235" s="51">
        <v>1354290.5</v>
      </c>
      <c r="AV235" s="30">
        <v>0</v>
      </c>
      <c r="AW235" s="27">
        <v>0</v>
      </c>
      <c r="AX235" s="27">
        <v>0</v>
      </c>
      <c r="AY235" s="51">
        <v>1354290.5</v>
      </c>
      <c r="BA235" s="30">
        <v>0</v>
      </c>
      <c r="BB235" s="27">
        <v>0</v>
      </c>
      <c r="BC235" s="27">
        <v>0</v>
      </c>
      <c r="BD235" s="51">
        <v>1354290.5</v>
      </c>
      <c r="BF235" s="30">
        <v>0</v>
      </c>
      <c r="BG235" s="27">
        <v>0</v>
      </c>
      <c r="BH235" s="27">
        <v>0</v>
      </c>
      <c r="BI235" s="51">
        <v>1354290.5</v>
      </c>
      <c r="BK235" s="30">
        <v>0</v>
      </c>
      <c r="BL235" s="27">
        <v>0</v>
      </c>
      <c r="BM235" s="27">
        <v>0</v>
      </c>
      <c r="BN235" s="51">
        <v>1354290.5</v>
      </c>
      <c r="BP235" s="30">
        <v>1354290.5</v>
      </c>
      <c r="BQ235" s="20">
        <v>582045320.63693368</v>
      </c>
      <c r="BR235" s="51">
        <v>0</v>
      </c>
      <c r="BT235" s="30">
        <v>0</v>
      </c>
      <c r="BU235" s="51">
        <v>0</v>
      </c>
      <c r="BW235" s="221">
        <v>0</v>
      </c>
      <c r="BX235" s="222">
        <v>0</v>
      </c>
    </row>
    <row r="236" spans="6:76" x14ac:dyDescent="0.2">
      <c r="F236" s="151">
        <v>232</v>
      </c>
      <c r="G236" s="30">
        <v>906127</v>
      </c>
      <c r="H236" s="28">
        <v>0</v>
      </c>
      <c r="I236" s="28">
        <v>0</v>
      </c>
      <c r="J236" s="28">
        <v>0</v>
      </c>
      <c r="K236" s="28">
        <v>0</v>
      </c>
      <c r="L236" s="28">
        <v>0</v>
      </c>
      <c r="M236" s="27">
        <v>0</v>
      </c>
      <c r="N236" s="27">
        <v>60100</v>
      </c>
      <c r="O236" s="51">
        <v>966227</v>
      </c>
      <c r="P236" s="5"/>
      <c r="Q236" s="30">
        <v>5000</v>
      </c>
      <c r="R236" s="27">
        <v>5000</v>
      </c>
      <c r="S236" s="27">
        <v>0</v>
      </c>
      <c r="T236" s="51">
        <v>961227</v>
      </c>
      <c r="U236" s="5"/>
      <c r="V236" s="30">
        <v>0</v>
      </c>
      <c r="W236" s="51">
        <v>901127</v>
      </c>
      <c r="Y236" s="30">
        <v>0</v>
      </c>
      <c r="Z236" s="27">
        <v>0</v>
      </c>
      <c r="AA236" s="27">
        <v>0</v>
      </c>
      <c r="AB236" s="51">
        <v>1292643.0192528497</v>
      </c>
      <c r="AD236" s="30">
        <v>3268980454.9645586</v>
      </c>
      <c r="AE236" s="27">
        <v>132872.22168079135</v>
      </c>
      <c r="AF236" s="27">
        <v>3268847582.742878</v>
      </c>
      <c r="AG236" s="51">
        <v>1159770.7975720584</v>
      </c>
      <c r="AI236" s="30">
        <v>0</v>
      </c>
      <c r="AJ236" s="51">
        <v>901127</v>
      </c>
      <c r="AL236" s="43">
        <v>60000</v>
      </c>
      <c r="AM236" s="52">
        <v>-100</v>
      </c>
      <c r="AN236" s="53">
        <v>60000</v>
      </c>
      <c r="AO236" s="54">
        <v>901227</v>
      </c>
      <c r="AQ236" s="30">
        <v>0</v>
      </c>
      <c r="AR236" s="27">
        <v>0</v>
      </c>
      <c r="AS236" s="27">
        <v>0</v>
      </c>
      <c r="AT236" s="51">
        <v>901227</v>
      </c>
      <c r="AV236" s="30">
        <v>0</v>
      </c>
      <c r="AW236" s="27">
        <v>0</v>
      </c>
      <c r="AX236" s="27">
        <v>0</v>
      </c>
      <c r="AY236" s="51">
        <v>901227</v>
      </c>
      <c r="BA236" s="30">
        <v>0</v>
      </c>
      <c r="BB236" s="27">
        <v>0</v>
      </c>
      <c r="BC236" s="27">
        <v>0</v>
      </c>
      <c r="BD236" s="51">
        <v>901227</v>
      </c>
      <c r="BF236" s="30">
        <v>0</v>
      </c>
      <c r="BG236" s="27">
        <v>0</v>
      </c>
      <c r="BH236" s="27">
        <v>0</v>
      </c>
      <c r="BI236" s="51">
        <v>901227</v>
      </c>
      <c r="BK236" s="30">
        <v>0</v>
      </c>
      <c r="BL236" s="27">
        <v>0</v>
      </c>
      <c r="BM236" s="27">
        <v>0</v>
      </c>
      <c r="BN236" s="51">
        <v>901227</v>
      </c>
      <c r="BP236" s="30">
        <v>901227</v>
      </c>
      <c r="BQ236" s="20">
        <v>582946547.63693368</v>
      </c>
      <c r="BR236" s="51">
        <v>0</v>
      </c>
      <c r="BT236" s="30">
        <v>0</v>
      </c>
      <c r="BU236" s="51">
        <v>0</v>
      </c>
      <c r="BW236" s="221">
        <v>0</v>
      </c>
      <c r="BX236" s="222">
        <v>0</v>
      </c>
    </row>
    <row r="237" spans="6:76" x14ac:dyDescent="0.2">
      <c r="F237" s="151">
        <v>233</v>
      </c>
      <c r="G237" s="30">
        <v>746301.46</v>
      </c>
      <c r="H237" s="28">
        <v>0</v>
      </c>
      <c r="I237" s="28">
        <v>0</v>
      </c>
      <c r="J237" s="28">
        <v>0</v>
      </c>
      <c r="K237" s="28">
        <v>0</v>
      </c>
      <c r="L237" s="28">
        <v>0</v>
      </c>
      <c r="M237" s="27">
        <v>0</v>
      </c>
      <c r="N237" s="27">
        <v>60100</v>
      </c>
      <c r="O237" s="51">
        <v>806401.46</v>
      </c>
      <c r="P237" s="5"/>
      <c r="Q237" s="30">
        <v>5000</v>
      </c>
      <c r="R237" s="27">
        <v>5000</v>
      </c>
      <c r="S237" s="27">
        <v>0</v>
      </c>
      <c r="T237" s="51">
        <v>801401.46</v>
      </c>
      <c r="U237" s="5"/>
      <c r="V237" s="30">
        <v>0</v>
      </c>
      <c r="W237" s="51">
        <v>741301.46</v>
      </c>
      <c r="Y237" s="30">
        <v>0</v>
      </c>
      <c r="Z237" s="27">
        <v>0</v>
      </c>
      <c r="AA237" s="27">
        <v>0</v>
      </c>
      <c r="AB237" s="51">
        <v>1292643.0192528497</v>
      </c>
      <c r="AD237" s="30">
        <v>3361075708.7351561</v>
      </c>
      <c r="AE237" s="27">
        <v>132872.22168079135</v>
      </c>
      <c r="AF237" s="27">
        <v>3360942836.5134754</v>
      </c>
      <c r="AG237" s="51">
        <v>1159770.7975720584</v>
      </c>
      <c r="AI237" s="30">
        <v>0</v>
      </c>
      <c r="AJ237" s="51">
        <v>741301.46</v>
      </c>
      <c r="AL237" s="43">
        <v>60000</v>
      </c>
      <c r="AM237" s="52">
        <v>-100</v>
      </c>
      <c r="AN237" s="53">
        <v>60000</v>
      </c>
      <c r="AO237" s="54">
        <v>741401.46</v>
      </c>
      <c r="AQ237" s="30">
        <v>0</v>
      </c>
      <c r="AR237" s="27">
        <v>0</v>
      </c>
      <c r="AS237" s="27">
        <v>0</v>
      </c>
      <c r="AT237" s="51">
        <v>741401.46</v>
      </c>
      <c r="AV237" s="30">
        <v>0</v>
      </c>
      <c r="AW237" s="27">
        <v>0</v>
      </c>
      <c r="AX237" s="27">
        <v>0</v>
      </c>
      <c r="AY237" s="51">
        <v>741401.46</v>
      </c>
      <c r="BA237" s="30">
        <v>0</v>
      </c>
      <c r="BB237" s="27">
        <v>0</v>
      </c>
      <c r="BC237" s="27">
        <v>0</v>
      </c>
      <c r="BD237" s="51">
        <v>741401.46</v>
      </c>
      <c r="BF237" s="30">
        <v>0</v>
      </c>
      <c r="BG237" s="27">
        <v>0</v>
      </c>
      <c r="BH237" s="27">
        <v>0</v>
      </c>
      <c r="BI237" s="51">
        <v>741401.46</v>
      </c>
      <c r="BK237" s="30">
        <v>0</v>
      </c>
      <c r="BL237" s="27">
        <v>0</v>
      </c>
      <c r="BM237" s="27">
        <v>0</v>
      </c>
      <c r="BN237" s="51">
        <v>741401.46</v>
      </c>
      <c r="BP237" s="30">
        <v>741401.46</v>
      </c>
      <c r="BQ237" s="20">
        <v>583687949.09693372</v>
      </c>
      <c r="BR237" s="51">
        <v>0</v>
      </c>
      <c r="BT237" s="30">
        <v>0</v>
      </c>
      <c r="BU237" s="51">
        <v>0</v>
      </c>
      <c r="BW237" s="221">
        <v>0</v>
      </c>
      <c r="BX237" s="222">
        <v>0</v>
      </c>
    </row>
    <row r="238" spans="6:76" x14ac:dyDescent="0.2">
      <c r="F238" s="151">
        <v>234</v>
      </c>
      <c r="G238" s="30">
        <v>373150.73</v>
      </c>
      <c r="H238" s="28">
        <v>0</v>
      </c>
      <c r="I238" s="28">
        <v>0</v>
      </c>
      <c r="J238" s="28">
        <v>0</v>
      </c>
      <c r="K238" s="28">
        <v>0</v>
      </c>
      <c r="L238" s="28">
        <v>0</v>
      </c>
      <c r="M238" s="27">
        <v>0</v>
      </c>
      <c r="N238" s="27">
        <v>60100</v>
      </c>
      <c r="O238" s="51">
        <v>433250.73</v>
      </c>
      <c r="P238" s="5"/>
      <c r="Q238" s="30">
        <v>5000</v>
      </c>
      <c r="R238" s="27">
        <v>5000</v>
      </c>
      <c r="S238" s="27">
        <v>0</v>
      </c>
      <c r="T238" s="51">
        <v>428250.73</v>
      </c>
      <c r="U238" s="5"/>
      <c r="V238" s="30">
        <v>0</v>
      </c>
      <c r="W238" s="51">
        <v>368150.73</v>
      </c>
      <c r="Y238" s="30">
        <v>0</v>
      </c>
      <c r="Z238" s="27">
        <v>0</v>
      </c>
      <c r="AA238" s="27">
        <v>0</v>
      </c>
      <c r="AB238" s="51">
        <v>1292643.0192528497</v>
      </c>
      <c r="AD238" s="30">
        <v>3455769362.2331948</v>
      </c>
      <c r="AE238" s="27">
        <v>132872.22168079135</v>
      </c>
      <c r="AF238" s="27">
        <v>3455636490.0115142</v>
      </c>
      <c r="AG238" s="51">
        <v>1159770.7975720584</v>
      </c>
      <c r="AI238" s="30">
        <v>0</v>
      </c>
      <c r="AJ238" s="51">
        <v>368150.73</v>
      </c>
      <c r="AL238" s="43">
        <v>60000</v>
      </c>
      <c r="AM238" s="52">
        <v>-100</v>
      </c>
      <c r="AN238" s="53">
        <v>60000</v>
      </c>
      <c r="AO238" s="54">
        <v>368250.73</v>
      </c>
      <c r="AQ238" s="30">
        <v>0</v>
      </c>
      <c r="AR238" s="27">
        <v>0</v>
      </c>
      <c r="AS238" s="27">
        <v>0</v>
      </c>
      <c r="AT238" s="51">
        <v>368250.73</v>
      </c>
      <c r="AV238" s="30">
        <v>0</v>
      </c>
      <c r="AW238" s="27">
        <v>0</v>
      </c>
      <c r="AX238" s="27">
        <v>0</v>
      </c>
      <c r="AY238" s="51">
        <v>368250.73</v>
      </c>
      <c r="BA238" s="30">
        <v>0</v>
      </c>
      <c r="BB238" s="27">
        <v>0</v>
      </c>
      <c r="BC238" s="27">
        <v>0</v>
      </c>
      <c r="BD238" s="51">
        <v>368250.73</v>
      </c>
      <c r="BF238" s="30">
        <v>0</v>
      </c>
      <c r="BG238" s="27">
        <v>0</v>
      </c>
      <c r="BH238" s="27">
        <v>0</v>
      </c>
      <c r="BI238" s="51">
        <v>368250.73</v>
      </c>
      <c r="BK238" s="30">
        <v>0</v>
      </c>
      <c r="BL238" s="27">
        <v>0</v>
      </c>
      <c r="BM238" s="27">
        <v>0</v>
      </c>
      <c r="BN238" s="51">
        <v>368250.73</v>
      </c>
      <c r="BP238" s="30">
        <v>368250.73</v>
      </c>
      <c r="BQ238" s="20">
        <v>584056199.82693374</v>
      </c>
      <c r="BR238" s="51">
        <v>0</v>
      </c>
      <c r="BT238" s="30">
        <v>0</v>
      </c>
      <c r="BU238" s="51">
        <v>0</v>
      </c>
      <c r="BW238" s="221">
        <v>0</v>
      </c>
      <c r="BX238" s="222">
        <v>0</v>
      </c>
    </row>
    <row r="239" spans="6:76" x14ac:dyDescent="0.2">
      <c r="F239" s="151">
        <v>235</v>
      </c>
      <c r="G239" s="30">
        <v>373150.73</v>
      </c>
      <c r="H239" s="28">
        <v>0</v>
      </c>
      <c r="I239" s="28">
        <v>0</v>
      </c>
      <c r="J239" s="28">
        <v>0</v>
      </c>
      <c r="K239" s="28">
        <v>0</v>
      </c>
      <c r="L239" s="28">
        <v>0</v>
      </c>
      <c r="M239" s="27">
        <v>0</v>
      </c>
      <c r="N239" s="27">
        <v>60100</v>
      </c>
      <c r="O239" s="51">
        <v>433250.73</v>
      </c>
      <c r="P239" s="5"/>
      <c r="Q239" s="30">
        <v>5000</v>
      </c>
      <c r="R239" s="27">
        <v>5000</v>
      </c>
      <c r="S239" s="27">
        <v>0</v>
      </c>
      <c r="T239" s="51">
        <v>428250.73</v>
      </c>
      <c r="U239" s="5"/>
      <c r="V239" s="30">
        <v>0</v>
      </c>
      <c r="W239" s="51">
        <v>368150.73</v>
      </c>
      <c r="Y239" s="30">
        <v>0</v>
      </c>
      <c r="Z239" s="27">
        <v>0</v>
      </c>
      <c r="AA239" s="27">
        <v>0</v>
      </c>
      <c r="AB239" s="51">
        <v>1292643.0192528497</v>
      </c>
      <c r="AD239" s="30">
        <v>3553134727.3924294</v>
      </c>
      <c r="AE239" s="27">
        <v>132872.22168079135</v>
      </c>
      <c r="AF239" s="27">
        <v>3553001855.1707487</v>
      </c>
      <c r="AG239" s="51">
        <v>1159770.7975720584</v>
      </c>
      <c r="AI239" s="30">
        <v>0</v>
      </c>
      <c r="AJ239" s="51">
        <v>368150.73</v>
      </c>
      <c r="AL239" s="43">
        <v>60000</v>
      </c>
      <c r="AM239" s="52">
        <v>-100</v>
      </c>
      <c r="AN239" s="53">
        <v>60000</v>
      </c>
      <c r="AO239" s="54">
        <v>368250.73</v>
      </c>
      <c r="AQ239" s="30">
        <v>0</v>
      </c>
      <c r="AR239" s="27">
        <v>0</v>
      </c>
      <c r="AS239" s="27">
        <v>0</v>
      </c>
      <c r="AT239" s="51">
        <v>368250.73</v>
      </c>
      <c r="AV239" s="30">
        <v>0</v>
      </c>
      <c r="AW239" s="27">
        <v>0</v>
      </c>
      <c r="AX239" s="27">
        <v>0</v>
      </c>
      <c r="AY239" s="51">
        <v>368250.73</v>
      </c>
      <c r="BA239" s="30">
        <v>0</v>
      </c>
      <c r="BB239" s="27">
        <v>0</v>
      </c>
      <c r="BC239" s="27">
        <v>0</v>
      </c>
      <c r="BD239" s="51">
        <v>368250.73</v>
      </c>
      <c r="BF239" s="30">
        <v>0</v>
      </c>
      <c r="BG239" s="27">
        <v>0</v>
      </c>
      <c r="BH239" s="27">
        <v>0</v>
      </c>
      <c r="BI239" s="51">
        <v>368250.73</v>
      </c>
      <c r="BK239" s="30">
        <v>0</v>
      </c>
      <c r="BL239" s="27">
        <v>0</v>
      </c>
      <c r="BM239" s="27">
        <v>0</v>
      </c>
      <c r="BN239" s="51">
        <v>368250.73</v>
      </c>
      <c r="BP239" s="30">
        <v>368250.73</v>
      </c>
      <c r="BQ239" s="20">
        <v>584424450.55693376</v>
      </c>
      <c r="BR239" s="51">
        <v>0</v>
      </c>
      <c r="BT239" s="30">
        <v>0</v>
      </c>
      <c r="BU239" s="51">
        <v>0</v>
      </c>
      <c r="BW239" s="221">
        <v>0</v>
      </c>
      <c r="BX239" s="222">
        <v>0</v>
      </c>
    </row>
    <row r="240" spans="6:76" x14ac:dyDescent="0.2">
      <c r="F240" s="151">
        <v>236</v>
      </c>
      <c r="G240" s="30">
        <v>1116903.54</v>
      </c>
      <c r="H240" s="28">
        <v>0</v>
      </c>
      <c r="I240" s="28">
        <v>0</v>
      </c>
      <c r="J240" s="28">
        <v>0</v>
      </c>
      <c r="K240" s="28">
        <v>0</v>
      </c>
      <c r="L240" s="28">
        <v>0</v>
      </c>
      <c r="M240" s="27">
        <v>0</v>
      </c>
      <c r="N240" s="27">
        <v>60100</v>
      </c>
      <c r="O240" s="51">
        <v>1177003.54</v>
      </c>
      <c r="P240" s="5"/>
      <c r="Q240" s="30">
        <v>5000</v>
      </c>
      <c r="R240" s="27">
        <v>5000</v>
      </c>
      <c r="S240" s="27">
        <v>0</v>
      </c>
      <c r="T240" s="51">
        <v>1172003.54</v>
      </c>
      <c r="U240" s="5"/>
      <c r="V240" s="30">
        <v>0</v>
      </c>
      <c r="W240" s="51">
        <v>1111903.54</v>
      </c>
      <c r="Y240" s="30">
        <v>0</v>
      </c>
      <c r="Z240" s="27">
        <v>0</v>
      </c>
      <c r="AA240" s="27">
        <v>0</v>
      </c>
      <c r="AB240" s="51">
        <v>861762.01283523324</v>
      </c>
      <c r="AD240" s="30">
        <v>3653247184.5888081</v>
      </c>
      <c r="AE240" s="27">
        <v>132872.22168079135</v>
      </c>
      <c r="AF240" s="27">
        <v>3653114312.3671274</v>
      </c>
      <c r="AG240" s="51">
        <v>728889.79115444189</v>
      </c>
      <c r="AI240" s="30">
        <v>0</v>
      </c>
      <c r="AJ240" s="51">
        <v>1111903.54</v>
      </c>
      <c r="AL240" s="43">
        <v>60000</v>
      </c>
      <c r="AM240" s="52">
        <v>-100</v>
      </c>
      <c r="AN240" s="53">
        <v>60000</v>
      </c>
      <c r="AO240" s="54">
        <v>1112003.54</v>
      </c>
      <c r="AQ240" s="30">
        <v>0</v>
      </c>
      <c r="AR240" s="27">
        <v>0</v>
      </c>
      <c r="AS240" s="27">
        <v>0</v>
      </c>
      <c r="AT240" s="51">
        <v>1112003.54</v>
      </c>
      <c r="AV240" s="30">
        <v>0</v>
      </c>
      <c r="AW240" s="27">
        <v>0</v>
      </c>
      <c r="AX240" s="27">
        <v>0</v>
      </c>
      <c r="AY240" s="51">
        <v>1112003.54</v>
      </c>
      <c r="BA240" s="30">
        <v>0</v>
      </c>
      <c r="BB240" s="27">
        <v>0</v>
      </c>
      <c r="BC240" s="27">
        <v>0</v>
      </c>
      <c r="BD240" s="51">
        <v>1112003.54</v>
      </c>
      <c r="BF240" s="30">
        <v>0</v>
      </c>
      <c r="BG240" s="27">
        <v>0</v>
      </c>
      <c r="BH240" s="27">
        <v>0</v>
      </c>
      <c r="BI240" s="51">
        <v>1112003.54</v>
      </c>
      <c r="BK240" s="30">
        <v>0</v>
      </c>
      <c r="BL240" s="27">
        <v>0</v>
      </c>
      <c r="BM240" s="27">
        <v>0</v>
      </c>
      <c r="BN240" s="51">
        <v>1112003.54</v>
      </c>
      <c r="BP240" s="30">
        <v>1112003.54</v>
      </c>
      <c r="BQ240" s="20">
        <v>585536454.09693372</v>
      </c>
      <c r="BR240" s="51">
        <v>0</v>
      </c>
      <c r="BT240" s="30">
        <v>0</v>
      </c>
      <c r="BU240" s="51">
        <v>0</v>
      </c>
      <c r="BW240" s="221">
        <v>0</v>
      </c>
      <c r="BX240" s="222">
        <v>0</v>
      </c>
    </row>
    <row r="241" spans="5:76" x14ac:dyDescent="0.2">
      <c r="F241" s="151">
        <v>237</v>
      </c>
      <c r="G241" s="30">
        <v>1022130.6</v>
      </c>
      <c r="H241" s="28">
        <v>0</v>
      </c>
      <c r="I241" s="28">
        <v>0</v>
      </c>
      <c r="J241" s="28">
        <v>0</v>
      </c>
      <c r="K241" s="28">
        <v>0</v>
      </c>
      <c r="L241" s="28">
        <v>0</v>
      </c>
      <c r="M241" s="27">
        <v>0</v>
      </c>
      <c r="N241" s="27">
        <v>60100</v>
      </c>
      <c r="O241" s="51">
        <v>1082230.6000000001</v>
      </c>
      <c r="P241" s="5"/>
      <c r="Q241" s="30">
        <v>5000</v>
      </c>
      <c r="R241" s="27">
        <v>5000</v>
      </c>
      <c r="S241" s="27">
        <v>0</v>
      </c>
      <c r="T241" s="51">
        <v>1077230.6000000001</v>
      </c>
      <c r="U241" s="5"/>
      <c r="V241" s="30">
        <v>0</v>
      </c>
      <c r="W241" s="51">
        <v>1017130.6000000001</v>
      </c>
      <c r="Y241" s="30">
        <v>0</v>
      </c>
      <c r="Z241" s="27">
        <v>0</v>
      </c>
      <c r="AA241" s="27">
        <v>0</v>
      </c>
      <c r="AB241" s="51">
        <v>861762.01283523324</v>
      </c>
      <c r="AD241" s="30">
        <v>3756184241.0000439</v>
      </c>
      <c r="AE241" s="27">
        <v>132872.22168079135</v>
      </c>
      <c r="AF241" s="27">
        <v>3756051368.7783632</v>
      </c>
      <c r="AG241" s="51">
        <v>728889.79115444189</v>
      </c>
      <c r="AI241" s="30">
        <v>0</v>
      </c>
      <c r="AJ241" s="51">
        <v>1017130.6000000001</v>
      </c>
      <c r="AL241" s="43">
        <v>60000</v>
      </c>
      <c r="AM241" s="52">
        <v>-100</v>
      </c>
      <c r="AN241" s="53">
        <v>60000</v>
      </c>
      <c r="AO241" s="54">
        <v>1017230.6000000001</v>
      </c>
      <c r="AQ241" s="30">
        <v>0</v>
      </c>
      <c r="AR241" s="27">
        <v>0</v>
      </c>
      <c r="AS241" s="27">
        <v>0</v>
      </c>
      <c r="AT241" s="51">
        <v>1017230.6000000001</v>
      </c>
      <c r="AV241" s="30">
        <v>0</v>
      </c>
      <c r="AW241" s="27">
        <v>0</v>
      </c>
      <c r="AX241" s="27">
        <v>0</v>
      </c>
      <c r="AY241" s="51">
        <v>1017230.6000000001</v>
      </c>
      <c r="BA241" s="30">
        <v>0</v>
      </c>
      <c r="BB241" s="27">
        <v>0</v>
      </c>
      <c r="BC241" s="27">
        <v>0</v>
      </c>
      <c r="BD241" s="51">
        <v>1017230.6000000001</v>
      </c>
      <c r="BF241" s="30">
        <v>0</v>
      </c>
      <c r="BG241" s="27">
        <v>0</v>
      </c>
      <c r="BH241" s="27">
        <v>0</v>
      </c>
      <c r="BI241" s="51">
        <v>1017230.6000000001</v>
      </c>
      <c r="BK241" s="30">
        <v>0</v>
      </c>
      <c r="BL241" s="27">
        <v>0</v>
      </c>
      <c r="BM241" s="27">
        <v>0</v>
      </c>
      <c r="BN241" s="51">
        <v>1017230.6000000001</v>
      </c>
      <c r="BP241" s="30">
        <v>1017230.6000000001</v>
      </c>
      <c r="BQ241" s="20">
        <v>586553684.69693375</v>
      </c>
      <c r="BR241" s="51">
        <v>0</v>
      </c>
      <c r="BT241" s="30">
        <v>0</v>
      </c>
      <c r="BU241" s="51">
        <v>0</v>
      </c>
      <c r="BW241" s="221">
        <v>0</v>
      </c>
      <c r="BX241" s="222">
        <v>0</v>
      </c>
    </row>
    <row r="242" spans="5:76" x14ac:dyDescent="0.2">
      <c r="F242" s="151">
        <v>238</v>
      </c>
      <c r="G242" s="30">
        <v>1022130.6</v>
      </c>
      <c r="H242" s="28">
        <v>0</v>
      </c>
      <c r="I242" s="28">
        <v>0</v>
      </c>
      <c r="J242" s="28">
        <v>0</v>
      </c>
      <c r="K242" s="28">
        <v>0</v>
      </c>
      <c r="L242" s="28">
        <v>0</v>
      </c>
      <c r="M242" s="27">
        <v>0</v>
      </c>
      <c r="N242" s="27">
        <v>60100</v>
      </c>
      <c r="O242" s="51">
        <v>1082230.6000000001</v>
      </c>
      <c r="P242" s="5"/>
      <c r="Q242" s="30">
        <v>5000</v>
      </c>
      <c r="R242" s="27">
        <v>5000</v>
      </c>
      <c r="S242" s="27">
        <v>0</v>
      </c>
      <c r="T242" s="51">
        <v>1077230.6000000001</v>
      </c>
      <c r="U242" s="5"/>
      <c r="V242" s="30">
        <v>0</v>
      </c>
      <c r="W242" s="51">
        <v>1017130.6000000001</v>
      </c>
      <c r="Y242" s="30">
        <v>0</v>
      </c>
      <c r="Z242" s="27">
        <v>0</v>
      </c>
      <c r="AA242" s="27">
        <v>0</v>
      </c>
      <c r="AB242" s="51">
        <v>387475.04773183516</v>
      </c>
      <c r="AD242" s="30">
        <v>3862025590.6117611</v>
      </c>
      <c r="AE242" s="27">
        <v>132872.22168079135</v>
      </c>
      <c r="AF242" s="27">
        <v>3861892718.3900805</v>
      </c>
      <c r="AG242" s="51">
        <v>254602.82605104381</v>
      </c>
      <c r="AI242" s="30">
        <v>0</v>
      </c>
      <c r="AJ242" s="51">
        <v>1017130.6000000001</v>
      </c>
      <c r="AL242" s="43">
        <v>60000</v>
      </c>
      <c r="AM242" s="52">
        <v>-100</v>
      </c>
      <c r="AN242" s="53">
        <v>60000</v>
      </c>
      <c r="AO242" s="54">
        <v>1017230.6000000001</v>
      </c>
      <c r="AQ242" s="30">
        <v>0</v>
      </c>
      <c r="AR242" s="27">
        <v>0</v>
      </c>
      <c r="AS242" s="27">
        <v>0</v>
      </c>
      <c r="AT242" s="51">
        <v>1017230.6000000001</v>
      </c>
      <c r="AV242" s="30">
        <v>0</v>
      </c>
      <c r="AW242" s="27">
        <v>0</v>
      </c>
      <c r="AX242" s="27">
        <v>0</v>
      </c>
      <c r="AY242" s="51">
        <v>1017230.6000000001</v>
      </c>
      <c r="BA242" s="30">
        <v>0</v>
      </c>
      <c r="BB242" s="27">
        <v>0</v>
      </c>
      <c r="BC242" s="27">
        <v>0</v>
      </c>
      <c r="BD242" s="51">
        <v>1017230.6000000001</v>
      </c>
      <c r="BF242" s="30">
        <v>0</v>
      </c>
      <c r="BG242" s="27">
        <v>0</v>
      </c>
      <c r="BH242" s="27">
        <v>0</v>
      </c>
      <c r="BI242" s="51">
        <v>1017230.6000000001</v>
      </c>
      <c r="BK242" s="30">
        <v>0</v>
      </c>
      <c r="BL242" s="27">
        <v>0</v>
      </c>
      <c r="BM242" s="27">
        <v>0</v>
      </c>
      <c r="BN242" s="51">
        <v>1017230.6000000001</v>
      </c>
      <c r="BP242" s="30">
        <v>1017230.6000000001</v>
      </c>
      <c r="BQ242" s="20">
        <v>587570915.29693377</v>
      </c>
      <c r="BR242" s="51">
        <v>0</v>
      </c>
      <c r="BT242" s="30">
        <v>0</v>
      </c>
      <c r="BU242" s="51">
        <v>0</v>
      </c>
      <c r="BW242" s="221">
        <v>0</v>
      </c>
      <c r="BX242" s="222">
        <v>0</v>
      </c>
    </row>
    <row r="243" spans="5:76" x14ac:dyDescent="0.2">
      <c r="F243" s="151">
        <v>239</v>
      </c>
      <c r="G243" s="30">
        <v>1022130.6</v>
      </c>
      <c r="H243" s="28">
        <v>0</v>
      </c>
      <c r="I243" s="28">
        <v>0</v>
      </c>
      <c r="J243" s="28">
        <v>0</v>
      </c>
      <c r="K243" s="28">
        <v>0</v>
      </c>
      <c r="L243" s="28">
        <v>0</v>
      </c>
      <c r="M243" s="27">
        <v>0</v>
      </c>
      <c r="N243" s="27">
        <v>60100</v>
      </c>
      <c r="O243" s="51">
        <v>1082230.6000000001</v>
      </c>
      <c r="P243" s="5"/>
      <c r="Q243" s="30">
        <v>5000</v>
      </c>
      <c r="R243" s="27">
        <v>5000</v>
      </c>
      <c r="S243" s="27">
        <v>0</v>
      </c>
      <c r="T243" s="51">
        <v>1077230.6000000001</v>
      </c>
      <c r="U243" s="5"/>
      <c r="V243" s="30">
        <v>0</v>
      </c>
      <c r="W243" s="51">
        <v>1017130.6000000001</v>
      </c>
      <c r="Y243" s="30">
        <v>0</v>
      </c>
      <c r="Z243" s="27">
        <v>0</v>
      </c>
      <c r="AA243" s="27">
        <v>0</v>
      </c>
      <c r="AB243" s="51">
        <v>387475.04773183516</v>
      </c>
      <c r="AD243" s="30">
        <v>3970853175.9166675</v>
      </c>
      <c r="AE243" s="27">
        <v>132872.22168079135</v>
      </c>
      <c r="AF243" s="27">
        <v>3970720303.6949868</v>
      </c>
      <c r="AG243" s="51">
        <v>254602.82605104381</v>
      </c>
      <c r="AI243" s="30">
        <v>0</v>
      </c>
      <c r="AJ243" s="51">
        <v>1017130.6000000001</v>
      </c>
      <c r="AL243" s="43">
        <v>60000</v>
      </c>
      <c r="AM243" s="52">
        <v>-100</v>
      </c>
      <c r="AN243" s="53">
        <v>60000</v>
      </c>
      <c r="AO243" s="54">
        <v>1017230.6000000001</v>
      </c>
      <c r="AQ243" s="30">
        <v>0</v>
      </c>
      <c r="AR243" s="27">
        <v>0</v>
      </c>
      <c r="AS243" s="27">
        <v>0</v>
      </c>
      <c r="AT243" s="51">
        <v>1017230.6000000001</v>
      </c>
      <c r="AV243" s="30">
        <v>0</v>
      </c>
      <c r="AW243" s="27">
        <v>0</v>
      </c>
      <c r="AX243" s="27">
        <v>0</v>
      </c>
      <c r="AY243" s="51">
        <v>1017230.6000000001</v>
      </c>
      <c r="BA243" s="30">
        <v>0</v>
      </c>
      <c r="BB243" s="27">
        <v>0</v>
      </c>
      <c r="BC243" s="27">
        <v>0</v>
      </c>
      <c r="BD243" s="51">
        <v>1017230.6000000001</v>
      </c>
      <c r="BF243" s="30">
        <v>0</v>
      </c>
      <c r="BG243" s="27">
        <v>0</v>
      </c>
      <c r="BH243" s="27">
        <v>0</v>
      </c>
      <c r="BI243" s="51">
        <v>1017230.6000000001</v>
      </c>
      <c r="BK243" s="30">
        <v>0</v>
      </c>
      <c r="BL243" s="27">
        <v>0</v>
      </c>
      <c r="BM243" s="27">
        <v>0</v>
      </c>
      <c r="BN243" s="51">
        <v>1017230.6000000001</v>
      </c>
      <c r="BP243" s="30">
        <v>1017230.6000000001</v>
      </c>
      <c r="BQ243" s="20">
        <v>588588145.89693379</v>
      </c>
      <c r="BR243" s="51">
        <v>0</v>
      </c>
      <c r="BT243" s="30">
        <v>0</v>
      </c>
      <c r="BU243" s="51">
        <v>0</v>
      </c>
      <c r="BW243" s="221">
        <v>0</v>
      </c>
      <c r="BX243" s="222">
        <v>0</v>
      </c>
    </row>
    <row r="244" spans="5:76" x14ac:dyDescent="0.2">
      <c r="E244" s="20"/>
      <c r="F244" s="151">
        <v>240</v>
      </c>
      <c r="G244" s="30">
        <v>19258547.879999999</v>
      </c>
      <c r="H244" s="28">
        <v>0</v>
      </c>
      <c r="I244" s="28">
        <v>0</v>
      </c>
      <c r="J244" s="28">
        <v>0</v>
      </c>
      <c r="K244" s="28">
        <v>0</v>
      </c>
      <c r="L244" s="28">
        <v>0</v>
      </c>
      <c r="M244" s="27">
        <v>0</v>
      </c>
      <c r="N244" s="27">
        <v>60100</v>
      </c>
      <c r="O244" s="51">
        <v>19318647.879999999</v>
      </c>
      <c r="P244" s="5"/>
      <c r="Q244" s="30">
        <v>0</v>
      </c>
      <c r="R244" s="27">
        <v>0</v>
      </c>
      <c r="S244" s="27">
        <v>0</v>
      </c>
      <c r="T244" s="51">
        <v>19318647.879999999</v>
      </c>
      <c r="U244" s="5"/>
      <c r="V244" s="30">
        <v>0</v>
      </c>
      <c r="W244" s="51">
        <v>19258547.879999999</v>
      </c>
      <c r="Y244" s="30">
        <v>0</v>
      </c>
      <c r="Z244" s="27">
        <v>0</v>
      </c>
      <c r="AA244" s="27">
        <v>0</v>
      </c>
      <c r="AB244" s="51">
        <v>18596406.78312818</v>
      </c>
      <c r="AD244" s="30">
        <v>4082751251.354526</v>
      </c>
      <c r="AE244" s="27">
        <v>132872.22168079135</v>
      </c>
      <c r="AF244" s="27">
        <v>4082618379.1328454</v>
      </c>
      <c r="AG244" s="51">
        <v>18463534.561447389</v>
      </c>
      <c r="AI244" s="30">
        <v>0</v>
      </c>
      <c r="AJ244" s="51">
        <v>19258547.879999999</v>
      </c>
      <c r="AL244" s="43">
        <v>0</v>
      </c>
      <c r="AM244" s="52">
        <v>-60100</v>
      </c>
      <c r="AN244" s="53">
        <v>0</v>
      </c>
      <c r="AO244" s="54">
        <v>19318647.879999999</v>
      </c>
      <c r="AQ244" s="30">
        <v>0</v>
      </c>
      <c r="AR244" s="27">
        <v>0</v>
      </c>
      <c r="AS244" s="27">
        <v>0</v>
      </c>
      <c r="AT244" s="51">
        <v>19318647.879999999</v>
      </c>
      <c r="AV244" s="30">
        <v>0</v>
      </c>
      <c r="AW244" s="27">
        <v>0</v>
      </c>
      <c r="AX244" s="27">
        <v>0</v>
      </c>
      <c r="AY244" s="51">
        <v>19318647.879999999</v>
      </c>
      <c r="BA244" s="30">
        <v>0</v>
      </c>
      <c r="BB244" s="27">
        <v>0</v>
      </c>
      <c r="BC244" s="27">
        <v>0</v>
      </c>
      <c r="BD244" s="51">
        <v>19318647.879999999</v>
      </c>
      <c r="BF244" s="30">
        <v>0</v>
      </c>
      <c r="BG244" s="27">
        <v>0</v>
      </c>
      <c r="BH244" s="27">
        <v>0</v>
      </c>
      <c r="BI244" s="51">
        <v>19318647.879999999</v>
      </c>
      <c r="BK244" s="30">
        <v>0</v>
      </c>
      <c r="BL244" s="27">
        <v>0</v>
      </c>
      <c r="BM244" s="27">
        <v>0</v>
      </c>
      <c r="BN244" s="51">
        <v>19318647.879999999</v>
      </c>
      <c r="BP244" s="30">
        <v>19318647.879999999</v>
      </c>
      <c r="BQ244" s="20">
        <v>607906793.77693379</v>
      </c>
      <c r="BR244" s="51">
        <v>0</v>
      </c>
      <c r="BT244" s="30">
        <v>0</v>
      </c>
      <c r="BU244" s="51">
        <v>0</v>
      </c>
      <c r="BW244" s="221">
        <v>0</v>
      </c>
      <c r="BX244" s="222">
        <v>0</v>
      </c>
    </row>
    <row r="245" spans="5:76" x14ac:dyDescent="0.2">
      <c r="F245" s="151">
        <v>241</v>
      </c>
      <c r="G245" s="30">
        <v>0</v>
      </c>
      <c r="H245" s="28">
        <v>0</v>
      </c>
      <c r="I245" s="28">
        <v>0</v>
      </c>
      <c r="J245" s="28">
        <v>0</v>
      </c>
      <c r="K245" s="28">
        <v>0</v>
      </c>
      <c r="L245" s="28">
        <v>0</v>
      </c>
      <c r="M245" s="27">
        <v>0</v>
      </c>
      <c r="N245" s="27">
        <v>0</v>
      </c>
      <c r="O245" s="51">
        <v>0</v>
      </c>
      <c r="P245" s="5"/>
      <c r="Q245" s="30">
        <v>0</v>
      </c>
      <c r="R245" s="27">
        <v>0</v>
      </c>
      <c r="S245" s="27">
        <v>0</v>
      </c>
      <c r="T245" s="51">
        <v>0</v>
      </c>
      <c r="U245" s="5"/>
      <c r="V245" s="30">
        <v>0</v>
      </c>
      <c r="W245" s="51">
        <v>0</v>
      </c>
      <c r="Y245" s="30">
        <v>0</v>
      </c>
      <c r="Z245" s="27">
        <v>0</v>
      </c>
      <c r="AA245" s="27">
        <v>0</v>
      </c>
      <c r="AB245" s="51">
        <v>0</v>
      </c>
      <c r="AD245" s="30">
        <v>4197806448.542037</v>
      </c>
      <c r="AE245" s="27">
        <v>0</v>
      </c>
      <c r="AF245" s="27">
        <v>4197806448.542037</v>
      </c>
      <c r="AG245" s="51">
        <v>0</v>
      </c>
      <c r="AI245" s="30">
        <v>0</v>
      </c>
      <c r="AJ245" s="51">
        <v>0</v>
      </c>
      <c r="AL245" s="43">
        <v>0</v>
      </c>
      <c r="AM245" s="52">
        <v>0</v>
      </c>
      <c r="AN245" s="53">
        <v>0</v>
      </c>
      <c r="AO245" s="54">
        <v>0</v>
      </c>
      <c r="AQ245" s="30">
        <v>0</v>
      </c>
      <c r="AR245" s="27">
        <v>0</v>
      </c>
      <c r="AS245" s="27">
        <v>0</v>
      </c>
      <c r="AT245" s="51">
        <v>0</v>
      </c>
      <c r="AV245" s="30">
        <v>0</v>
      </c>
      <c r="AW245" s="27">
        <v>0</v>
      </c>
      <c r="AX245" s="27">
        <v>0</v>
      </c>
      <c r="AY245" s="51">
        <v>0</v>
      </c>
      <c r="BA245" s="30">
        <v>0</v>
      </c>
      <c r="BB245" s="27">
        <v>0</v>
      </c>
      <c r="BC245" s="27">
        <v>0</v>
      </c>
      <c r="BD245" s="51">
        <v>0</v>
      </c>
      <c r="BF245" s="30">
        <v>0</v>
      </c>
      <c r="BG245" s="27">
        <v>0</v>
      </c>
      <c r="BH245" s="27">
        <v>0</v>
      </c>
      <c r="BI245" s="51">
        <v>0</v>
      </c>
      <c r="BK245" s="30">
        <v>0</v>
      </c>
      <c r="BL245" s="27">
        <v>0</v>
      </c>
      <c r="BM245" s="27">
        <v>0</v>
      </c>
      <c r="BN245" s="51">
        <v>0</v>
      </c>
      <c r="BP245" s="30">
        <v>0</v>
      </c>
      <c r="BQ245" s="20">
        <v>607906793.77693379</v>
      </c>
      <c r="BR245" s="51">
        <v>0</v>
      </c>
      <c r="BT245" s="30">
        <v>0</v>
      </c>
      <c r="BU245" s="51">
        <v>0</v>
      </c>
      <c r="BW245" s="221">
        <v>0</v>
      </c>
      <c r="BX245" s="222">
        <v>0</v>
      </c>
    </row>
    <row r="246" spans="5:76" x14ac:dyDescent="0.2">
      <c r="F246" s="151">
        <v>242</v>
      </c>
      <c r="G246" s="30">
        <v>0</v>
      </c>
      <c r="H246" s="28">
        <v>0</v>
      </c>
      <c r="I246" s="28">
        <v>0</v>
      </c>
      <c r="J246" s="28">
        <v>0</v>
      </c>
      <c r="K246" s="28">
        <v>0</v>
      </c>
      <c r="L246" s="28">
        <v>0</v>
      </c>
      <c r="M246" s="27">
        <v>0</v>
      </c>
      <c r="N246" s="27">
        <v>0</v>
      </c>
      <c r="O246" s="51">
        <v>0</v>
      </c>
      <c r="P246" s="5"/>
      <c r="Q246" s="30">
        <v>0</v>
      </c>
      <c r="R246" s="27">
        <v>0</v>
      </c>
      <c r="S246" s="27">
        <v>0</v>
      </c>
      <c r="T246" s="51">
        <v>0</v>
      </c>
      <c r="U246" s="5"/>
      <c r="V246" s="30">
        <v>0</v>
      </c>
      <c r="W246" s="51">
        <v>0</v>
      </c>
      <c r="Y246" s="30">
        <v>0</v>
      </c>
      <c r="Z246" s="27">
        <v>0</v>
      </c>
      <c r="AA246" s="27">
        <v>0</v>
      </c>
      <c r="AB246" s="51">
        <v>0</v>
      </c>
      <c r="AD246" s="30">
        <v>4316244464.456646</v>
      </c>
      <c r="AE246" s="27">
        <v>0</v>
      </c>
      <c r="AF246" s="27">
        <v>4316244464.456646</v>
      </c>
      <c r="AG246" s="51">
        <v>0</v>
      </c>
      <c r="AI246" s="30">
        <v>0</v>
      </c>
      <c r="AJ246" s="51">
        <v>0</v>
      </c>
      <c r="AL246" s="43">
        <v>0</v>
      </c>
      <c r="AM246" s="52">
        <v>0</v>
      </c>
      <c r="AN246" s="53">
        <v>0</v>
      </c>
      <c r="AO246" s="54">
        <v>0</v>
      </c>
      <c r="AQ246" s="30">
        <v>0</v>
      </c>
      <c r="AR246" s="27">
        <v>0</v>
      </c>
      <c r="AS246" s="27">
        <v>0</v>
      </c>
      <c r="AT246" s="51">
        <v>0</v>
      </c>
      <c r="AV246" s="30">
        <v>0</v>
      </c>
      <c r="AW246" s="27">
        <v>0</v>
      </c>
      <c r="AX246" s="27">
        <v>0</v>
      </c>
      <c r="AY246" s="51">
        <v>0</v>
      </c>
      <c r="BA246" s="30">
        <v>0</v>
      </c>
      <c r="BB246" s="27">
        <v>0</v>
      </c>
      <c r="BC246" s="27">
        <v>0</v>
      </c>
      <c r="BD246" s="51">
        <v>0</v>
      </c>
      <c r="BF246" s="30">
        <v>0</v>
      </c>
      <c r="BG246" s="27">
        <v>0</v>
      </c>
      <c r="BH246" s="27">
        <v>0</v>
      </c>
      <c r="BI246" s="51">
        <v>0</v>
      </c>
      <c r="BK246" s="30">
        <v>0</v>
      </c>
      <c r="BL246" s="27">
        <v>0</v>
      </c>
      <c r="BM246" s="27">
        <v>0</v>
      </c>
      <c r="BN246" s="51">
        <v>0</v>
      </c>
      <c r="BP246" s="30">
        <v>0</v>
      </c>
      <c r="BQ246" s="20">
        <v>607906793.77693379</v>
      </c>
      <c r="BR246" s="51">
        <v>0</v>
      </c>
      <c r="BT246" s="30">
        <v>0</v>
      </c>
      <c r="BU246" s="51">
        <v>0</v>
      </c>
      <c r="BW246" s="221">
        <v>0</v>
      </c>
      <c r="BX246" s="222">
        <v>0</v>
      </c>
    </row>
    <row r="247" spans="5:76" x14ac:dyDescent="0.2">
      <c r="F247" s="151">
        <v>243</v>
      </c>
      <c r="G247" s="30">
        <v>0</v>
      </c>
      <c r="H247" s="28">
        <v>0</v>
      </c>
      <c r="I247" s="28">
        <v>0</v>
      </c>
      <c r="J247" s="28">
        <v>0</v>
      </c>
      <c r="K247" s="28">
        <v>0</v>
      </c>
      <c r="L247" s="28">
        <v>0</v>
      </c>
      <c r="M247" s="27">
        <v>0</v>
      </c>
      <c r="N247" s="27">
        <v>0</v>
      </c>
      <c r="O247" s="51">
        <v>0</v>
      </c>
      <c r="P247" s="5"/>
      <c r="Q247" s="30">
        <v>0</v>
      </c>
      <c r="R247" s="27">
        <v>0</v>
      </c>
      <c r="S247" s="27">
        <v>0</v>
      </c>
      <c r="T247" s="51">
        <v>0</v>
      </c>
      <c r="U247" s="5"/>
      <c r="V247" s="30">
        <v>0</v>
      </c>
      <c r="W247" s="51">
        <v>0</v>
      </c>
      <c r="Y247" s="30">
        <v>0</v>
      </c>
      <c r="Z247" s="27">
        <v>0</v>
      </c>
      <c r="AA247" s="27">
        <v>0</v>
      </c>
      <c r="AB247" s="51">
        <v>0</v>
      </c>
      <c r="AD247" s="30">
        <v>4438024121.7226954</v>
      </c>
      <c r="AE247" s="27">
        <v>0</v>
      </c>
      <c r="AF247" s="27">
        <v>4438024121.7226954</v>
      </c>
      <c r="AG247" s="51">
        <v>0</v>
      </c>
      <c r="AI247" s="30">
        <v>0</v>
      </c>
      <c r="AJ247" s="51">
        <v>0</v>
      </c>
      <c r="AL247" s="43">
        <v>0</v>
      </c>
      <c r="AM247" s="52">
        <v>0</v>
      </c>
      <c r="AN247" s="53">
        <v>0</v>
      </c>
      <c r="AO247" s="54">
        <v>0</v>
      </c>
      <c r="AQ247" s="30">
        <v>0</v>
      </c>
      <c r="AR247" s="27">
        <v>0</v>
      </c>
      <c r="AS247" s="27">
        <v>0</v>
      </c>
      <c r="AT247" s="51">
        <v>0</v>
      </c>
      <c r="AV247" s="30">
        <v>0</v>
      </c>
      <c r="AW247" s="27">
        <v>0</v>
      </c>
      <c r="AX247" s="27">
        <v>0</v>
      </c>
      <c r="AY247" s="51">
        <v>0</v>
      </c>
      <c r="BA247" s="30">
        <v>0</v>
      </c>
      <c r="BB247" s="27">
        <v>0</v>
      </c>
      <c r="BC247" s="27">
        <v>0</v>
      </c>
      <c r="BD247" s="51">
        <v>0</v>
      </c>
      <c r="BF247" s="30">
        <v>0</v>
      </c>
      <c r="BG247" s="27">
        <v>0</v>
      </c>
      <c r="BH247" s="27">
        <v>0</v>
      </c>
      <c r="BI247" s="51">
        <v>0</v>
      </c>
      <c r="BK247" s="30">
        <v>0</v>
      </c>
      <c r="BL247" s="27">
        <v>0</v>
      </c>
      <c r="BM247" s="27">
        <v>0</v>
      </c>
      <c r="BN247" s="51">
        <v>0</v>
      </c>
      <c r="BP247" s="30">
        <v>0</v>
      </c>
      <c r="BQ247" s="20">
        <v>607906793.77693379</v>
      </c>
      <c r="BR247" s="51">
        <v>0</v>
      </c>
      <c r="BT247" s="30">
        <v>0</v>
      </c>
      <c r="BU247" s="51">
        <v>0</v>
      </c>
      <c r="BW247" s="221">
        <v>0</v>
      </c>
      <c r="BX247" s="222">
        <v>0</v>
      </c>
    </row>
    <row r="248" spans="5:76" x14ac:dyDescent="0.2">
      <c r="F248" s="151">
        <v>244</v>
      </c>
      <c r="G248" s="30">
        <v>0</v>
      </c>
      <c r="H248" s="28">
        <v>0</v>
      </c>
      <c r="I248" s="28">
        <v>0</v>
      </c>
      <c r="J248" s="28">
        <v>0</v>
      </c>
      <c r="K248" s="28">
        <v>0</v>
      </c>
      <c r="L248" s="28">
        <v>0</v>
      </c>
      <c r="M248" s="27">
        <v>0</v>
      </c>
      <c r="N248" s="27">
        <v>0</v>
      </c>
      <c r="O248" s="51">
        <v>0</v>
      </c>
      <c r="P248" s="5"/>
      <c r="Q248" s="30">
        <v>0</v>
      </c>
      <c r="R248" s="27">
        <v>0</v>
      </c>
      <c r="S248" s="27">
        <v>0</v>
      </c>
      <c r="T248" s="51">
        <v>0</v>
      </c>
      <c r="U248" s="5"/>
      <c r="V248" s="30">
        <v>0</v>
      </c>
      <c r="W248" s="51">
        <v>0</v>
      </c>
      <c r="Y248" s="30">
        <v>0</v>
      </c>
      <c r="Z248" s="27">
        <v>0</v>
      </c>
      <c r="AA248" s="27">
        <v>0</v>
      </c>
      <c r="AB248" s="51">
        <v>0</v>
      </c>
      <c r="AD248" s="30">
        <v>4563239702.2887249</v>
      </c>
      <c r="AE248" s="27">
        <v>0</v>
      </c>
      <c r="AF248" s="27">
        <v>4563239702.2887249</v>
      </c>
      <c r="AG248" s="51">
        <v>0</v>
      </c>
      <c r="AI248" s="30">
        <v>0</v>
      </c>
      <c r="AJ248" s="51">
        <v>0</v>
      </c>
      <c r="AL248" s="43">
        <v>0</v>
      </c>
      <c r="AM248" s="52">
        <v>0</v>
      </c>
      <c r="AN248" s="53">
        <v>0</v>
      </c>
      <c r="AO248" s="54">
        <v>0</v>
      </c>
      <c r="AQ248" s="30">
        <v>0</v>
      </c>
      <c r="AR248" s="27">
        <v>0</v>
      </c>
      <c r="AS248" s="27">
        <v>0</v>
      </c>
      <c r="AT248" s="51">
        <v>0</v>
      </c>
      <c r="AV248" s="30">
        <v>0</v>
      </c>
      <c r="AW248" s="27">
        <v>0</v>
      </c>
      <c r="AX248" s="27">
        <v>0</v>
      </c>
      <c r="AY248" s="51">
        <v>0</v>
      </c>
      <c r="BA248" s="30">
        <v>0</v>
      </c>
      <c r="BB248" s="27">
        <v>0</v>
      </c>
      <c r="BC248" s="27">
        <v>0</v>
      </c>
      <c r="BD248" s="51">
        <v>0</v>
      </c>
      <c r="BF248" s="30">
        <v>0</v>
      </c>
      <c r="BG248" s="27">
        <v>0</v>
      </c>
      <c r="BH248" s="27">
        <v>0</v>
      </c>
      <c r="BI248" s="51">
        <v>0</v>
      </c>
      <c r="BK248" s="30">
        <v>0</v>
      </c>
      <c r="BL248" s="27">
        <v>0</v>
      </c>
      <c r="BM248" s="27">
        <v>0</v>
      </c>
      <c r="BN248" s="51">
        <v>0</v>
      </c>
      <c r="BP248" s="30">
        <v>0</v>
      </c>
      <c r="BQ248" s="20">
        <v>607906793.77693379</v>
      </c>
      <c r="BR248" s="51">
        <v>0</v>
      </c>
      <c r="BT248" s="30">
        <v>0</v>
      </c>
      <c r="BU248" s="51">
        <v>0</v>
      </c>
      <c r="BW248" s="221">
        <v>0</v>
      </c>
      <c r="BX248" s="222">
        <v>0</v>
      </c>
    </row>
    <row r="249" spans="5:76" x14ac:dyDescent="0.2">
      <c r="F249" s="151">
        <v>245</v>
      </c>
      <c r="G249" s="30">
        <v>0</v>
      </c>
      <c r="H249" s="28">
        <v>0</v>
      </c>
      <c r="I249" s="28">
        <v>0</v>
      </c>
      <c r="J249" s="28">
        <v>0</v>
      </c>
      <c r="K249" s="28">
        <v>0</v>
      </c>
      <c r="L249" s="28">
        <v>0</v>
      </c>
      <c r="M249" s="27">
        <v>0</v>
      </c>
      <c r="N249" s="27">
        <v>0</v>
      </c>
      <c r="O249" s="51">
        <v>0</v>
      </c>
      <c r="P249" s="5"/>
      <c r="Q249" s="30">
        <v>0</v>
      </c>
      <c r="R249" s="27">
        <v>0</v>
      </c>
      <c r="S249" s="27">
        <v>0</v>
      </c>
      <c r="T249" s="51">
        <v>0</v>
      </c>
      <c r="U249" s="5"/>
      <c r="V249" s="30">
        <v>0</v>
      </c>
      <c r="W249" s="51">
        <v>0</v>
      </c>
      <c r="Y249" s="30">
        <v>0</v>
      </c>
      <c r="Z249" s="27">
        <v>0</v>
      </c>
      <c r="AA249" s="27">
        <v>0</v>
      </c>
      <c r="AB249" s="51">
        <v>0</v>
      </c>
      <c r="AD249" s="30">
        <v>4691988148.1989832</v>
      </c>
      <c r="AE249" s="27">
        <v>0</v>
      </c>
      <c r="AF249" s="27">
        <v>4691988148.1989832</v>
      </c>
      <c r="AG249" s="51">
        <v>0</v>
      </c>
      <c r="AI249" s="30">
        <v>0</v>
      </c>
      <c r="AJ249" s="51">
        <v>0</v>
      </c>
      <c r="AL249" s="43">
        <v>0</v>
      </c>
      <c r="AM249" s="52">
        <v>0</v>
      </c>
      <c r="AN249" s="53">
        <v>0</v>
      </c>
      <c r="AO249" s="54">
        <v>0</v>
      </c>
      <c r="AQ249" s="30">
        <v>0</v>
      </c>
      <c r="AR249" s="27">
        <v>0</v>
      </c>
      <c r="AS249" s="27">
        <v>0</v>
      </c>
      <c r="AT249" s="51">
        <v>0</v>
      </c>
      <c r="AV249" s="30">
        <v>0</v>
      </c>
      <c r="AW249" s="27">
        <v>0</v>
      </c>
      <c r="AX249" s="27">
        <v>0</v>
      </c>
      <c r="AY249" s="51">
        <v>0</v>
      </c>
      <c r="BA249" s="30">
        <v>0</v>
      </c>
      <c r="BB249" s="27">
        <v>0</v>
      </c>
      <c r="BC249" s="27">
        <v>0</v>
      </c>
      <c r="BD249" s="51">
        <v>0</v>
      </c>
      <c r="BF249" s="30">
        <v>0</v>
      </c>
      <c r="BG249" s="27">
        <v>0</v>
      </c>
      <c r="BH249" s="27">
        <v>0</v>
      </c>
      <c r="BI249" s="51">
        <v>0</v>
      </c>
      <c r="BK249" s="30">
        <v>0</v>
      </c>
      <c r="BL249" s="27">
        <v>0</v>
      </c>
      <c r="BM249" s="27">
        <v>0</v>
      </c>
      <c r="BN249" s="51">
        <v>0</v>
      </c>
      <c r="BP249" s="30">
        <v>0</v>
      </c>
      <c r="BQ249" s="20">
        <v>607906793.77693379</v>
      </c>
      <c r="BR249" s="51">
        <v>0</v>
      </c>
      <c r="BT249" s="30">
        <v>0</v>
      </c>
      <c r="BU249" s="51">
        <v>0</v>
      </c>
      <c r="BW249" s="221">
        <v>0</v>
      </c>
      <c r="BX249" s="222">
        <v>0</v>
      </c>
    </row>
    <row r="250" spans="5:76" x14ac:dyDescent="0.2">
      <c r="F250" s="151">
        <v>246</v>
      </c>
      <c r="G250" s="30">
        <v>0</v>
      </c>
      <c r="H250" s="28">
        <v>0</v>
      </c>
      <c r="I250" s="28">
        <v>0</v>
      </c>
      <c r="J250" s="28">
        <v>0</v>
      </c>
      <c r="K250" s="28">
        <v>0</v>
      </c>
      <c r="L250" s="28">
        <v>0</v>
      </c>
      <c r="M250" s="27">
        <v>0</v>
      </c>
      <c r="N250" s="27">
        <v>0</v>
      </c>
      <c r="O250" s="51">
        <v>0</v>
      </c>
      <c r="P250" s="5"/>
      <c r="Q250" s="30">
        <v>0</v>
      </c>
      <c r="R250" s="27">
        <v>0</v>
      </c>
      <c r="S250" s="27">
        <v>0</v>
      </c>
      <c r="T250" s="51">
        <v>0</v>
      </c>
      <c r="U250" s="5"/>
      <c r="V250" s="30">
        <v>0</v>
      </c>
      <c r="W250" s="51">
        <v>0</v>
      </c>
      <c r="Y250" s="30">
        <v>0</v>
      </c>
      <c r="Z250" s="27">
        <v>0</v>
      </c>
      <c r="AA250" s="27">
        <v>0</v>
      </c>
      <c r="AB250" s="51">
        <v>0</v>
      </c>
      <c r="AD250" s="30">
        <v>4824369136.6460695</v>
      </c>
      <c r="AE250" s="27">
        <v>0</v>
      </c>
      <c r="AF250" s="27">
        <v>4824369136.6460695</v>
      </c>
      <c r="AG250" s="51">
        <v>0</v>
      </c>
      <c r="AI250" s="30">
        <v>0</v>
      </c>
      <c r="AJ250" s="51">
        <v>0</v>
      </c>
      <c r="AL250" s="43">
        <v>0</v>
      </c>
      <c r="AM250" s="52">
        <v>0</v>
      </c>
      <c r="AN250" s="53">
        <v>0</v>
      </c>
      <c r="AO250" s="54">
        <v>0</v>
      </c>
      <c r="AQ250" s="30">
        <v>0</v>
      </c>
      <c r="AR250" s="27">
        <v>0</v>
      </c>
      <c r="AS250" s="27">
        <v>0</v>
      </c>
      <c r="AT250" s="51">
        <v>0</v>
      </c>
      <c r="AV250" s="30">
        <v>0</v>
      </c>
      <c r="AW250" s="27">
        <v>0</v>
      </c>
      <c r="AX250" s="27">
        <v>0</v>
      </c>
      <c r="AY250" s="51">
        <v>0</v>
      </c>
      <c r="BA250" s="30">
        <v>0</v>
      </c>
      <c r="BB250" s="27">
        <v>0</v>
      </c>
      <c r="BC250" s="27">
        <v>0</v>
      </c>
      <c r="BD250" s="51">
        <v>0</v>
      </c>
      <c r="BF250" s="30">
        <v>0</v>
      </c>
      <c r="BG250" s="27">
        <v>0</v>
      </c>
      <c r="BH250" s="27">
        <v>0</v>
      </c>
      <c r="BI250" s="51">
        <v>0</v>
      </c>
      <c r="BK250" s="30">
        <v>0</v>
      </c>
      <c r="BL250" s="27">
        <v>0</v>
      </c>
      <c r="BM250" s="27">
        <v>0</v>
      </c>
      <c r="BN250" s="51">
        <v>0</v>
      </c>
      <c r="BP250" s="30">
        <v>0</v>
      </c>
      <c r="BQ250" s="20">
        <v>607906793.77693379</v>
      </c>
      <c r="BR250" s="51">
        <v>0</v>
      </c>
      <c r="BT250" s="30">
        <v>0</v>
      </c>
      <c r="BU250" s="51">
        <v>0</v>
      </c>
      <c r="BW250" s="221">
        <v>0</v>
      </c>
      <c r="BX250" s="222">
        <v>0</v>
      </c>
    </row>
    <row r="251" spans="5:76" x14ac:dyDescent="0.2">
      <c r="F251" s="151">
        <v>247</v>
      </c>
      <c r="G251" s="30">
        <v>0</v>
      </c>
      <c r="H251" s="28">
        <v>0</v>
      </c>
      <c r="I251" s="28">
        <v>0</v>
      </c>
      <c r="J251" s="28">
        <v>0</v>
      </c>
      <c r="K251" s="28">
        <v>0</v>
      </c>
      <c r="L251" s="28">
        <v>0</v>
      </c>
      <c r="M251" s="27">
        <v>0</v>
      </c>
      <c r="N251" s="27">
        <v>0</v>
      </c>
      <c r="O251" s="51">
        <v>0</v>
      </c>
      <c r="P251" s="5"/>
      <c r="Q251" s="30">
        <v>0</v>
      </c>
      <c r="R251" s="27">
        <v>0</v>
      </c>
      <c r="S251" s="27">
        <v>0</v>
      </c>
      <c r="T251" s="51">
        <v>0</v>
      </c>
      <c r="U251" s="5"/>
      <c r="V251" s="30">
        <v>0</v>
      </c>
      <c r="W251" s="51">
        <v>0</v>
      </c>
      <c r="Y251" s="30">
        <v>0</v>
      </c>
      <c r="Z251" s="27">
        <v>0</v>
      </c>
      <c r="AA251" s="27">
        <v>0</v>
      </c>
      <c r="AB251" s="51">
        <v>0</v>
      </c>
      <c r="AD251" s="30">
        <v>4960485157.1411285</v>
      </c>
      <c r="AE251" s="27">
        <v>0</v>
      </c>
      <c r="AF251" s="27">
        <v>4960485157.1411285</v>
      </c>
      <c r="AG251" s="51">
        <v>0</v>
      </c>
      <c r="AI251" s="30">
        <v>0</v>
      </c>
      <c r="AJ251" s="51">
        <v>0</v>
      </c>
      <c r="AL251" s="43">
        <v>0</v>
      </c>
      <c r="AM251" s="52">
        <v>0</v>
      </c>
      <c r="AN251" s="53">
        <v>0</v>
      </c>
      <c r="AO251" s="54">
        <v>0</v>
      </c>
      <c r="AQ251" s="30">
        <v>0</v>
      </c>
      <c r="AR251" s="27">
        <v>0</v>
      </c>
      <c r="AS251" s="27">
        <v>0</v>
      </c>
      <c r="AT251" s="51">
        <v>0</v>
      </c>
      <c r="AV251" s="30">
        <v>0</v>
      </c>
      <c r="AW251" s="27">
        <v>0</v>
      </c>
      <c r="AX251" s="27">
        <v>0</v>
      </c>
      <c r="AY251" s="51">
        <v>0</v>
      </c>
      <c r="BA251" s="30">
        <v>0</v>
      </c>
      <c r="BB251" s="27">
        <v>0</v>
      </c>
      <c r="BC251" s="27">
        <v>0</v>
      </c>
      <c r="BD251" s="51">
        <v>0</v>
      </c>
      <c r="BF251" s="30">
        <v>0</v>
      </c>
      <c r="BG251" s="27">
        <v>0</v>
      </c>
      <c r="BH251" s="27">
        <v>0</v>
      </c>
      <c r="BI251" s="51">
        <v>0</v>
      </c>
      <c r="BK251" s="30">
        <v>0</v>
      </c>
      <c r="BL251" s="27">
        <v>0</v>
      </c>
      <c r="BM251" s="27">
        <v>0</v>
      </c>
      <c r="BN251" s="51">
        <v>0</v>
      </c>
      <c r="BP251" s="30">
        <v>0</v>
      </c>
      <c r="BQ251" s="20">
        <v>607906793.77693379</v>
      </c>
      <c r="BR251" s="51">
        <v>0</v>
      </c>
      <c r="BT251" s="30">
        <v>0</v>
      </c>
      <c r="BU251" s="51">
        <v>0</v>
      </c>
      <c r="BW251" s="221">
        <v>0</v>
      </c>
      <c r="BX251" s="222">
        <v>0</v>
      </c>
    </row>
    <row r="252" spans="5:76" x14ac:dyDescent="0.2">
      <c r="F252" s="151">
        <v>248</v>
      </c>
      <c r="G252" s="30">
        <v>0</v>
      </c>
      <c r="H252" s="28">
        <v>0</v>
      </c>
      <c r="I252" s="28">
        <v>0</v>
      </c>
      <c r="J252" s="28">
        <v>0</v>
      </c>
      <c r="K252" s="28">
        <v>0</v>
      </c>
      <c r="L252" s="28">
        <v>0</v>
      </c>
      <c r="M252" s="27">
        <v>0</v>
      </c>
      <c r="N252" s="27">
        <v>0</v>
      </c>
      <c r="O252" s="51">
        <v>0</v>
      </c>
      <c r="P252" s="5"/>
      <c r="Q252" s="30">
        <v>0</v>
      </c>
      <c r="R252" s="27">
        <v>0</v>
      </c>
      <c r="S252" s="27">
        <v>0</v>
      </c>
      <c r="T252" s="51">
        <v>0</v>
      </c>
      <c r="U252" s="5"/>
      <c r="V252" s="30">
        <v>0</v>
      </c>
      <c r="W252" s="51">
        <v>0</v>
      </c>
      <c r="Y252" s="30">
        <v>0</v>
      </c>
      <c r="Z252" s="27">
        <v>0</v>
      </c>
      <c r="AA252" s="27">
        <v>0</v>
      </c>
      <c r="AB252" s="51">
        <v>0</v>
      </c>
      <c r="AD252" s="30">
        <v>5100441590.8613434</v>
      </c>
      <c r="AE252" s="27">
        <v>0</v>
      </c>
      <c r="AF252" s="27">
        <v>5100441590.8613434</v>
      </c>
      <c r="AG252" s="51">
        <v>0</v>
      </c>
      <c r="AI252" s="30">
        <v>0</v>
      </c>
      <c r="AJ252" s="51">
        <v>0</v>
      </c>
      <c r="AL252" s="43">
        <v>0</v>
      </c>
      <c r="AM252" s="52">
        <v>0</v>
      </c>
      <c r="AN252" s="53">
        <v>0</v>
      </c>
      <c r="AO252" s="54">
        <v>0</v>
      </c>
      <c r="AQ252" s="30">
        <v>0</v>
      </c>
      <c r="AR252" s="27">
        <v>0</v>
      </c>
      <c r="AS252" s="27">
        <v>0</v>
      </c>
      <c r="AT252" s="51">
        <v>0</v>
      </c>
      <c r="AV252" s="30">
        <v>0</v>
      </c>
      <c r="AW252" s="27">
        <v>0</v>
      </c>
      <c r="AX252" s="27">
        <v>0</v>
      </c>
      <c r="AY252" s="51">
        <v>0</v>
      </c>
      <c r="BA252" s="30">
        <v>0</v>
      </c>
      <c r="BB252" s="27">
        <v>0</v>
      </c>
      <c r="BC252" s="27">
        <v>0</v>
      </c>
      <c r="BD252" s="51">
        <v>0</v>
      </c>
      <c r="BF252" s="30">
        <v>0</v>
      </c>
      <c r="BG252" s="27">
        <v>0</v>
      </c>
      <c r="BH252" s="27">
        <v>0</v>
      </c>
      <c r="BI252" s="51">
        <v>0</v>
      </c>
      <c r="BK252" s="30">
        <v>0</v>
      </c>
      <c r="BL252" s="27">
        <v>0</v>
      </c>
      <c r="BM252" s="27">
        <v>0</v>
      </c>
      <c r="BN252" s="51">
        <v>0</v>
      </c>
      <c r="BP252" s="30">
        <v>0</v>
      </c>
      <c r="BQ252" s="20">
        <v>607906793.77693379</v>
      </c>
      <c r="BR252" s="51">
        <v>0</v>
      </c>
      <c r="BT252" s="30">
        <v>0</v>
      </c>
      <c r="BU252" s="51">
        <v>0</v>
      </c>
      <c r="BW252" s="221">
        <v>0</v>
      </c>
      <c r="BX252" s="222">
        <v>0</v>
      </c>
    </row>
    <row r="253" spans="5:76" x14ac:dyDescent="0.2">
      <c r="F253" s="151">
        <v>249</v>
      </c>
      <c r="G253" s="30">
        <v>0</v>
      </c>
      <c r="H253" s="28">
        <v>0</v>
      </c>
      <c r="I253" s="28">
        <v>0</v>
      </c>
      <c r="J253" s="28">
        <v>0</v>
      </c>
      <c r="K253" s="28">
        <v>0</v>
      </c>
      <c r="L253" s="28">
        <v>0</v>
      </c>
      <c r="M253" s="27">
        <v>0</v>
      </c>
      <c r="N253" s="27">
        <v>0</v>
      </c>
      <c r="O253" s="51">
        <v>0</v>
      </c>
      <c r="P253" s="5"/>
      <c r="Q253" s="30">
        <v>0</v>
      </c>
      <c r="R253" s="27">
        <v>0</v>
      </c>
      <c r="S253" s="27">
        <v>0</v>
      </c>
      <c r="T253" s="51">
        <v>0</v>
      </c>
      <c r="U253" s="5"/>
      <c r="V253" s="30">
        <v>0</v>
      </c>
      <c r="W253" s="51">
        <v>0</v>
      </c>
      <c r="Y253" s="30">
        <v>0</v>
      </c>
      <c r="Z253" s="27">
        <v>0</v>
      </c>
      <c r="AA253" s="27">
        <v>0</v>
      </c>
      <c r="AB253" s="51">
        <v>0</v>
      </c>
      <c r="AD253" s="30">
        <v>5244346792.236166</v>
      </c>
      <c r="AE253" s="27">
        <v>0</v>
      </c>
      <c r="AF253" s="27">
        <v>5244346792.236166</v>
      </c>
      <c r="AG253" s="51">
        <v>0</v>
      </c>
      <c r="AI253" s="30">
        <v>0</v>
      </c>
      <c r="AJ253" s="51">
        <v>0</v>
      </c>
      <c r="AL253" s="43">
        <v>0</v>
      </c>
      <c r="AM253" s="52">
        <v>0</v>
      </c>
      <c r="AN253" s="53">
        <v>0</v>
      </c>
      <c r="AO253" s="54">
        <v>0</v>
      </c>
      <c r="AQ253" s="30">
        <v>0</v>
      </c>
      <c r="AR253" s="27">
        <v>0</v>
      </c>
      <c r="AS253" s="27">
        <v>0</v>
      </c>
      <c r="AT253" s="51">
        <v>0</v>
      </c>
      <c r="AV253" s="30">
        <v>0</v>
      </c>
      <c r="AW253" s="27">
        <v>0</v>
      </c>
      <c r="AX253" s="27">
        <v>0</v>
      </c>
      <c r="AY253" s="51">
        <v>0</v>
      </c>
      <c r="BA253" s="30">
        <v>0</v>
      </c>
      <c r="BB253" s="27">
        <v>0</v>
      </c>
      <c r="BC253" s="27">
        <v>0</v>
      </c>
      <c r="BD253" s="51">
        <v>0</v>
      </c>
      <c r="BF253" s="30">
        <v>0</v>
      </c>
      <c r="BG253" s="27">
        <v>0</v>
      </c>
      <c r="BH253" s="27">
        <v>0</v>
      </c>
      <c r="BI253" s="51">
        <v>0</v>
      </c>
      <c r="BK253" s="30">
        <v>0</v>
      </c>
      <c r="BL253" s="27">
        <v>0</v>
      </c>
      <c r="BM253" s="27">
        <v>0</v>
      </c>
      <c r="BN253" s="51">
        <v>0</v>
      </c>
      <c r="BP253" s="30">
        <v>0</v>
      </c>
      <c r="BQ253" s="20">
        <v>607906793.77693379</v>
      </c>
      <c r="BR253" s="51">
        <v>0</v>
      </c>
      <c r="BT253" s="30">
        <v>0</v>
      </c>
      <c r="BU253" s="51">
        <v>0</v>
      </c>
      <c r="BW253" s="221">
        <v>0</v>
      </c>
      <c r="BX253" s="222">
        <v>0</v>
      </c>
    </row>
    <row r="254" spans="5:76" x14ac:dyDescent="0.2">
      <c r="F254" s="151">
        <v>250</v>
      </c>
      <c r="G254" s="30">
        <v>0</v>
      </c>
      <c r="H254" s="28">
        <v>0</v>
      </c>
      <c r="I254" s="28">
        <v>0</v>
      </c>
      <c r="J254" s="28">
        <v>0</v>
      </c>
      <c r="K254" s="28">
        <v>0</v>
      </c>
      <c r="L254" s="28">
        <v>0</v>
      </c>
      <c r="M254" s="27">
        <v>0</v>
      </c>
      <c r="N254" s="27">
        <v>0</v>
      </c>
      <c r="O254" s="51">
        <v>0</v>
      </c>
      <c r="P254" s="5"/>
      <c r="Q254" s="30">
        <v>0</v>
      </c>
      <c r="R254" s="27">
        <v>0</v>
      </c>
      <c r="S254" s="27">
        <v>0</v>
      </c>
      <c r="T254" s="51">
        <v>0</v>
      </c>
      <c r="U254" s="5"/>
      <c r="V254" s="30">
        <v>0</v>
      </c>
      <c r="W254" s="51">
        <v>0</v>
      </c>
      <c r="Y254" s="30">
        <v>0</v>
      </c>
      <c r="Z254" s="27">
        <v>0</v>
      </c>
      <c r="AA254" s="27">
        <v>0</v>
      </c>
      <c r="AB254" s="51">
        <v>0</v>
      </c>
      <c r="AD254" s="30">
        <v>5392312172.8354368</v>
      </c>
      <c r="AE254" s="27">
        <v>0</v>
      </c>
      <c r="AF254" s="27">
        <v>5392312172.8354368</v>
      </c>
      <c r="AG254" s="51">
        <v>0</v>
      </c>
      <c r="AI254" s="30">
        <v>0</v>
      </c>
      <c r="AJ254" s="51">
        <v>0</v>
      </c>
      <c r="AL254" s="43">
        <v>0</v>
      </c>
      <c r="AM254" s="52">
        <v>0</v>
      </c>
      <c r="AN254" s="53">
        <v>0</v>
      </c>
      <c r="AO254" s="54">
        <v>0</v>
      </c>
      <c r="AQ254" s="30">
        <v>0</v>
      </c>
      <c r="AR254" s="27">
        <v>0</v>
      </c>
      <c r="AS254" s="27">
        <v>0</v>
      </c>
      <c r="AT254" s="51">
        <v>0</v>
      </c>
      <c r="AV254" s="30">
        <v>0</v>
      </c>
      <c r="AW254" s="27">
        <v>0</v>
      </c>
      <c r="AX254" s="27">
        <v>0</v>
      </c>
      <c r="AY254" s="51">
        <v>0</v>
      </c>
      <c r="BA254" s="30">
        <v>0</v>
      </c>
      <c r="BB254" s="27">
        <v>0</v>
      </c>
      <c r="BC254" s="27">
        <v>0</v>
      </c>
      <c r="BD254" s="51">
        <v>0</v>
      </c>
      <c r="BF254" s="30">
        <v>0</v>
      </c>
      <c r="BG254" s="27">
        <v>0</v>
      </c>
      <c r="BH254" s="27">
        <v>0</v>
      </c>
      <c r="BI254" s="51">
        <v>0</v>
      </c>
      <c r="BK254" s="30">
        <v>0</v>
      </c>
      <c r="BL254" s="27">
        <v>0</v>
      </c>
      <c r="BM254" s="27">
        <v>0</v>
      </c>
      <c r="BN254" s="51">
        <v>0</v>
      </c>
      <c r="BP254" s="30">
        <v>0</v>
      </c>
      <c r="BQ254" s="20">
        <v>607906793.77693379</v>
      </c>
      <c r="BR254" s="51">
        <v>0</v>
      </c>
      <c r="BT254" s="30">
        <v>0</v>
      </c>
      <c r="BU254" s="51">
        <v>0</v>
      </c>
      <c r="BW254" s="221">
        <v>0</v>
      </c>
      <c r="BX254" s="222">
        <v>0</v>
      </c>
    </row>
    <row r="255" spans="5:76" x14ac:dyDescent="0.2">
      <c r="F255" s="151">
        <v>251</v>
      </c>
      <c r="G255" s="30">
        <v>0</v>
      </c>
      <c r="H255" s="28">
        <v>0</v>
      </c>
      <c r="I255" s="28">
        <v>0</v>
      </c>
      <c r="J255" s="28">
        <v>0</v>
      </c>
      <c r="K255" s="28">
        <v>0</v>
      </c>
      <c r="L255" s="28">
        <v>0</v>
      </c>
      <c r="M255" s="27">
        <v>0</v>
      </c>
      <c r="N255" s="27">
        <v>0</v>
      </c>
      <c r="O255" s="51">
        <v>0</v>
      </c>
      <c r="P255" s="5"/>
      <c r="Q255" s="30">
        <v>0</v>
      </c>
      <c r="R255" s="27">
        <v>0</v>
      </c>
      <c r="S255" s="27">
        <v>0</v>
      </c>
      <c r="T255" s="51">
        <v>0</v>
      </c>
      <c r="U255" s="5"/>
      <c r="V255" s="30">
        <v>0</v>
      </c>
      <c r="W255" s="51">
        <v>0</v>
      </c>
      <c r="Y255" s="30">
        <v>0</v>
      </c>
      <c r="Z255" s="27">
        <v>0</v>
      </c>
      <c r="AA255" s="27">
        <v>0</v>
      </c>
      <c r="AB255" s="51">
        <v>0</v>
      </c>
      <c r="AD255" s="30">
        <v>5544452287.6243496</v>
      </c>
      <c r="AE255" s="27">
        <v>0</v>
      </c>
      <c r="AF255" s="27">
        <v>5544452287.6243496</v>
      </c>
      <c r="AG255" s="51">
        <v>0</v>
      </c>
      <c r="AI255" s="30">
        <v>0</v>
      </c>
      <c r="AJ255" s="51">
        <v>0</v>
      </c>
      <c r="AL255" s="43">
        <v>0</v>
      </c>
      <c r="AM255" s="52">
        <v>0</v>
      </c>
      <c r="AN255" s="53">
        <v>0</v>
      </c>
      <c r="AO255" s="54">
        <v>0</v>
      </c>
      <c r="AQ255" s="30">
        <v>0</v>
      </c>
      <c r="AR255" s="27">
        <v>0</v>
      </c>
      <c r="AS255" s="27">
        <v>0</v>
      </c>
      <c r="AT255" s="51">
        <v>0</v>
      </c>
      <c r="AV255" s="30">
        <v>0</v>
      </c>
      <c r="AW255" s="27">
        <v>0</v>
      </c>
      <c r="AX255" s="27">
        <v>0</v>
      </c>
      <c r="AY255" s="51">
        <v>0</v>
      </c>
      <c r="BA255" s="30">
        <v>0</v>
      </c>
      <c r="BB255" s="27">
        <v>0</v>
      </c>
      <c r="BC255" s="27">
        <v>0</v>
      </c>
      <c r="BD255" s="51">
        <v>0</v>
      </c>
      <c r="BF255" s="30">
        <v>0</v>
      </c>
      <c r="BG255" s="27">
        <v>0</v>
      </c>
      <c r="BH255" s="27">
        <v>0</v>
      </c>
      <c r="BI255" s="51">
        <v>0</v>
      </c>
      <c r="BK255" s="30">
        <v>0</v>
      </c>
      <c r="BL255" s="27">
        <v>0</v>
      </c>
      <c r="BM255" s="27">
        <v>0</v>
      </c>
      <c r="BN255" s="51">
        <v>0</v>
      </c>
      <c r="BP255" s="30">
        <v>0</v>
      </c>
      <c r="BQ255" s="20">
        <v>607906793.77693379</v>
      </c>
      <c r="BR255" s="51">
        <v>0</v>
      </c>
      <c r="BT255" s="30">
        <v>0</v>
      </c>
      <c r="BU255" s="51">
        <v>0</v>
      </c>
      <c r="BW255" s="221">
        <v>0</v>
      </c>
      <c r="BX255" s="222">
        <v>0</v>
      </c>
    </row>
    <row r="256" spans="5:76" x14ac:dyDescent="0.2">
      <c r="F256" s="151">
        <v>252</v>
      </c>
      <c r="G256" s="30">
        <v>0</v>
      </c>
      <c r="H256" s="28">
        <v>0</v>
      </c>
      <c r="I256" s="28">
        <v>0</v>
      </c>
      <c r="J256" s="28">
        <v>0</v>
      </c>
      <c r="K256" s="28">
        <v>0</v>
      </c>
      <c r="L256" s="28">
        <v>0</v>
      </c>
      <c r="M256" s="27">
        <v>0</v>
      </c>
      <c r="N256" s="27">
        <v>0</v>
      </c>
      <c r="O256" s="51">
        <v>0</v>
      </c>
      <c r="P256" s="5"/>
      <c r="Q256" s="30">
        <v>0</v>
      </c>
      <c r="R256" s="27">
        <v>0</v>
      </c>
      <c r="S256" s="27">
        <v>0</v>
      </c>
      <c r="T256" s="51">
        <v>0</v>
      </c>
      <c r="U256" s="5"/>
      <c r="V256" s="30">
        <v>0</v>
      </c>
      <c r="W256" s="51">
        <v>0</v>
      </c>
      <c r="Y256" s="30">
        <v>0</v>
      </c>
      <c r="Z256" s="27">
        <v>0</v>
      </c>
      <c r="AA256" s="27">
        <v>0</v>
      </c>
      <c r="AB256" s="51">
        <v>0</v>
      </c>
      <c r="AD256" s="30">
        <v>5700884923.6520348</v>
      </c>
      <c r="AE256" s="27">
        <v>0</v>
      </c>
      <c r="AF256" s="27">
        <v>5700884923.6520348</v>
      </c>
      <c r="AG256" s="51">
        <v>0</v>
      </c>
      <c r="AI256" s="30">
        <v>0</v>
      </c>
      <c r="AJ256" s="51">
        <v>0</v>
      </c>
      <c r="AL256" s="43">
        <v>0</v>
      </c>
      <c r="AM256" s="52">
        <v>0</v>
      </c>
      <c r="AN256" s="53">
        <v>0</v>
      </c>
      <c r="AO256" s="54">
        <v>0</v>
      </c>
      <c r="AQ256" s="30">
        <v>0</v>
      </c>
      <c r="AR256" s="27">
        <v>0</v>
      </c>
      <c r="AS256" s="27">
        <v>0</v>
      </c>
      <c r="AT256" s="51">
        <v>0</v>
      </c>
      <c r="AV256" s="30">
        <v>0</v>
      </c>
      <c r="AW256" s="27">
        <v>0</v>
      </c>
      <c r="AX256" s="27">
        <v>0</v>
      </c>
      <c r="AY256" s="51">
        <v>0</v>
      </c>
      <c r="BA256" s="30">
        <v>0</v>
      </c>
      <c r="BB256" s="27">
        <v>0</v>
      </c>
      <c r="BC256" s="27">
        <v>0</v>
      </c>
      <c r="BD256" s="51">
        <v>0</v>
      </c>
      <c r="BF256" s="30">
        <v>0</v>
      </c>
      <c r="BG256" s="27">
        <v>0</v>
      </c>
      <c r="BH256" s="27">
        <v>0</v>
      </c>
      <c r="BI256" s="51">
        <v>0</v>
      </c>
      <c r="BK256" s="30">
        <v>0</v>
      </c>
      <c r="BL256" s="27">
        <v>0</v>
      </c>
      <c r="BM256" s="27">
        <v>0</v>
      </c>
      <c r="BN256" s="51">
        <v>0</v>
      </c>
      <c r="BP256" s="30">
        <v>0</v>
      </c>
      <c r="BQ256" s="20">
        <v>607906793.77693379</v>
      </c>
      <c r="BR256" s="51">
        <v>0</v>
      </c>
      <c r="BT256" s="30">
        <v>0</v>
      </c>
      <c r="BU256" s="51">
        <v>0</v>
      </c>
      <c r="BW256" s="221">
        <v>0</v>
      </c>
      <c r="BX256" s="222">
        <v>0</v>
      </c>
    </row>
    <row r="257" spans="6:76" x14ac:dyDescent="0.2">
      <c r="F257" s="151">
        <v>253</v>
      </c>
      <c r="G257" s="30">
        <v>0</v>
      </c>
      <c r="H257" s="28">
        <v>0</v>
      </c>
      <c r="I257" s="28">
        <v>0</v>
      </c>
      <c r="J257" s="28">
        <v>0</v>
      </c>
      <c r="K257" s="28">
        <v>0</v>
      </c>
      <c r="L257" s="28">
        <v>0</v>
      </c>
      <c r="M257" s="27">
        <v>0</v>
      </c>
      <c r="N257" s="27">
        <v>0</v>
      </c>
      <c r="O257" s="51">
        <v>0</v>
      </c>
      <c r="P257" s="5"/>
      <c r="Q257" s="30">
        <v>0</v>
      </c>
      <c r="R257" s="27">
        <v>0</v>
      </c>
      <c r="S257" s="27">
        <v>0</v>
      </c>
      <c r="T257" s="51">
        <v>0</v>
      </c>
      <c r="U257" s="5"/>
      <c r="V257" s="30">
        <v>0</v>
      </c>
      <c r="W257" s="51">
        <v>0</v>
      </c>
      <c r="Y257" s="30">
        <v>0</v>
      </c>
      <c r="Z257" s="27">
        <v>0</v>
      </c>
      <c r="AA257" s="27">
        <v>0</v>
      </c>
      <c r="AB257" s="51">
        <v>0</v>
      </c>
      <c r="AD257" s="30">
        <v>5861731191.242425</v>
      </c>
      <c r="AE257" s="27">
        <v>0</v>
      </c>
      <c r="AF257" s="27">
        <v>5861731191.242425</v>
      </c>
      <c r="AG257" s="51">
        <v>0</v>
      </c>
      <c r="AI257" s="30">
        <v>0</v>
      </c>
      <c r="AJ257" s="51">
        <v>0</v>
      </c>
      <c r="AL257" s="43">
        <v>0</v>
      </c>
      <c r="AM257" s="52">
        <v>0</v>
      </c>
      <c r="AN257" s="53">
        <v>0</v>
      </c>
      <c r="AO257" s="54">
        <v>0</v>
      </c>
      <c r="AQ257" s="30">
        <v>0</v>
      </c>
      <c r="AR257" s="27">
        <v>0</v>
      </c>
      <c r="AS257" s="27">
        <v>0</v>
      </c>
      <c r="AT257" s="51">
        <v>0</v>
      </c>
      <c r="AV257" s="30">
        <v>0</v>
      </c>
      <c r="AW257" s="27">
        <v>0</v>
      </c>
      <c r="AX257" s="27">
        <v>0</v>
      </c>
      <c r="AY257" s="51">
        <v>0</v>
      </c>
      <c r="BA257" s="30">
        <v>0</v>
      </c>
      <c r="BB257" s="27">
        <v>0</v>
      </c>
      <c r="BC257" s="27">
        <v>0</v>
      </c>
      <c r="BD257" s="51">
        <v>0</v>
      </c>
      <c r="BF257" s="30">
        <v>0</v>
      </c>
      <c r="BG257" s="27">
        <v>0</v>
      </c>
      <c r="BH257" s="27">
        <v>0</v>
      </c>
      <c r="BI257" s="51">
        <v>0</v>
      </c>
      <c r="BK257" s="30">
        <v>0</v>
      </c>
      <c r="BL257" s="27">
        <v>0</v>
      </c>
      <c r="BM257" s="27">
        <v>0</v>
      </c>
      <c r="BN257" s="51">
        <v>0</v>
      </c>
      <c r="BP257" s="30">
        <v>0</v>
      </c>
      <c r="BQ257" s="20">
        <v>607906793.77693379</v>
      </c>
      <c r="BR257" s="51">
        <v>0</v>
      </c>
      <c r="BT257" s="30">
        <v>0</v>
      </c>
      <c r="BU257" s="51">
        <v>0</v>
      </c>
      <c r="BW257" s="221">
        <v>0</v>
      </c>
      <c r="BX257" s="222">
        <v>0</v>
      </c>
    </row>
    <row r="258" spans="6:76" x14ac:dyDescent="0.2">
      <c r="F258" s="151">
        <v>254</v>
      </c>
      <c r="G258" s="30">
        <v>0</v>
      </c>
      <c r="H258" s="28">
        <v>0</v>
      </c>
      <c r="I258" s="28">
        <v>0</v>
      </c>
      <c r="J258" s="28">
        <v>0</v>
      </c>
      <c r="K258" s="28">
        <v>0</v>
      </c>
      <c r="L258" s="28">
        <v>0</v>
      </c>
      <c r="M258" s="27">
        <v>0</v>
      </c>
      <c r="N258" s="27">
        <v>0</v>
      </c>
      <c r="O258" s="51">
        <v>0</v>
      </c>
      <c r="P258" s="5"/>
      <c r="Q258" s="30">
        <v>0</v>
      </c>
      <c r="R258" s="27">
        <v>0</v>
      </c>
      <c r="S258" s="27">
        <v>0</v>
      </c>
      <c r="T258" s="51">
        <v>0</v>
      </c>
      <c r="U258" s="5"/>
      <c r="V258" s="30">
        <v>0</v>
      </c>
      <c r="W258" s="51">
        <v>0</v>
      </c>
      <c r="Y258" s="30">
        <v>0</v>
      </c>
      <c r="Z258" s="27">
        <v>0</v>
      </c>
      <c r="AA258" s="27">
        <v>0</v>
      </c>
      <c r="AB258" s="51">
        <v>0</v>
      </c>
      <c r="AD258" s="30">
        <v>6027115617.7580061</v>
      </c>
      <c r="AE258" s="27">
        <v>0</v>
      </c>
      <c r="AF258" s="27">
        <v>6027115617.7580061</v>
      </c>
      <c r="AG258" s="51">
        <v>0</v>
      </c>
      <c r="AI258" s="30">
        <v>0</v>
      </c>
      <c r="AJ258" s="51">
        <v>0</v>
      </c>
      <c r="AL258" s="43">
        <v>0</v>
      </c>
      <c r="AM258" s="52">
        <v>0</v>
      </c>
      <c r="AN258" s="53">
        <v>0</v>
      </c>
      <c r="AO258" s="54">
        <v>0</v>
      </c>
      <c r="AQ258" s="30">
        <v>0</v>
      </c>
      <c r="AR258" s="27">
        <v>0</v>
      </c>
      <c r="AS258" s="27">
        <v>0</v>
      </c>
      <c r="AT258" s="51">
        <v>0</v>
      </c>
      <c r="AV258" s="30">
        <v>0</v>
      </c>
      <c r="AW258" s="27">
        <v>0</v>
      </c>
      <c r="AX258" s="27">
        <v>0</v>
      </c>
      <c r="AY258" s="51">
        <v>0</v>
      </c>
      <c r="BA258" s="30">
        <v>0</v>
      </c>
      <c r="BB258" s="27">
        <v>0</v>
      </c>
      <c r="BC258" s="27">
        <v>0</v>
      </c>
      <c r="BD258" s="51">
        <v>0</v>
      </c>
      <c r="BF258" s="30">
        <v>0</v>
      </c>
      <c r="BG258" s="27">
        <v>0</v>
      </c>
      <c r="BH258" s="27">
        <v>0</v>
      </c>
      <c r="BI258" s="51">
        <v>0</v>
      </c>
      <c r="BK258" s="30">
        <v>0</v>
      </c>
      <c r="BL258" s="27">
        <v>0</v>
      </c>
      <c r="BM258" s="27">
        <v>0</v>
      </c>
      <c r="BN258" s="51">
        <v>0</v>
      </c>
      <c r="BP258" s="30">
        <v>0</v>
      </c>
      <c r="BQ258" s="20">
        <v>607906793.77693379</v>
      </c>
      <c r="BR258" s="51">
        <v>0</v>
      </c>
      <c r="BT258" s="30">
        <v>0</v>
      </c>
      <c r="BU258" s="51">
        <v>0</v>
      </c>
      <c r="BW258" s="221">
        <v>0</v>
      </c>
      <c r="BX258" s="222">
        <v>0</v>
      </c>
    </row>
    <row r="259" spans="6:76" x14ac:dyDescent="0.2">
      <c r="F259" s="151">
        <v>255</v>
      </c>
      <c r="G259" s="30">
        <v>0</v>
      </c>
      <c r="H259" s="28">
        <v>0</v>
      </c>
      <c r="I259" s="28">
        <v>0</v>
      </c>
      <c r="J259" s="28">
        <v>0</v>
      </c>
      <c r="K259" s="28">
        <v>0</v>
      </c>
      <c r="L259" s="28">
        <v>0</v>
      </c>
      <c r="M259" s="27">
        <v>0</v>
      </c>
      <c r="N259" s="27">
        <v>0</v>
      </c>
      <c r="O259" s="51">
        <v>0</v>
      </c>
      <c r="P259" s="5"/>
      <c r="Q259" s="30">
        <v>0</v>
      </c>
      <c r="R259" s="27">
        <v>0</v>
      </c>
      <c r="S259" s="27">
        <v>0</v>
      </c>
      <c r="T259" s="51">
        <v>0</v>
      </c>
      <c r="U259" s="5"/>
      <c r="V259" s="30">
        <v>0</v>
      </c>
      <c r="W259" s="51">
        <v>0</v>
      </c>
      <c r="Y259" s="30">
        <v>0</v>
      </c>
      <c r="Z259" s="27">
        <v>0</v>
      </c>
      <c r="AA259" s="27">
        <v>0</v>
      </c>
      <c r="AB259" s="51">
        <v>0</v>
      </c>
      <c r="AD259" s="30">
        <v>6197166244.0090427</v>
      </c>
      <c r="AE259" s="27">
        <v>0</v>
      </c>
      <c r="AF259" s="27">
        <v>6197166244.0090427</v>
      </c>
      <c r="AG259" s="51">
        <v>0</v>
      </c>
      <c r="AI259" s="30">
        <v>0</v>
      </c>
      <c r="AJ259" s="51">
        <v>0</v>
      </c>
      <c r="AL259" s="43">
        <v>0</v>
      </c>
      <c r="AM259" s="52">
        <v>0</v>
      </c>
      <c r="AN259" s="53">
        <v>0</v>
      </c>
      <c r="AO259" s="54">
        <v>0</v>
      </c>
      <c r="AQ259" s="30">
        <v>0</v>
      </c>
      <c r="AR259" s="27">
        <v>0</v>
      </c>
      <c r="AS259" s="27">
        <v>0</v>
      </c>
      <c r="AT259" s="51">
        <v>0</v>
      </c>
      <c r="AV259" s="30">
        <v>0</v>
      </c>
      <c r="AW259" s="27">
        <v>0</v>
      </c>
      <c r="AX259" s="27">
        <v>0</v>
      </c>
      <c r="AY259" s="51">
        <v>0</v>
      </c>
      <c r="BA259" s="30">
        <v>0</v>
      </c>
      <c r="BB259" s="27">
        <v>0</v>
      </c>
      <c r="BC259" s="27">
        <v>0</v>
      </c>
      <c r="BD259" s="51">
        <v>0</v>
      </c>
      <c r="BF259" s="30">
        <v>0</v>
      </c>
      <c r="BG259" s="27">
        <v>0</v>
      </c>
      <c r="BH259" s="27">
        <v>0</v>
      </c>
      <c r="BI259" s="51">
        <v>0</v>
      </c>
      <c r="BK259" s="30">
        <v>0</v>
      </c>
      <c r="BL259" s="27">
        <v>0</v>
      </c>
      <c r="BM259" s="27">
        <v>0</v>
      </c>
      <c r="BN259" s="51">
        <v>0</v>
      </c>
      <c r="BP259" s="30">
        <v>0</v>
      </c>
      <c r="BQ259" s="20">
        <v>607906793.77693379</v>
      </c>
      <c r="BR259" s="51">
        <v>0</v>
      </c>
      <c r="BT259" s="30">
        <v>0</v>
      </c>
      <c r="BU259" s="51">
        <v>0</v>
      </c>
      <c r="BW259" s="221">
        <v>0</v>
      </c>
      <c r="BX259" s="222">
        <v>0</v>
      </c>
    </row>
    <row r="260" spans="6:76" x14ac:dyDescent="0.2">
      <c r="F260" s="151">
        <v>256</v>
      </c>
      <c r="G260" s="30">
        <v>0</v>
      </c>
      <c r="H260" s="28">
        <v>0</v>
      </c>
      <c r="I260" s="28">
        <v>0</v>
      </c>
      <c r="J260" s="28">
        <v>0</v>
      </c>
      <c r="K260" s="28">
        <v>0</v>
      </c>
      <c r="L260" s="28">
        <v>0</v>
      </c>
      <c r="M260" s="27">
        <v>0</v>
      </c>
      <c r="N260" s="27">
        <v>0</v>
      </c>
      <c r="O260" s="51">
        <v>0</v>
      </c>
      <c r="P260" s="5"/>
      <c r="Q260" s="30">
        <v>0</v>
      </c>
      <c r="R260" s="27">
        <v>0</v>
      </c>
      <c r="S260" s="27">
        <v>0</v>
      </c>
      <c r="T260" s="51">
        <v>0</v>
      </c>
      <c r="U260" s="5"/>
      <c r="V260" s="30">
        <v>0</v>
      </c>
      <c r="W260" s="51">
        <v>0</v>
      </c>
      <c r="Y260" s="30">
        <v>0</v>
      </c>
      <c r="Z260" s="27">
        <v>0</v>
      </c>
      <c r="AA260" s="27">
        <v>0</v>
      </c>
      <c r="AB260" s="51">
        <v>0</v>
      </c>
      <c r="AD260" s="30">
        <v>6372014723.3829184</v>
      </c>
      <c r="AE260" s="27">
        <v>0</v>
      </c>
      <c r="AF260" s="27">
        <v>6372014723.3829184</v>
      </c>
      <c r="AG260" s="51">
        <v>0</v>
      </c>
      <c r="AI260" s="30">
        <v>0</v>
      </c>
      <c r="AJ260" s="51">
        <v>0</v>
      </c>
      <c r="AL260" s="43">
        <v>0</v>
      </c>
      <c r="AM260" s="52">
        <v>0</v>
      </c>
      <c r="AN260" s="53">
        <v>0</v>
      </c>
      <c r="AO260" s="54">
        <v>0</v>
      </c>
      <c r="AQ260" s="30">
        <v>0</v>
      </c>
      <c r="AR260" s="27">
        <v>0</v>
      </c>
      <c r="AS260" s="27">
        <v>0</v>
      </c>
      <c r="AT260" s="51">
        <v>0</v>
      </c>
      <c r="AV260" s="30">
        <v>0</v>
      </c>
      <c r="AW260" s="27">
        <v>0</v>
      </c>
      <c r="AX260" s="27">
        <v>0</v>
      </c>
      <c r="AY260" s="51">
        <v>0</v>
      </c>
      <c r="BA260" s="30">
        <v>0</v>
      </c>
      <c r="BB260" s="27">
        <v>0</v>
      </c>
      <c r="BC260" s="27">
        <v>0</v>
      </c>
      <c r="BD260" s="51">
        <v>0</v>
      </c>
      <c r="BF260" s="30">
        <v>0</v>
      </c>
      <c r="BG260" s="27">
        <v>0</v>
      </c>
      <c r="BH260" s="27">
        <v>0</v>
      </c>
      <c r="BI260" s="51">
        <v>0</v>
      </c>
      <c r="BK260" s="30">
        <v>0</v>
      </c>
      <c r="BL260" s="27">
        <v>0</v>
      </c>
      <c r="BM260" s="27">
        <v>0</v>
      </c>
      <c r="BN260" s="51">
        <v>0</v>
      </c>
      <c r="BP260" s="30">
        <v>0</v>
      </c>
      <c r="BQ260" s="20">
        <v>607906793.77693379</v>
      </c>
      <c r="BR260" s="51">
        <v>0</v>
      </c>
      <c r="BT260" s="30">
        <v>0</v>
      </c>
      <c r="BU260" s="51">
        <v>0</v>
      </c>
      <c r="BW260" s="221">
        <v>0</v>
      </c>
      <c r="BX260" s="222">
        <v>0</v>
      </c>
    </row>
    <row r="261" spans="6:76" x14ac:dyDescent="0.2">
      <c r="F261" s="151">
        <v>257</v>
      </c>
      <c r="G261" s="30">
        <v>0</v>
      </c>
      <c r="H261" s="28">
        <v>0</v>
      </c>
      <c r="I261" s="28">
        <v>0</v>
      </c>
      <c r="J261" s="28">
        <v>0</v>
      </c>
      <c r="K261" s="28">
        <v>0</v>
      </c>
      <c r="L261" s="28">
        <v>0</v>
      </c>
      <c r="M261" s="27">
        <v>0</v>
      </c>
      <c r="N261" s="27">
        <v>0</v>
      </c>
      <c r="O261" s="51">
        <v>0</v>
      </c>
      <c r="P261" s="5"/>
      <c r="Q261" s="30">
        <v>0</v>
      </c>
      <c r="R261" s="27">
        <v>0</v>
      </c>
      <c r="S261" s="27">
        <v>0</v>
      </c>
      <c r="T261" s="51">
        <v>0</v>
      </c>
      <c r="U261" s="5"/>
      <c r="V261" s="30">
        <v>0</v>
      </c>
      <c r="W261" s="51">
        <v>0</v>
      </c>
      <c r="Y261" s="30">
        <v>0</v>
      </c>
      <c r="Z261" s="27">
        <v>0</v>
      </c>
      <c r="AA261" s="27">
        <v>0</v>
      </c>
      <c r="AB261" s="51">
        <v>0</v>
      </c>
      <c r="AD261" s="30">
        <v>6551796423.7703352</v>
      </c>
      <c r="AE261" s="27">
        <v>0</v>
      </c>
      <c r="AF261" s="27">
        <v>6551796423.7703352</v>
      </c>
      <c r="AG261" s="51">
        <v>0</v>
      </c>
      <c r="AI261" s="30">
        <v>0</v>
      </c>
      <c r="AJ261" s="51">
        <v>0</v>
      </c>
      <c r="AL261" s="43">
        <v>0</v>
      </c>
      <c r="AM261" s="52">
        <v>0</v>
      </c>
      <c r="AN261" s="53">
        <v>0</v>
      </c>
      <c r="AO261" s="54">
        <v>0</v>
      </c>
      <c r="AQ261" s="30">
        <v>0</v>
      </c>
      <c r="AR261" s="27">
        <v>0</v>
      </c>
      <c r="AS261" s="27">
        <v>0</v>
      </c>
      <c r="AT261" s="51">
        <v>0</v>
      </c>
      <c r="AV261" s="30">
        <v>0</v>
      </c>
      <c r="AW261" s="27">
        <v>0</v>
      </c>
      <c r="AX261" s="27">
        <v>0</v>
      </c>
      <c r="AY261" s="51">
        <v>0</v>
      </c>
      <c r="BA261" s="30">
        <v>0</v>
      </c>
      <c r="BB261" s="27">
        <v>0</v>
      </c>
      <c r="BC261" s="27">
        <v>0</v>
      </c>
      <c r="BD261" s="51">
        <v>0</v>
      </c>
      <c r="BF261" s="30">
        <v>0</v>
      </c>
      <c r="BG261" s="27">
        <v>0</v>
      </c>
      <c r="BH261" s="27">
        <v>0</v>
      </c>
      <c r="BI261" s="51">
        <v>0</v>
      </c>
      <c r="BK261" s="30">
        <v>0</v>
      </c>
      <c r="BL261" s="27">
        <v>0</v>
      </c>
      <c r="BM261" s="27">
        <v>0</v>
      </c>
      <c r="BN261" s="51">
        <v>0</v>
      </c>
      <c r="BP261" s="30">
        <v>0</v>
      </c>
      <c r="BQ261" s="20">
        <v>607906793.77693379</v>
      </c>
      <c r="BR261" s="51">
        <v>0</v>
      </c>
      <c r="BT261" s="30">
        <v>0</v>
      </c>
      <c r="BU261" s="51">
        <v>0</v>
      </c>
      <c r="BW261" s="221">
        <v>0</v>
      </c>
      <c r="BX261" s="222">
        <v>0</v>
      </c>
    </row>
    <row r="262" spans="6:76" x14ac:dyDescent="0.2">
      <c r="F262" s="151">
        <v>258</v>
      </c>
      <c r="G262" s="30">
        <v>0</v>
      </c>
      <c r="H262" s="28">
        <v>0</v>
      </c>
      <c r="I262" s="28">
        <v>0</v>
      </c>
      <c r="J262" s="28">
        <v>0</v>
      </c>
      <c r="K262" s="28">
        <v>0</v>
      </c>
      <c r="L262" s="28">
        <v>0</v>
      </c>
      <c r="M262" s="27">
        <v>0</v>
      </c>
      <c r="N262" s="27">
        <v>0</v>
      </c>
      <c r="O262" s="51">
        <v>0</v>
      </c>
      <c r="P262" s="5"/>
      <c r="Q262" s="30">
        <v>0</v>
      </c>
      <c r="R262" s="27">
        <v>0</v>
      </c>
      <c r="S262" s="27">
        <v>0</v>
      </c>
      <c r="T262" s="51">
        <v>0</v>
      </c>
      <c r="U262" s="5"/>
      <c r="V262" s="30">
        <v>0</v>
      </c>
      <c r="W262" s="51">
        <v>0</v>
      </c>
      <c r="Y262" s="30">
        <v>0</v>
      </c>
      <c r="Z262" s="27">
        <v>0</v>
      </c>
      <c r="AA262" s="27">
        <v>0</v>
      </c>
      <c r="AB262" s="51">
        <v>0</v>
      </c>
      <c r="AD262" s="30">
        <v>6736650532.3672915</v>
      </c>
      <c r="AE262" s="27">
        <v>0</v>
      </c>
      <c r="AF262" s="27">
        <v>6736650532.3672915</v>
      </c>
      <c r="AG262" s="51">
        <v>0</v>
      </c>
      <c r="AI262" s="30">
        <v>0</v>
      </c>
      <c r="AJ262" s="51">
        <v>0</v>
      </c>
      <c r="AL262" s="43">
        <v>0</v>
      </c>
      <c r="AM262" s="52">
        <v>0</v>
      </c>
      <c r="AN262" s="53">
        <v>0</v>
      </c>
      <c r="AO262" s="54">
        <v>0</v>
      </c>
      <c r="AQ262" s="30">
        <v>0</v>
      </c>
      <c r="AR262" s="27">
        <v>0</v>
      </c>
      <c r="AS262" s="27">
        <v>0</v>
      </c>
      <c r="AT262" s="51">
        <v>0</v>
      </c>
      <c r="AV262" s="30">
        <v>0</v>
      </c>
      <c r="AW262" s="27">
        <v>0</v>
      </c>
      <c r="AX262" s="27">
        <v>0</v>
      </c>
      <c r="AY262" s="51">
        <v>0</v>
      </c>
      <c r="BA262" s="30">
        <v>0</v>
      </c>
      <c r="BB262" s="27">
        <v>0</v>
      </c>
      <c r="BC262" s="27">
        <v>0</v>
      </c>
      <c r="BD262" s="51">
        <v>0</v>
      </c>
      <c r="BF262" s="30">
        <v>0</v>
      </c>
      <c r="BG262" s="27">
        <v>0</v>
      </c>
      <c r="BH262" s="27">
        <v>0</v>
      </c>
      <c r="BI262" s="51">
        <v>0</v>
      </c>
      <c r="BK262" s="30">
        <v>0</v>
      </c>
      <c r="BL262" s="27">
        <v>0</v>
      </c>
      <c r="BM262" s="27">
        <v>0</v>
      </c>
      <c r="BN262" s="51">
        <v>0</v>
      </c>
      <c r="BP262" s="30">
        <v>0</v>
      </c>
      <c r="BQ262" s="20">
        <v>607906793.77693379</v>
      </c>
      <c r="BR262" s="51">
        <v>0</v>
      </c>
      <c r="BT262" s="30">
        <v>0</v>
      </c>
      <c r="BU262" s="51">
        <v>0</v>
      </c>
      <c r="BW262" s="221">
        <v>0</v>
      </c>
      <c r="BX262" s="222">
        <v>0</v>
      </c>
    </row>
    <row r="263" spans="6:76" x14ac:dyDescent="0.2">
      <c r="F263" s="151">
        <v>259</v>
      </c>
      <c r="G263" s="30">
        <v>0</v>
      </c>
      <c r="H263" s="28">
        <v>0</v>
      </c>
      <c r="I263" s="28">
        <v>0</v>
      </c>
      <c r="J263" s="28">
        <v>0</v>
      </c>
      <c r="K263" s="28">
        <v>0</v>
      </c>
      <c r="L263" s="28">
        <v>0</v>
      </c>
      <c r="M263" s="27">
        <v>0</v>
      </c>
      <c r="N263" s="27">
        <v>0</v>
      </c>
      <c r="O263" s="51">
        <v>0</v>
      </c>
      <c r="P263" s="5"/>
      <c r="Q263" s="30">
        <v>0</v>
      </c>
      <c r="R263" s="27">
        <v>0</v>
      </c>
      <c r="S263" s="27">
        <v>0</v>
      </c>
      <c r="T263" s="51">
        <v>0</v>
      </c>
      <c r="U263" s="5"/>
      <c r="V263" s="30">
        <v>0</v>
      </c>
      <c r="W263" s="51">
        <v>0</v>
      </c>
      <c r="Y263" s="30">
        <v>0</v>
      </c>
      <c r="Z263" s="27">
        <v>0</v>
      </c>
      <c r="AA263" s="27">
        <v>0</v>
      </c>
      <c r="AB263" s="51">
        <v>0</v>
      </c>
      <c r="AD263" s="30">
        <v>6926720163.4339628</v>
      </c>
      <c r="AE263" s="27">
        <v>0</v>
      </c>
      <c r="AF263" s="27">
        <v>6926720163.4339628</v>
      </c>
      <c r="AG263" s="51">
        <v>0</v>
      </c>
      <c r="AI263" s="30">
        <v>0</v>
      </c>
      <c r="AJ263" s="51">
        <v>0</v>
      </c>
      <c r="AL263" s="43">
        <v>0</v>
      </c>
      <c r="AM263" s="52">
        <v>0</v>
      </c>
      <c r="AN263" s="53">
        <v>0</v>
      </c>
      <c r="AO263" s="54">
        <v>0</v>
      </c>
      <c r="AQ263" s="30">
        <v>0</v>
      </c>
      <c r="AR263" s="27">
        <v>0</v>
      </c>
      <c r="AS263" s="27">
        <v>0</v>
      </c>
      <c r="AT263" s="51">
        <v>0</v>
      </c>
      <c r="AV263" s="30">
        <v>0</v>
      </c>
      <c r="AW263" s="27">
        <v>0</v>
      </c>
      <c r="AX263" s="27">
        <v>0</v>
      </c>
      <c r="AY263" s="51">
        <v>0</v>
      </c>
      <c r="BA263" s="30">
        <v>0</v>
      </c>
      <c r="BB263" s="27">
        <v>0</v>
      </c>
      <c r="BC263" s="27">
        <v>0</v>
      </c>
      <c r="BD263" s="51">
        <v>0</v>
      </c>
      <c r="BF263" s="30">
        <v>0</v>
      </c>
      <c r="BG263" s="27">
        <v>0</v>
      </c>
      <c r="BH263" s="27">
        <v>0</v>
      </c>
      <c r="BI263" s="51">
        <v>0</v>
      </c>
      <c r="BK263" s="30">
        <v>0</v>
      </c>
      <c r="BL263" s="27">
        <v>0</v>
      </c>
      <c r="BM263" s="27">
        <v>0</v>
      </c>
      <c r="BN263" s="51">
        <v>0</v>
      </c>
      <c r="BP263" s="30">
        <v>0</v>
      </c>
      <c r="BQ263" s="20">
        <v>607906793.77693379</v>
      </c>
      <c r="BR263" s="51">
        <v>0</v>
      </c>
      <c r="BT263" s="30">
        <v>0</v>
      </c>
      <c r="BU263" s="51">
        <v>0</v>
      </c>
      <c r="BW263" s="221">
        <v>0</v>
      </c>
      <c r="BX263" s="222">
        <v>0</v>
      </c>
    </row>
    <row r="264" spans="6:76" x14ac:dyDescent="0.2">
      <c r="F264" s="151">
        <v>260</v>
      </c>
      <c r="G264" s="30">
        <v>0</v>
      </c>
      <c r="H264" s="28">
        <v>0</v>
      </c>
      <c r="I264" s="28">
        <v>0</v>
      </c>
      <c r="J264" s="28">
        <v>0</v>
      </c>
      <c r="K264" s="28">
        <v>0</v>
      </c>
      <c r="L264" s="28">
        <v>0</v>
      </c>
      <c r="M264" s="27">
        <v>0</v>
      </c>
      <c r="N264" s="27">
        <v>0</v>
      </c>
      <c r="O264" s="51">
        <v>0</v>
      </c>
      <c r="P264" s="5"/>
      <c r="Q264" s="30">
        <v>0</v>
      </c>
      <c r="R264" s="27">
        <v>0</v>
      </c>
      <c r="S264" s="27">
        <v>0</v>
      </c>
      <c r="T264" s="51">
        <v>0</v>
      </c>
      <c r="U264" s="5"/>
      <c r="V264" s="30">
        <v>0</v>
      </c>
      <c r="W264" s="51">
        <v>0</v>
      </c>
      <c r="Y264" s="30">
        <v>0</v>
      </c>
      <c r="Z264" s="27">
        <v>0</v>
      </c>
      <c r="AA264" s="27">
        <v>0</v>
      </c>
      <c r="AB264" s="51">
        <v>0</v>
      </c>
      <c r="AD264" s="30">
        <v>7122152469.0939274</v>
      </c>
      <c r="AE264" s="27">
        <v>0</v>
      </c>
      <c r="AF264" s="27">
        <v>7122152469.0939274</v>
      </c>
      <c r="AG264" s="51">
        <v>0</v>
      </c>
      <c r="AI264" s="30">
        <v>0</v>
      </c>
      <c r="AJ264" s="51">
        <v>0</v>
      </c>
      <c r="AL264" s="43">
        <v>0</v>
      </c>
      <c r="AM264" s="52">
        <v>0</v>
      </c>
      <c r="AN264" s="53">
        <v>0</v>
      </c>
      <c r="AO264" s="54">
        <v>0</v>
      </c>
      <c r="AQ264" s="30">
        <v>0</v>
      </c>
      <c r="AR264" s="27">
        <v>0</v>
      </c>
      <c r="AS264" s="27">
        <v>0</v>
      </c>
      <c r="AT264" s="51">
        <v>0</v>
      </c>
      <c r="AV264" s="30">
        <v>0</v>
      </c>
      <c r="AW264" s="27">
        <v>0</v>
      </c>
      <c r="AX264" s="27">
        <v>0</v>
      </c>
      <c r="AY264" s="51">
        <v>0</v>
      </c>
      <c r="BA264" s="30">
        <v>0</v>
      </c>
      <c r="BB264" s="27">
        <v>0</v>
      </c>
      <c r="BC264" s="27">
        <v>0</v>
      </c>
      <c r="BD264" s="51">
        <v>0</v>
      </c>
      <c r="BF264" s="30">
        <v>0</v>
      </c>
      <c r="BG264" s="27">
        <v>0</v>
      </c>
      <c r="BH264" s="27">
        <v>0</v>
      </c>
      <c r="BI264" s="51">
        <v>0</v>
      </c>
      <c r="BK264" s="30">
        <v>0</v>
      </c>
      <c r="BL264" s="27">
        <v>0</v>
      </c>
      <c r="BM264" s="27">
        <v>0</v>
      </c>
      <c r="BN264" s="51">
        <v>0</v>
      </c>
      <c r="BP264" s="30">
        <v>0</v>
      </c>
      <c r="BQ264" s="20">
        <v>607906793.77693379</v>
      </c>
      <c r="BR264" s="51">
        <v>0</v>
      </c>
      <c r="BT264" s="30">
        <v>0</v>
      </c>
      <c r="BU264" s="51">
        <v>0</v>
      </c>
      <c r="BW264" s="221">
        <v>0</v>
      </c>
      <c r="BX264" s="222">
        <v>0</v>
      </c>
    </row>
    <row r="265" spans="6:76" x14ac:dyDescent="0.2">
      <c r="F265" s="151">
        <v>261</v>
      </c>
      <c r="G265" s="30">
        <v>0</v>
      </c>
      <c r="H265" s="28">
        <v>0</v>
      </c>
      <c r="I265" s="28">
        <v>0</v>
      </c>
      <c r="J265" s="28">
        <v>0</v>
      </c>
      <c r="K265" s="28">
        <v>0</v>
      </c>
      <c r="L265" s="28">
        <v>0</v>
      </c>
      <c r="M265" s="27">
        <v>0</v>
      </c>
      <c r="N265" s="27">
        <v>0</v>
      </c>
      <c r="O265" s="51">
        <v>0</v>
      </c>
      <c r="P265" s="5"/>
      <c r="Q265" s="30">
        <v>0</v>
      </c>
      <c r="R265" s="27">
        <v>0</v>
      </c>
      <c r="S265" s="27">
        <v>0</v>
      </c>
      <c r="T265" s="51">
        <v>0</v>
      </c>
      <c r="U265" s="5"/>
      <c r="V265" s="30">
        <v>0</v>
      </c>
      <c r="W265" s="51">
        <v>0</v>
      </c>
      <c r="Y265" s="30">
        <v>0</v>
      </c>
      <c r="Z265" s="27">
        <v>0</v>
      </c>
      <c r="AA265" s="27">
        <v>0</v>
      </c>
      <c r="AB265" s="51">
        <v>0</v>
      </c>
      <c r="AD265" s="30">
        <v>7323098753.2595043</v>
      </c>
      <c r="AE265" s="27">
        <v>0</v>
      </c>
      <c r="AF265" s="27">
        <v>7323098753.2595043</v>
      </c>
      <c r="AG265" s="51">
        <v>0</v>
      </c>
      <c r="AI265" s="30">
        <v>0</v>
      </c>
      <c r="AJ265" s="51">
        <v>0</v>
      </c>
      <c r="AL265" s="43">
        <v>0</v>
      </c>
      <c r="AM265" s="52">
        <v>0</v>
      </c>
      <c r="AN265" s="53">
        <v>0</v>
      </c>
      <c r="AO265" s="54">
        <v>0</v>
      </c>
      <c r="AQ265" s="30">
        <v>0</v>
      </c>
      <c r="AR265" s="27">
        <v>0</v>
      </c>
      <c r="AS265" s="27">
        <v>0</v>
      </c>
      <c r="AT265" s="51">
        <v>0</v>
      </c>
      <c r="AV265" s="30">
        <v>0</v>
      </c>
      <c r="AW265" s="27">
        <v>0</v>
      </c>
      <c r="AX265" s="27">
        <v>0</v>
      </c>
      <c r="AY265" s="51">
        <v>0</v>
      </c>
      <c r="BA265" s="30">
        <v>0</v>
      </c>
      <c r="BB265" s="27">
        <v>0</v>
      </c>
      <c r="BC265" s="27">
        <v>0</v>
      </c>
      <c r="BD265" s="51">
        <v>0</v>
      </c>
      <c r="BF265" s="30">
        <v>0</v>
      </c>
      <c r="BG265" s="27">
        <v>0</v>
      </c>
      <c r="BH265" s="27">
        <v>0</v>
      </c>
      <c r="BI265" s="51">
        <v>0</v>
      </c>
      <c r="BK265" s="30">
        <v>0</v>
      </c>
      <c r="BL265" s="27">
        <v>0</v>
      </c>
      <c r="BM265" s="27">
        <v>0</v>
      </c>
      <c r="BN265" s="51">
        <v>0</v>
      </c>
      <c r="BP265" s="30">
        <v>0</v>
      </c>
      <c r="BQ265" s="20">
        <v>607906793.77693379</v>
      </c>
      <c r="BR265" s="51">
        <v>0</v>
      </c>
      <c r="BT265" s="30">
        <v>0</v>
      </c>
      <c r="BU265" s="51">
        <v>0</v>
      </c>
      <c r="BW265" s="221">
        <v>0</v>
      </c>
      <c r="BX265" s="222">
        <v>0</v>
      </c>
    </row>
    <row r="266" spans="6:76" x14ac:dyDescent="0.2">
      <c r="F266" s="151">
        <v>262</v>
      </c>
      <c r="G266" s="30">
        <v>0</v>
      </c>
      <c r="H266" s="28">
        <v>0</v>
      </c>
      <c r="I266" s="28">
        <v>0</v>
      </c>
      <c r="J266" s="28">
        <v>0</v>
      </c>
      <c r="K266" s="28">
        <v>0</v>
      </c>
      <c r="L266" s="28">
        <v>0</v>
      </c>
      <c r="M266" s="27">
        <v>0</v>
      </c>
      <c r="N266" s="27">
        <v>0</v>
      </c>
      <c r="O266" s="51">
        <v>0</v>
      </c>
      <c r="P266" s="5"/>
      <c r="Q266" s="30">
        <v>0</v>
      </c>
      <c r="R266" s="27">
        <v>0</v>
      </c>
      <c r="S266" s="27">
        <v>0</v>
      </c>
      <c r="T266" s="51">
        <v>0</v>
      </c>
      <c r="U266" s="5"/>
      <c r="V266" s="30">
        <v>0</v>
      </c>
      <c r="W266" s="51">
        <v>0</v>
      </c>
      <c r="Y266" s="30">
        <v>0</v>
      </c>
      <c r="Z266" s="27">
        <v>0</v>
      </c>
      <c r="AA266" s="27">
        <v>0</v>
      </c>
      <c r="AB266" s="51">
        <v>0</v>
      </c>
      <c r="AD266" s="30">
        <v>7529714588.7714167</v>
      </c>
      <c r="AE266" s="27">
        <v>0</v>
      </c>
      <c r="AF266" s="27">
        <v>7529714588.7714167</v>
      </c>
      <c r="AG266" s="51">
        <v>0</v>
      </c>
      <c r="AI266" s="30">
        <v>0</v>
      </c>
      <c r="AJ266" s="51">
        <v>0</v>
      </c>
      <c r="AL266" s="43">
        <v>0</v>
      </c>
      <c r="AM266" s="52">
        <v>0</v>
      </c>
      <c r="AN266" s="53">
        <v>0</v>
      </c>
      <c r="AO266" s="54">
        <v>0</v>
      </c>
      <c r="AQ266" s="30">
        <v>0</v>
      </c>
      <c r="AR266" s="27">
        <v>0</v>
      </c>
      <c r="AS266" s="27">
        <v>0</v>
      </c>
      <c r="AT266" s="51">
        <v>0</v>
      </c>
      <c r="AV266" s="30">
        <v>0</v>
      </c>
      <c r="AW266" s="27">
        <v>0</v>
      </c>
      <c r="AX266" s="27">
        <v>0</v>
      </c>
      <c r="AY266" s="51">
        <v>0</v>
      </c>
      <c r="BA266" s="30">
        <v>0</v>
      </c>
      <c r="BB266" s="27">
        <v>0</v>
      </c>
      <c r="BC266" s="27">
        <v>0</v>
      </c>
      <c r="BD266" s="51">
        <v>0</v>
      </c>
      <c r="BF266" s="30">
        <v>0</v>
      </c>
      <c r="BG266" s="27">
        <v>0</v>
      </c>
      <c r="BH266" s="27">
        <v>0</v>
      </c>
      <c r="BI266" s="51">
        <v>0</v>
      </c>
      <c r="BK266" s="30">
        <v>0</v>
      </c>
      <c r="BL266" s="27">
        <v>0</v>
      </c>
      <c r="BM266" s="27">
        <v>0</v>
      </c>
      <c r="BN266" s="51">
        <v>0</v>
      </c>
      <c r="BP266" s="30">
        <v>0</v>
      </c>
      <c r="BQ266" s="20">
        <v>607906793.77693379</v>
      </c>
      <c r="BR266" s="51">
        <v>0</v>
      </c>
      <c r="BT266" s="30">
        <v>0</v>
      </c>
      <c r="BU266" s="51">
        <v>0</v>
      </c>
      <c r="BW266" s="221">
        <v>0</v>
      </c>
      <c r="BX266" s="222">
        <v>0</v>
      </c>
    </row>
    <row r="267" spans="6:76" x14ac:dyDescent="0.2">
      <c r="F267" s="151">
        <v>263</v>
      </c>
      <c r="G267" s="30">
        <v>0</v>
      </c>
      <c r="H267" s="28">
        <v>0</v>
      </c>
      <c r="I267" s="28">
        <v>0</v>
      </c>
      <c r="J267" s="28">
        <v>0</v>
      </c>
      <c r="K267" s="28">
        <v>0</v>
      </c>
      <c r="L267" s="28">
        <v>0</v>
      </c>
      <c r="M267" s="27">
        <v>0</v>
      </c>
      <c r="N267" s="27">
        <v>0</v>
      </c>
      <c r="O267" s="51">
        <v>0</v>
      </c>
      <c r="P267" s="5"/>
      <c r="Q267" s="30">
        <v>0</v>
      </c>
      <c r="R267" s="27">
        <v>0</v>
      </c>
      <c r="S267" s="27">
        <v>0</v>
      </c>
      <c r="T267" s="51">
        <v>0</v>
      </c>
      <c r="U267" s="5"/>
      <c r="V267" s="30">
        <v>0</v>
      </c>
      <c r="W267" s="51">
        <v>0</v>
      </c>
      <c r="Y267" s="30">
        <v>0</v>
      </c>
      <c r="Z267" s="27">
        <v>0</v>
      </c>
      <c r="AA267" s="27">
        <v>0</v>
      </c>
      <c r="AB267" s="51">
        <v>0</v>
      </c>
      <c r="AD267" s="30">
        <v>7742159937.8434572</v>
      </c>
      <c r="AE267" s="27">
        <v>0</v>
      </c>
      <c r="AF267" s="27">
        <v>7742159937.8434572</v>
      </c>
      <c r="AG267" s="51">
        <v>0</v>
      </c>
      <c r="AI267" s="30">
        <v>0</v>
      </c>
      <c r="AJ267" s="51">
        <v>0</v>
      </c>
      <c r="AL267" s="43">
        <v>0</v>
      </c>
      <c r="AM267" s="52">
        <v>0</v>
      </c>
      <c r="AN267" s="53">
        <v>0</v>
      </c>
      <c r="AO267" s="54">
        <v>0</v>
      </c>
      <c r="AQ267" s="30">
        <v>0</v>
      </c>
      <c r="AR267" s="27">
        <v>0</v>
      </c>
      <c r="AS267" s="27">
        <v>0</v>
      </c>
      <c r="AT267" s="51">
        <v>0</v>
      </c>
      <c r="AV267" s="30">
        <v>0</v>
      </c>
      <c r="AW267" s="27">
        <v>0</v>
      </c>
      <c r="AX267" s="27">
        <v>0</v>
      </c>
      <c r="AY267" s="51">
        <v>0</v>
      </c>
      <c r="BA267" s="30">
        <v>0</v>
      </c>
      <c r="BB267" s="27">
        <v>0</v>
      </c>
      <c r="BC267" s="27">
        <v>0</v>
      </c>
      <c r="BD267" s="51">
        <v>0</v>
      </c>
      <c r="BF267" s="30">
        <v>0</v>
      </c>
      <c r="BG267" s="27">
        <v>0</v>
      </c>
      <c r="BH267" s="27">
        <v>0</v>
      </c>
      <c r="BI267" s="51">
        <v>0</v>
      </c>
      <c r="BK267" s="30">
        <v>0</v>
      </c>
      <c r="BL267" s="27">
        <v>0</v>
      </c>
      <c r="BM267" s="27">
        <v>0</v>
      </c>
      <c r="BN267" s="51">
        <v>0</v>
      </c>
      <c r="BP267" s="30">
        <v>0</v>
      </c>
      <c r="BQ267" s="20">
        <v>607906793.77693379</v>
      </c>
      <c r="BR267" s="51">
        <v>0</v>
      </c>
      <c r="BT267" s="30">
        <v>0</v>
      </c>
      <c r="BU267" s="51">
        <v>0</v>
      </c>
      <c r="BW267" s="221">
        <v>0</v>
      </c>
      <c r="BX267" s="222">
        <v>0</v>
      </c>
    </row>
    <row r="268" spans="6:76" x14ac:dyDescent="0.2">
      <c r="F268" s="151">
        <v>264</v>
      </c>
      <c r="G268" s="30">
        <v>0</v>
      </c>
      <c r="H268" s="28">
        <v>0</v>
      </c>
      <c r="I268" s="28">
        <v>0</v>
      </c>
      <c r="J268" s="28">
        <v>0</v>
      </c>
      <c r="K268" s="28">
        <v>0</v>
      </c>
      <c r="L268" s="28">
        <v>0</v>
      </c>
      <c r="M268" s="27">
        <v>0</v>
      </c>
      <c r="N268" s="27">
        <v>0</v>
      </c>
      <c r="O268" s="51">
        <v>0</v>
      </c>
      <c r="P268" s="5"/>
      <c r="Q268" s="30">
        <v>0</v>
      </c>
      <c r="R268" s="27">
        <v>0</v>
      </c>
      <c r="S268" s="27">
        <v>0</v>
      </c>
      <c r="T268" s="51">
        <v>0</v>
      </c>
      <c r="U268" s="5"/>
      <c r="V268" s="30">
        <v>0</v>
      </c>
      <c r="W268" s="51">
        <v>0</v>
      </c>
      <c r="Y268" s="30">
        <v>0</v>
      </c>
      <c r="Z268" s="27">
        <v>0</v>
      </c>
      <c r="AA268" s="27">
        <v>0</v>
      </c>
      <c r="AB268" s="51">
        <v>0</v>
      </c>
      <c r="AD268" s="30">
        <v>7960599275.9054184</v>
      </c>
      <c r="AE268" s="27">
        <v>0</v>
      </c>
      <c r="AF268" s="27">
        <v>7960599275.9054184</v>
      </c>
      <c r="AG268" s="51">
        <v>0</v>
      </c>
      <c r="AI268" s="30">
        <v>0</v>
      </c>
      <c r="AJ268" s="51">
        <v>0</v>
      </c>
      <c r="AL268" s="43">
        <v>0</v>
      </c>
      <c r="AM268" s="52">
        <v>0</v>
      </c>
      <c r="AN268" s="53">
        <v>0</v>
      </c>
      <c r="AO268" s="54">
        <v>0</v>
      </c>
      <c r="AQ268" s="30">
        <v>0</v>
      </c>
      <c r="AR268" s="27">
        <v>0</v>
      </c>
      <c r="AS268" s="27">
        <v>0</v>
      </c>
      <c r="AT268" s="51">
        <v>0</v>
      </c>
      <c r="AV268" s="30">
        <v>0</v>
      </c>
      <c r="AW268" s="27">
        <v>0</v>
      </c>
      <c r="AX268" s="27">
        <v>0</v>
      </c>
      <c r="AY268" s="51">
        <v>0</v>
      </c>
      <c r="BA268" s="30">
        <v>0</v>
      </c>
      <c r="BB268" s="27">
        <v>0</v>
      </c>
      <c r="BC268" s="27">
        <v>0</v>
      </c>
      <c r="BD268" s="51">
        <v>0</v>
      </c>
      <c r="BF268" s="30">
        <v>0</v>
      </c>
      <c r="BG268" s="27">
        <v>0</v>
      </c>
      <c r="BH268" s="27">
        <v>0</v>
      </c>
      <c r="BI268" s="51">
        <v>0</v>
      </c>
      <c r="BK268" s="30">
        <v>0</v>
      </c>
      <c r="BL268" s="27">
        <v>0</v>
      </c>
      <c r="BM268" s="27">
        <v>0</v>
      </c>
      <c r="BN268" s="51">
        <v>0</v>
      </c>
      <c r="BP268" s="30">
        <v>0</v>
      </c>
      <c r="BQ268" s="20">
        <v>607906793.77693379</v>
      </c>
      <c r="BR268" s="51">
        <v>0</v>
      </c>
      <c r="BT268" s="30">
        <v>0</v>
      </c>
      <c r="BU268" s="51">
        <v>0</v>
      </c>
      <c r="BW268" s="221">
        <v>0</v>
      </c>
      <c r="BX268" s="222">
        <v>0</v>
      </c>
    </row>
    <row r="269" spans="6:76" x14ac:dyDescent="0.2">
      <c r="F269" s="151">
        <v>265</v>
      </c>
      <c r="G269" s="30">
        <v>0</v>
      </c>
      <c r="H269" s="28">
        <v>0</v>
      </c>
      <c r="I269" s="28">
        <v>0</v>
      </c>
      <c r="J269" s="28">
        <v>0</v>
      </c>
      <c r="K269" s="28">
        <v>0</v>
      </c>
      <c r="L269" s="28">
        <v>0</v>
      </c>
      <c r="M269" s="27">
        <v>0</v>
      </c>
      <c r="N269" s="27">
        <v>0</v>
      </c>
      <c r="O269" s="51">
        <v>0</v>
      </c>
      <c r="P269" s="5"/>
      <c r="Q269" s="30">
        <v>0</v>
      </c>
      <c r="R269" s="27">
        <v>0</v>
      </c>
      <c r="S269" s="27">
        <v>0</v>
      </c>
      <c r="T269" s="51">
        <v>0</v>
      </c>
      <c r="U269" s="5"/>
      <c r="V269" s="30">
        <v>0</v>
      </c>
      <c r="W269" s="51">
        <v>0</v>
      </c>
      <c r="Y269" s="30">
        <v>0</v>
      </c>
      <c r="Z269" s="27">
        <v>0</v>
      </c>
      <c r="AA269" s="27">
        <v>0</v>
      </c>
      <c r="AB269" s="51">
        <v>0</v>
      </c>
      <c r="AD269" s="30">
        <v>8185201718.940155</v>
      </c>
      <c r="AE269" s="27">
        <v>0</v>
      </c>
      <c r="AF269" s="27">
        <v>8185201718.940155</v>
      </c>
      <c r="AG269" s="51">
        <v>0</v>
      </c>
      <c r="AI269" s="30">
        <v>0</v>
      </c>
      <c r="AJ269" s="51">
        <v>0</v>
      </c>
      <c r="AL269" s="43">
        <v>0</v>
      </c>
      <c r="AM269" s="52">
        <v>0</v>
      </c>
      <c r="AN269" s="53">
        <v>0</v>
      </c>
      <c r="AO269" s="54">
        <v>0</v>
      </c>
      <c r="AQ269" s="30">
        <v>0</v>
      </c>
      <c r="AR269" s="27">
        <v>0</v>
      </c>
      <c r="AS269" s="27">
        <v>0</v>
      </c>
      <c r="AT269" s="51">
        <v>0</v>
      </c>
      <c r="AV269" s="30">
        <v>0</v>
      </c>
      <c r="AW269" s="27">
        <v>0</v>
      </c>
      <c r="AX269" s="27">
        <v>0</v>
      </c>
      <c r="AY269" s="51">
        <v>0</v>
      </c>
      <c r="BA269" s="30">
        <v>0</v>
      </c>
      <c r="BB269" s="27">
        <v>0</v>
      </c>
      <c r="BC269" s="27">
        <v>0</v>
      </c>
      <c r="BD269" s="51">
        <v>0</v>
      </c>
      <c r="BF269" s="30">
        <v>0</v>
      </c>
      <c r="BG269" s="27">
        <v>0</v>
      </c>
      <c r="BH269" s="27">
        <v>0</v>
      </c>
      <c r="BI269" s="51">
        <v>0</v>
      </c>
      <c r="BK269" s="30">
        <v>0</v>
      </c>
      <c r="BL269" s="27">
        <v>0</v>
      </c>
      <c r="BM269" s="27">
        <v>0</v>
      </c>
      <c r="BN269" s="51">
        <v>0</v>
      </c>
      <c r="BP269" s="30">
        <v>0</v>
      </c>
      <c r="BQ269" s="20">
        <v>607906793.77693379</v>
      </c>
      <c r="BR269" s="51">
        <v>0</v>
      </c>
      <c r="BT269" s="30">
        <v>0</v>
      </c>
      <c r="BU269" s="51">
        <v>0</v>
      </c>
      <c r="BW269" s="221">
        <v>0</v>
      </c>
      <c r="BX269" s="222">
        <v>0</v>
      </c>
    </row>
    <row r="270" spans="6:76" x14ac:dyDescent="0.2">
      <c r="F270" s="151">
        <v>266</v>
      </c>
      <c r="G270" s="30">
        <v>0</v>
      </c>
      <c r="H270" s="28">
        <v>0</v>
      </c>
      <c r="I270" s="28">
        <v>0</v>
      </c>
      <c r="J270" s="28">
        <v>0</v>
      </c>
      <c r="K270" s="28">
        <v>0</v>
      </c>
      <c r="L270" s="28">
        <v>0</v>
      </c>
      <c r="M270" s="27">
        <v>0</v>
      </c>
      <c r="N270" s="27">
        <v>0</v>
      </c>
      <c r="O270" s="51">
        <v>0</v>
      </c>
      <c r="P270" s="5"/>
      <c r="Q270" s="30">
        <v>0</v>
      </c>
      <c r="R270" s="27">
        <v>0</v>
      </c>
      <c r="S270" s="27">
        <v>0</v>
      </c>
      <c r="T270" s="51">
        <v>0</v>
      </c>
      <c r="U270" s="5"/>
      <c r="V270" s="30">
        <v>0</v>
      </c>
      <c r="W270" s="51">
        <v>0</v>
      </c>
      <c r="Y270" s="30">
        <v>0</v>
      </c>
      <c r="Z270" s="27">
        <v>0</v>
      </c>
      <c r="AA270" s="27">
        <v>0</v>
      </c>
      <c r="AB270" s="51">
        <v>0</v>
      </c>
      <c r="AD270" s="30">
        <v>8416141154.4133711</v>
      </c>
      <c r="AE270" s="27">
        <v>0</v>
      </c>
      <c r="AF270" s="27">
        <v>8416141154.4133711</v>
      </c>
      <c r="AG270" s="51">
        <v>0</v>
      </c>
      <c r="AI270" s="30">
        <v>0</v>
      </c>
      <c r="AJ270" s="51">
        <v>0</v>
      </c>
      <c r="AL270" s="43">
        <v>0</v>
      </c>
      <c r="AM270" s="52">
        <v>0</v>
      </c>
      <c r="AN270" s="53">
        <v>0</v>
      </c>
      <c r="AO270" s="54">
        <v>0</v>
      </c>
      <c r="AQ270" s="30">
        <v>0</v>
      </c>
      <c r="AR270" s="27">
        <v>0</v>
      </c>
      <c r="AS270" s="27">
        <v>0</v>
      </c>
      <c r="AT270" s="51">
        <v>0</v>
      </c>
      <c r="AV270" s="30">
        <v>0</v>
      </c>
      <c r="AW270" s="27">
        <v>0</v>
      </c>
      <c r="AX270" s="27">
        <v>0</v>
      </c>
      <c r="AY270" s="51">
        <v>0</v>
      </c>
      <c r="BA270" s="30">
        <v>0</v>
      </c>
      <c r="BB270" s="27">
        <v>0</v>
      </c>
      <c r="BC270" s="27">
        <v>0</v>
      </c>
      <c r="BD270" s="51">
        <v>0</v>
      </c>
      <c r="BF270" s="30">
        <v>0</v>
      </c>
      <c r="BG270" s="27">
        <v>0</v>
      </c>
      <c r="BH270" s="27">
        <v>0</v>
      </c>
      <c r="BI270" s="51">
        <v>0</v>
      </c>
      <c r="BK270" s="30">
        <v>0</v>
      </c>
      <c r="BL270" s="27">
        <v>0</v>
      </c>
      <c r="BM270" s="27">
        <v>0</v>
      </c>
      <c r="BN270" s="51">
        <v>0</v>
      </c>
      <c r="BP270" s="30">
        <v>0</v>
      </c>
      <c r="BQ270" s="20">
        <v>607906793.77693379</v>
      </c>
      <c r="BR270" s="51">
        <v>0</v>
      </c>
      <c r="BT270" s="30">
        <v>0</v>
      </c>
      <c r="BU270" s="51">
        <v>0</v>
      </c>
      <c r="BW270" s="221">
        <v>0</v>
      </c>
      <c r="BX270" s="222">
        <v>0</v>
      </c>
    </row>
    <row r="271" spans="6:76" x14ac:dyDescent="0.2">
      <c r="F271" s="151">
        <v>267</v>
      </c>
      <c r="G271" s="30">
        <v>0</v>
      </c>
      <c r="H271" s="28">
        <v>0</v>
      </c>
      <c r="I271" s="28">
        <v>0</v>
      </c>
      <c r="J271" s="28">
        <v>0</v>
      </c>
      <c r="K271" s="28">
        <v>0</v>
      </c>
      <c r="L271" s="28">
        <v>0</v>
      </c>
      <c r="M271" s="27">
        <v>0</v>
      </c>
      <c r="N271" s="27">
        <v>0</v>
      </c>
      <c r="O271" s="51">
        <v>0</v>
      </c>
      <c r="P271" s="5"/>
      <c r="Q271" s="30">
        <v>0</v>
      </c>
      <c r="R271" s="27">
        <v>0</v>
      </c>
      <c r="S271" s="27">
        <v>0</v>
      </c>
      <c r="T271" s="51">
        <v>0</v>
      </c>
      <c r="U271" s="5"/>
      <c r="V271" s="30">
        <v>0</v>
      </c>
      <c r="W271" s="51">
        <v>0</v>
      </c>
      <c r="Y271" s="30">
        <v>0</v>
      </c>
      <c r="Z271" s="27">
        <v>0</v>
      </c>
      <c r="AA271" s="27">
        <v>0</v>
      </c>
      <c r="AB271" s="51">
        <v>0</v>
      </c>
      <c r="AD271" s="30">
        <v>8653596375.8974895</v>
      </c>
      <c r="AE271" s="27">
        <v>0</v>
      </c>
      <c r="AF271" s="27">
        <v>8653596375.8974895</v>
      </c>
      <c r="AG271" s="51">
        <v>0</v>
      </c>
      <c r="AI271" s="30">
        <v>0</v>
      </c>
      <c r="AJ271" s="51">
        <v>0</v>
      </c>
      <c r="AL271" s="43">
        <v>0</v>
      </c>
      <c r="AM271" s="52">
        <v>0</v>
      </c>
      <c r="AN271" s="53">
        <v>0</v>
      </c>
      <c r="AO271" s="54">
        <v>0</v>
      </c>
      <c r="AQ271" s="30">
        <v>0</v>
      </c>
      <c r="AR271" s="27">
        <v>0</v>
      </c>
      <c r="AS271" s="27">
        <v>0</v>
      </c>
      <c r="AT271" s="51">
        <v>0</v>
      </c>
      <c r="AV271" s="30">
        <v>0</v>
      </c>
      <c r="AW271" s="27">
        <v>0</v>
      </c>
      <c r="AX271" s="27">
        <v>0</v>
      </c>
      <c r="AY271" s="51">
        <v>0</v>
      </c>
      <c r="BA271" s="30">
        <v>0</v>
      </c>
      <c r="BB271" s="27">
        <v>0</v>
      </c>
      <c r="BC271" s="27">
        <v>0</v>
      </c>
      <c r="BD271" s="51">
        <v>0</v>
      </c>
      <c r="BF271" s="30">
        <v>0</v>
      </c>
      <c r="BG271" s="27">
        <v>0</v>
      </c>
      <c r="BH271" s="27">
        <v>0</v>
      </c>
      <c r="BI271" s="51">
        <v>0</v>
      </c>
      <c r="BK271" s="30">
        <v>0</v>
      </c>
      <c r="BL271" s="27">
        <v>0</v>
      </c>
      <c r="BM271" s="27">
        <v>0</v>
      </c>
      <c r="BN271" s="51">
        <v>0</v>
      </c>
      <c r="BP271" s="30">
        <v>0</v>
      </c>
      <c r="BQ271" s="20">
        <v>607906793.77693379</v>
      </c>
      <c r="BR271" s="51">
        <v>0</v>
      </c>
      <c r="BT271" s="30">
        <v>0</v>
      </c>
      <c r="BU271" s="51">
        <v>0</v>
      </c>
      <c r="BW271" s="221">
        <v>0</v>
      </c>
      <c r="BX271" s="222">
        <v>0</v>
      </c>
    </row>
    <row r="272" spans="6:76" x14ac:dyDescent="0.2">
      <c r="F272" s="151">
        <v>268</v>
      </c>
      <c r="G272" s="30">
        <v>0</v>
      </c>
      <c r="H272" s="28">
        <v>0</v>
      </c>
      <c r="I272" s="28">
        <v>0</v>
      </c>
      <c r="J272" s="28">
        <v>0</v>
      </c>
      <c r="K272" s="28">
        <v>0</v>
      </c>
      <c r="L272" s="28">
        <v>0</v>
      </c>
      <c r="M272" s="27">
        <v>0</v>
      </c>
      <c r="N272" s="27">
        <v>0</v>
      </c>
      <c r="O272" s="51">
        <v>0</v>
      </c>
      <c r="P272" s="5"/>
      <c r="Q272" s="30">
        <v>0</v>
      </c>
      <c r="R272" s="27">
        <v>0</v>
      </c>
      <c r="S272" s="27">
        <v>0</v>
      </c>
      <c r="T272" s="51">
        <v>0</v>
      </c>
      <c r="U272" s="5"/>
      <c r="V272" s="30">
        <v>0</v>
      </c>
      <c r="W272" s="51">
        <v>0</v>
      </c>
      <c r="Y272" s="30">
        <v>0</v>
      </c>
      <c r="Z272" s="27">
        <v>0</v>
      </c>
      <c r="AA272" s="27">
        <v>0</v>
      </c>
      <c r="AB272" s="51">
        <v>0</v>
      </c>
      <c r="AD272" s="30">
        <v>8897751221.4938412</v>
      </c>
      <c r="AE272" s="27">
        <v>0</v>
      </c>
      <c r="AF272" s="27">
        <v>8897751221.4938412</v>
      </c>
      <c r="AG272" s="51">
        <v>0</v>
      </c>
      <c r="AI272" s="30">
        <v>0</v>
      </c>
      <c r="AJ272" s="51">
        <v>0</v>
      </c>
      <c r="AL272" s="43">
        <v>0</v>
      </c>
      <c r="AM272" s="52">
        <v>0</v>
      </c>
      <c r="AN272" s="53">
        <v>0</v>
      </c>
      <c r="AO272" s="54">
        <v>0</v>
      </c>
      <c r="AQ272" s="30">
        <v>0</v>
      </c>
      <c r="AR272" s="27">
        <v>0</v>
      </c>
      <c r="AS272" s="27">
        <v>0</v>
      </c>
      <c r="AT272" s="51">
        <v>0</v>
      </c>
      <c r="AV272" s="30">
        <v>0</v>
      </c>
      <c r="AW272" s="27">
        <v>0</v>
      </c>
      <c r="AX272" s="27">
        <v>0</v>
      </c>
      <c r="AY272" s="51">
        <v>0</v>
      </c>
      <c r="BA272" s="30">
        <v>0</v>
      </c>
      <c r="BB272" s="27">
        <v>0</v>
      </c>
      <c r="BC272" s="27">
        <v>0</v>
      </c>
      <c r="BD272" s="51">
        <v>0</v>
      </c>
      <c r="BF272" s="30">
        <v>0</v>
      </c>
      <c r="BG272" s="27">
        <v>0</v>
      </c>
      <c r="BH272" s="27">
        <v>0</v>
      </c>
      <c r="BI272" s="51">
        <v>0</v>
      </c>
      <c r="BK272" s="30">
        <v>0</v>
      </c>
      <c r="BL272" s="27">
        <v>0</v>
      </c>
      <c r="BM272" s="27">
        <v>0</v>
      </c>
      <c r="BN272" s="51">
        <v>0</v>
      </c>
      <c r="BP272" s="30">
        <v>0</v>
      </c>
      <c r="BQ272" s="20">
        <v>607906793.77693379</v>
      </c>
      <c r="BR272" s="51">
        <v>0</v>
      </c>
      <c r="BT272" s="30">
        <v>0</v>
      </c>
      <c r="BU272" s="51">
        <v>0</v>
      </c>
      <c r="BW272" s="221">
        <v>0</v>
      </c>
      <c r="BX272" s="222">
        <v>0</v>
      </c>
    </row>
    <row r="273" spans="6:76" x14ac:dyDescent="0.2">
      <c r="F273" s="151">
        <v>269</v>
      </c>
      <c r="G273" s="30">
        <v>0</v>
      </c>
      <c r="H273" s="28">
        <v>0</v>
      </c>
      <c r="I273" s="28">
        <v>0</v>
      </c>
      <c r="J273" s="28">
        <v>0</v>
      </c>
      <c r="K273" s="28">
        <v>0</v>
      </c>
      <c r="L273" s="28">
        <v>0</v>
      </c>
      <c r="M273" s="27">
        <v>0</v>
      </c>
      <c r="N273" s="27">
        <v>0</v>
      </c>
      <c r="O273" s="51">
        <v>0</v>
      </c>
      <c r="P273" s="5"/>
      <c r="Q273" s="30">
        <v>0</v>
      </c>
      <c r="R273" s="27">
        <v>0</v>
      </c>
      <c r="S273" s="27">
        <v>0</v>
      </c>
      <c r="T273" s="51">
        <v>0</v>
      </c>
      <c r="U273" s="5"/>
      <c r="V273" s="30">
        <v>0</v>
      </c>
      <c r="W273" s="51">
        <v>0</v>
      </c>
      <c r="Y273" s="30">
        <v>0</v>
      </c>
      <c r="Z273" s="27">
        <v>0</v>
      </c>
      <c r="AA273" s="27">
        <v>0</v>
      </c>
      <c r="AB273" s="51">
        <v>0</v>
      </c>
      <c r="AD273" s="30">
        <v>9148794716.1603317</v>
      </c>
      <c r="AE273" s="27">
        <v>0</v>
      </c>
      <c r="AF273" s="27">
        <v>9148794716.1603317</v>
      </c>
      <c r="AG273" s="51">
        <v>0</v>
      </c>
      <c r="AI273" s="30">
        <v>0</v>
      </c>
      <c r="AJ273" s="51">
        <v>0</v>
      </c>
      <c r="AL273" s="43">
        <v>0</v>
      </c>
      <c r="AM273" s="52">
        <v>0</v>
      </c>
      <c r="AN273" s="53">
        <v>0</v>
      </c>
      <c r="AO273" s="54">
        <v>0</v>
      </c>
      <c r="AQ273" s="30">
        <v>0</v>
      </c>
      <c r="AR273" s="27">
        <v>0</v>
      </c>
      <c r="AS273" s="27">
        <v>0</v>
      </c>
      <c r="AT273" s="51">
        <v>0</v>
      </c>
      <c r="AV273" s="30">
        <v>0</v>
      </c>
      <c r="AW273" s="27">
        <v>0</v>
      </c>
      <c r="AX273" s="27">
        <v>0</v>
      </c>
      <c r="AY273" s="51">
        <v>0</v>
      </c>
      <c r="BA273" s="30">
        <v>0</v>
      </c>
      <c r="BB273" s="27">
        <v>0</v>
      </c>
      <c r="BC273" s="27">
        <v>0</v>
      </c>
      <c r="BD273" s="51">
        <v>0</v>
      </c>
      <c r="BF273" s="30">
        <v>0</v>
      </c>
      <c r="BG273" s="27">
        <v>0</v>
      </c>
      <c r="BH273" s="27">
        <v>0</v>
      </c>
      <c r="BI273" s="51">
        <v>0</v>
      </c>
      <c r="BK273" s="30">
        <v>0</v>
      </c>
      <c r="BL273" s="27">
        <v>0</v>
      </c>
      <c r="BM273" s="27">
        <v>0</v>
      </c>
      <c r="BN273" s="51">
        <v>0</v>
      </c>
      <c r="BP273" s="30">
        <v>0</v>
      </c>
      <c r="BQ273" s="20">
        <v>607906793.77693379</v>
      </c>
      <c r="BR273" s="51">
        <v>0</v>
      </c>
      <c r="BT273" s="30">
        <v>0</v>
      </c>
      <c r="BU273" s="51">
        <v>0</v>
      </c>
      <c r="BW273" s="221">
        <v>0</v>
      </c>
      <c r="BX273" s="222">
        <v>0</v>
      </c>
    </row>
    <row r="274" spans="6:76" x14ac:dyDescent="0.2">
      <c r="F274" s="151">
        <v>270</v>
      </c>
      <c r="G274" s="30">
        <v>0</v>
      </c>
      <c r="H274" s="28">
        <v>0</v>
      </c>
      <c r="I274" s="28">
        <v>0</v>
      </c>
      <c r="J274" s="28">
        <v>0</v>
      </c>
      <c r="K274" s="28">
        <v>0</v>
      </c>
      <c r="L274" s="28">
        <v>0</v>
      </c>
      <c r="M274" s="27">
        <v>0</v>
      </c>
      <c r="N274" s="27">
        <v>0</v>
      </c>
      <c r="O274" s="51">
        <v>0</v>
      </c>
      <c r="P274" s="5"/>
      <c r="Q274" s="30">
        <v>0</v>
      </c>
      <c r="R274" s="27">
        <v>0</v>
      </c>
      <c r="S274" s="27">
        <v>0</v>
      </c>
      <c r="T274" s="51">
        <v>0</v>
      </c>
      <c r="U274" s="5"/>
      <c r="V274" s="30">
        <v>0</v>
      </c>
      <c r="W274" s="51">
        <v>0</v>
      </c>
      <c r="Y274" s="30">
        <v>0</v>
      </c>
      <c r="Z274" s="27">
        <v>0</v>
      </c>
      <c r="AA274" s="27">
        <v>0</v>
      </c>
      <c r="AB274" s="51">
        <v>0</v>
      </c>
      <c r="AD274" s="30">
        <v>9406921218.0547752</v>
      </c>
      <c r="AE274" s="27">
        <v>0</v>
      </c>
      <c r="AF274" s="27">
        <v>9406921218.0547752</v>
      </c>
      <c r="AG274" s="51">
        <v>0</v>
      </c>
      <c r="AI274" s="30">
        <v>0</v>
      </c>
      <c r="AJ274" s="51">
        <v>0</v>
      </c>
      <c r="AL274" s="43">
        <v>0</v>
      </c>
      <c r="AM274" s="52">
        <v>0</v>
      </c>
      <c r="AN274" s="53">
        <v>0</v>
      </c>
      <c r="AO274" s="54">
        <v>0</v>
      </c>
      <c r="AQ274" s="30">
        <v>0</v>
      </c>
      <c r="AR274" s="27">
        <v>0</v>
      </c>
      <c r="AS274" s="27">
        <v>0</v>
      </c>
      <c r="AT274" s="51">
        <v>0</v>
      </c>
      <c r="AV274" s="30">
        <v>0</v>
      </c>
      <c r="AW274" s="27">
        <v>0</v>
      </c>
      <c r="AX274" s="27">
        <v>0</v>
      </c>
      <c r="AY274" s="51">
        <v>0</v>
      </c>
      <c r="BA274" s="30">
        <v>0</v>
      </c>
      <c r="BB274" s="27">
        <v>0</v>
      </c>
      <c r="BC274" s="27">
        <v>0</v>
      </c>
      <c r="BD274" s="51">
        <v>0</v>
      </c>
      <c r="BF274" s="30">
        <v>0</v>
      </c>
      <c r="BG274" s="27">
        <v>0</v>
      </c>
      <c r="BH274" s="27">
        <v>0</v>
      </c>
      <c r="BI274" s="51">
        <v>0</v>
      </c>
      <c r="BK274" s="30">
        <v>0</v>
      </c>
      <c r="BL274" s="27">
        <v>0</v>
      </c>
      <c r="BM274" s="27">
        <v>0</v>
      </c>
      <c r="BN274" s="51">
        <v>0</v>
      </c>
      <c r="BP274" s="30">
        <v>0</v>
      </c>
      <c r="BQ274" s="20">
        <v>607906793.77693379</v>
      </c>
      <c r="BR274" s="51">
        <v>0</v>
      </c>
      <c r="BT274" s="30">
        <v>0</v>
      </c>
      <c r="BU274" s="51">
        <v>0</v>
      </c>
      <c r="BW274" s="221">
        <v>0</v>
      </c>
      <c r="BX274" s="222">
        <v>0</v>
      </c>
    </row>
    <row r="275" spans="6:76" x14ac:dyDescent="0.2">
      <c r="F275" s="151">
        <v>271</v>
      </c>
      <c r="G275" s="30">
        <v>0</v>
      </c>
      <c r="H275" s="28">
        <v>0</v>
      </c>
      <c r="I275" s="28">
        <v>0</v>
      </c>
      <c r="J275" s="28">
        <v>0</v>
      </c>
      <c r="K275" s="28">
        <v>0</v>
      </c>
      <c r="L275" s="28">
        <v>0</v>
      </c>
      <c r="M275" s="27">
        <v>0</v>
      </c>
      <c r="N275" s="27">
        <v>0</v>
      </c>
      <c r="O275" s="51">
        <v>0</v>
      </c>
      <c r="P275" s="5"/>
      <c r="Q275" s="30">
        <v>0</v>
      </c>
      <c r="R275" s="27">
        <v>0</v>
      </c>
      <c r="S275" s="27">
        <v>0</v>
      </c>
      <c r="T275" s="51">
        <v>0</v>
      </c>
      <c r="U275" s="5"/>
      <c r="V275" s="30">
        <v>0</v>
      </c>
      <c r="W275" s="51">
        <v>0</v>
      </c>
      <c r="Y275" s="30">
        <v>0</v>
      </c>
      <c r="Z275" s="27">
        <v>0</v>
      </c>
      <c r="AA275" s="27">
        <v>0</v>
      </c>
      <c r="AB275" s="51">
        <v>0</v>
      </c>
      <c r="AD275" s="30">
        <v>9672330569.0072002</v>
      </c>
      <c r="AE275" s="27">
        <v>0</v>
      </c>
      <c r="AF275" s="27">
        <v>9672330569.0072002</v>
      </c>
      <c r="AG275" s="51">
        <v>0</v>
      </c>
      <c r="AI275" s="30">
        <v>0</v>
      </c>
      <c r="AJ275" s="51">
        <v>0</v>
      </c>
      <c r="AL275" s="43">
        <v>0</v>
      </c>
      <c r="AM275" s="52">
        <v>0</v>
      </c>
      <c r="AN275" s="53">
        <v>0</v>
      </c>
      <c r="AO275" s="54">
        <v>0</v>
      </c>
      <c r="AQ275" s="30">
        <v>0</v>
      </c>
      <c r="AR275" s="27">
        <v>0</v>
      </c>
      <c r="AS275" s="27">
        <v>0</v>
      </c>
      <c r="AT275" s="51">
        <v>0</v>
      </c>
      <c r="AV275" s="30">
        <v>0</v>
      </c>
      <c r="AW275" s="27">
        <v>0</v>
      </c>
      <c r="AX275" s="27">
        <v>0</v>
      </c>
      <c r="AY275" s="51">
        <v>0</v>
      </c>
      <c r="BA275" s="30">
        <v>0</v>
      </c>
      <c r="BB275" s="27">
        <v>0</v>
      </c>
      <c r="BC275" s="27">
        <v>0</v>
      </c>
      <c r="BD275" s="51">
        <v>0</v>
      </c>
      <c r="BF275" s="30">
        <v>0</v>
      </c>
      <c r="BG275" s="27">
        <v>0</v>
      </c>
      <c r="BH275" s="27">
        <v>0</v>
      </c>
      <c r="BI275" s="51">
        <v>0</v>
      </c>
      <c r="BK275" s="30">
        <v>0</v>
      </c>
      <c r="BL275" s="27">
        <v>0</v>
      </c>
      <c r="BM275" s="27">
        <v>0</v>
      </c>
      <c r="BN275" s="51">
        <v>0</v>
      </c>
      <c r="BP275" s="30">
        <v>0</v>
      </c>
      <c r="BQ275" s="20">
        <v>607906793.77693379</v>
      </c>
      <c r="BR275" s="51">
        <v>0</v>
      </c>
      <c r="BT275" s="30">
        <v>0</v>
      </c>
      <c r="BU275" s="51">
        <v>0</v>
      </c>
      <c r="BW275" s="221">
        <v>0</v>
      </c>
      <c r="BX275" s="222">
        <v>0</v>
      </c>
    </row>
    <row r="276" spans="6:76" x14ac:dyDescent="0.2">
      <c r="F276" s="151">
        <v>272</v>
      </c>
      <c r="G276" s="30">
        <v>0</v>
      </c>
      <c r="H276" s="28">
        <v>0</v>
      </c>
      <c r="I276" s="28">
        <v>0</v>
      </c>
      <c r="J276" s="28">
        <v>0</v>
      </c>
      <c r="K276" s="28">
        <v>0</v>
      </c>
      <c r="L276" s="28">
        <v>0</v>
      </c>
      <c r="M276" s="27">
        <v>0</v>
      </c>
      <c r="N276" s="27">
        <v>0</v>
      </c>
      <c r="O276" s="51">
        <v>0</v>
      </c>
      <c r="P276" s="5"/>
      <c r="Q276" s="30">
        <v>0</v>
      </c>
      <c r="R276" s="27">
        <v>0</v>
      </c>
      <c r="S276" s="27">
        <v>0</v>
      </c>
      <c r="T276" s="51">
        <v>0</v>
      </c>
      <c r="U276" s="5"/>
      <c r="V276" s="30">
        <v>0</v>
      </c>
      <c r="W276" s="51">
        <v>0</v>
      </c>
      <c r="Y276" s="30">
        <v>0</v>
      </c>
      <c r="Z276" s="27">
        <v>0</v>
      </c>
      <c r="AA276" s="27">
        <v>0</v>
      </c>
      <c r="AB276" s="51">
        <v>0</v>
      </c>
      <c r="AD276" s="30">
        <v>9945228249.2376251</v>
      </c>
      <c r="AE276" s="27">
        <v>0</v>
      </c>
      <c r="AF276" s="27">
        <v>9945228249.2376251</v>
      </c>
      <c r="AG276" s="51">
        <v>0</v>
      </c>
      <c r="AI276" s="30">
        <v>0</v>
      </c>
      <c r="AJ276" s="51">
        <v>0</v>
      </c>
      <c r="AL276" s="43">
        <v>0</v>
      </c>
      <c r="AM276" s="52">
        <v>0</v>
      </c>
      <c r="AN276" s="53">
        <v>0</v>
      </c>
      <c r="AO276" s="54">
        <v>0</v>
      </c>
      <c r="AQ276" s="30">
        <v>0</v>
      </c>
      <c r="AR276" s="27">
        <v>0</v>
      </c>
      <c r="AS276" s="27">
        <v>0</v>
      </c>
      <c r="AT276" s="51">
        <v>0</v>
      </c>
      <c r="AV276" s="30">
        <v>0</v>
      </c>
      <c r="AW276" s="27">
        <v>0</v>
      </c>
      <c r="AX276" s="27">
        <v>0</v>
      </c>
      <c r="AY276" s="51">
        <v>0</v>
      </c>
      <c r="BA276" s="30">
        <v>0</v>
      </c>
      <c r="BB276" s="27">
        <v>0</v>
      </c>
      <c r="BC276" s="27">
        <v>0</v>
      </c>
      <c r="BD276" s="51">
        <v>0</v>
      </c>
      <c r="BF276" s="30">
        <v>0</v>
      </c>
      <c r="BG276" s="27">
        <v>0</v>
      </c>
      <c r="BH276" s="27">
        <v>0</v>
      </c>
      <c r="BI276" s="51">
        <v>0</v>
      </c>
      <c r="BK276" s="30">
        <v>0</v>
      </c>
      <c r="BL276" s="27">
        <v>0</v>
      </c>
      <c r="BM276" s="27">
        <v>0</v>
      </c>
      <c r="BN276" s="51">
        <v>0</v>
      </c>
      <c r="BP276" s="30">
        <v>0</v>
      </c>
      <c r="BQ276" s="20">
        <v>607906793.77693379</v>
      </c>
      <c r="BR276" s="51">
        <v>0</v>
      </c>
      <c r="BT276" s="30">
        <v>0</v>
      </c>
      <c r="BU276" s="51">
        <v>0</v>
      </c>
      <c r="BW276" s="221">
        <v>0</v>
      </c>
      <c r="BX276" s="222">
        <v>0</v>
      </c>
    </row>
    <row r="277" spans="6:76" x14ac:dyDescent="0.2">
      <c r="F277" s="151">
        <v>273</v>
      </c>
      <c r="G277" s="30">
        <v>0</v>
      </c>
      <c r="H277" s="28">
        <v>0</v>
      </c>
      <c r="I277" s="28">
        <v>0</v>
      </c>
      <c r="J277" s="28">
        <v>0</v>
      </c>
      <c r="K277" s="28">
        <v>0</v>
      </c>
      <c r="L277" s="28">
        <v>0</v>
      </c>
      <c r="M277" s="27">
        <v>0</v>
      </c>
      <c r="N277" s="27">
        <v>0</v>
      </c>
      <c r="O277" s="51">
        <v>0</v>
      </c>
      <c r="P277" s="5"/>
      <c r="Q277" s="30">
        <v>0</v>
      </c>
      <c r="R277" s="27">
        <v>0</v>
      </c>
      <c r="S277" s="27">
        <v>0</v>
      </c>
      <c r="T277" s="51">
        <v>0</v>
      </c>
      <c r="U277" s="5"/>
      <c r="V277" s="30">
        <v>0</v>
      </c>
      <c r="W277" s="51">
        <v>0</v>
      </c>
      <c r="Y277" s="30">
        <v>0</v>
      </c>
      <c r="Z277" s="27">
        <v>0</v>
      </c>
      <c r="AA277" s="27">
        <v>0</v>
      </c>
      <c r="AB277" s="51">
        <v>0</v>
      </c>
      <c r="AD277" s="30">
        <v>10225825536.43907</v>
      </c>
      <c r="AE277" s="27">
        <v>0</v>
      </c>
      <c r="AF277" s="27">
        <v>10225825536.43907</v>
      </c>
      <c r="AG277" s="51">
        <v>0</v>
      </c>
      <c r="AI277" s="30">
        <v>0</v>
      </c>
      <c r="AJ277" s="51">
        <v>0</v>
      </c>
      <c r="AL277" s="43">
        <v>0</v>
      </c>
      <c r="AM277" s="52">
        <v>0</v>
      </c>
      <c r="AN277" s="53">
        <v>0</v>
      </c>
      <c r="AO277" s="54">
        <v>0</v>
      </c>
      <c r="AQ277" s="30">
        <v>0</v>
      </c>
      <c r="AR277" s="27">
        <v>0</v>
      </c>
      <c r="AS277" s="27">
        <v>0</v>
      </c>
      <c r="AT277" s="51">
        <v>0</v>
      </c>
      <c r="AV277" s="30">
        <v>0</v>
      </c>
      <c r="AW277" s="27">
        <v>0</v>
      </c>
      <c r="AX277" s="27">
        <v>0</v>
      </c>
      <c r="AY277" s="51">
        <v>0</v>
      </c>
      <c r="BA277" s="30">
        <v>0</v>
      </c>
      <c r="BB277" s="27">
        <v>0</v>
      </c>
      <c r="BC277" s="27">
        <v>0</v>
      </c>
      <c r="BD277" s="51">
        <v>0</v>
      </c>
      <c r="BF277" s="30">
        <v>0</v>
      </c>
      <c r="BG277" s="27">
        <v>0</v>
      </c>
      <c r="BH277" s="27">
        <v>0</v>
      </c>
      <c r="BI277" s="51">
        <v>0</v>
      </c>
      <c r="BK277" s="30">
        <v>0</v>
      </c>
      <c r="BL277" s="27">
        <v>0</v>
      </c>
      <c r="BM277" s="27">
        <v>0</v>
      </c>
      <c r="BN277" s="51">
        <v>0</v>
      </c>
      <c r="BP277" s="30">
        <v>0</v>
      </c>
      <c r="BQ277" s="20">
        <v>607906793.77693379</v>
      </c>
      <c r="BR277" s="51">
        <v>0</v>
      </c>
      <c r="BT277" s="30">
        <v>0</v>
      </c>
      <c r="BU277" s="51">
        <v>0</v>
      </c>
      <c r="BW277" s="221">
        <v>0</v>
      </c>
      <c r="BX277" s="222">
        <v>0</v>
      </c>
    </row>
    <row r="278" spans="6:76" x14ac:dyDescent="0.2">
      <c r="F278" s="151">
        <v>274</v>
      </c>
      <c r="G278" s="30">
        <v>0</v>
      </c>
      <c r="H278" s="28">
        <v>0</v>
      </c>
      <c r="I278" s="28">
        <v>0</v>
      </c>
      <c r="J278" s="28">
        <v>0</v>
      </c>
      <c r="K278" s="28">
        <v>0</v>
      </c>
      <c r="L278" s="28">
        <v>0</v>
      </c>
      <c r="M278" s="27">
        <v>0</v>
      </c>
      <c r="N278" s="27">
        <v>0</v>
      </c>
      <c r="O278" s="51">
        <v>0</v>
      </c>
      <c r="P278" s="5"/>
      <c r="Q278" s="30">
        <v>0</v>
      </c>
      <c r="R278" s="27">
        <v>0</v>
      </c>
      <c r="S278" s="27">
        <v>0</v>
      </c>
      <c r="T278" s="51">
        <v>0</v>
      </c>
      <c r="U278" s="5"/>
      <c r="V278" s="30">
        <v>0</v>
      </c>
      <c r="W278" s="51">
        <v>0</v>
      </c>
      <c r="Y278" s="30">
        <v>0</v>
      </c>
      <c r="Z278" s="27">
        <v>0</v>
      </c>
      <c r="AA278" s="27">
        <v>0</v>
      </c>
      <c r="AB278" s="51">
        <v>0</v>
      </c>
      <c r="AD278" s="30">
        <v>10514339669.348993</v>
      </c>
      <c r="AE278" s="27">
        <v>0</v>
      </c>
      <c r="AF278" s="27">
        <v>10514339669.348993</v>
      </c>
      <c r="AG278" s="51">
        <v>0</v>
      </c>
      <c r="AI278" s="30">
        <v>0</v>
      </c>
      <c r="AJ278" s="51">
        <v>0</v>
      </c>
      <c r="AL278" s="43">
        <v>0</v>
      </c>
      <c r="AM278" s="52">
        <v>0</v>
      </c>
      <c r="AN278" s="53">
        <v>0</v>
      </c>
      <c r="AO278" s="54">
        <v>0</v>
      </c>
      <c r="AQ278" s="30">
        <v>0</v>
      </c>
      <c r="AR278" s="27">
        <v>0</v>
      </c>
      <c r="AS278" s="27">
        <v>0</v>
      </c>
      <c r="AT278" s="51">
        <v>0</v>
      </c>
      <c r="AV278" s="30">
        <v>0</v>
      </c>
      <c r="AW278" s="27">
        <v>0</v>
      </c>
      <c r="AX278" s="27">
        <v>0</v>
      </c>
      <c r="AY278" s="51">
        <v>0</v>
      </c>
      <c r="BA278" s="30">
        <v>0</v>
      </c>
      <c r="BB278" s="27">
        <v>0</v>
      </c>
      <c r="BC278" s="27">
        <v>0</v>
      </c>
      <c r="BD278" s="51">
        <v>0</v>
      </c>
      <c r="BF278" s="30">
        <v>0</v>
      </c>
      <c r="BG278" s="27">
        <v>0</v>
      </c>
      <c r="BH278" s="27">
        <v>0</v>
      </c>
      <c r="BI278" s="51">
        <v>0</v>
      </c>
      <c r="BK278" s="30">
        <v>0</v>
      </c>
      <c r="BL278" s="27">
        <v>0</v>
      </c>
      <c r="BM278" s="27">
        <v>0</v>
      </c>
      <c r="BN278" s="51">
        <v>0</v>
      </c>
      <c r="BP278" s="30">
        <v>0</v>
      </c>
      <c r="BQ278" s="20">
        <v>607906793.77693379</v>
      </c>
      <c r="BR278" s="51">
        <v>0</v>
      </c>
      <c r="BT278" s="30">
        <v>0</v>
      </c>
      <c r="BU278" s="51">
        <v>0</v>
      </c>
      <c r="BW278" s="221">
        <v>0</v>
      </c>
      <c r="BX278" s="222">
        <v>0</v>
      </c>
    </row>
    <row r="279" spans="6:76" x14ac:dyDescent="0.2">
      <c r="F279" s="151">
        <v>275</v>
      </c>
      <c r="G279" s="30">
        <v>0</v>
      </c>
      <c r="H279" s="28">
        <v>0</v>
      </c>
      <c r="I279" s="28">
        <v>0</v>
      </c>
      <c r="J279" s="28">
        <v>0</v>
      </c>
      <c r="K279" s="28">
        <v>0</v>
      </c>
      <c r="L279" s="28">
        <v>0</v>
      </c>
      <c r="M279" s="27">
        <v>0</v>
      </c>
      <c r="N279" s="27">
        <v>0</v>
      </c>
      <c r="O279" s="51">
        <v>0</v>
      </c>
      <c r="P279" s="5"/>
      <c r="Q279" s="30">
        <v>0</v>
      </c>
      <c r="R279" s="27">
        <v>0</v>
      </c>
      <c r="S279" s="27">
        <v>0</v>
      </c>
      <c r="T279" s="51">
        <v>0</v>
      </c>
      <c r="U279" s="5"/>
      <c r="V279" s="30">
        <v>0</v>
      </c>
      <c r="W279" s="51">
        <v>0</v>
      </c>
      <c r="Y279" s="30">
        <v>0</v>
      </c>
      <c r="Z279" s="27">
        <v>0</v>
      </c>
      <c r="AA279" s="27">
        <v>0</v>
      </c>
      <c r="AB279" s="51">
        <v>0</v>
      </c>
      <c r="AD279" s="30">
        <v>10810994015.935762</v>
      </c>
      <c r="AE279" s="27">
        <v>0</v>
      </c>
      <c r="AF279" s="27">
        <v>10810994015.935762</v>
      </c>
      <c r="AG279" s="51">
        <v>0</v>
      </c>
      <c r="AI279" s="30">
        <v>0</v>
      </c>
      <c r="AJ279" s="51">
        <v>0</v>
      </c>
      <c r="AL279" s="43">
        <v>0</v>
      </c>
      <c r="AM279" s="52">
        <v>0</v>
      </c>
      <c r="AN279" s="53">
        <v>0</v>
      </c>
      <c r="AO279" s="54">
        <v>0</v>
      </c>
      <c r="AQ279" s="30">
        <v>0</v>
      </c>
      <c r="AR279" s="27">
        <v>0</v>
      </c>
      <c r="AS279" s="27">
        <v>0</v>
      </c>
      <c r="AT279" s="51">
        <v>0</v>
      </c>
      <c r="AV279" s="30">
        <v>0</v>
      </c>
      <c r="AW279" s="27">
        <v>0</v>
      </c>
      <c r="AX279" s="27">
        <v>0</v>
      </c>
      <c r="AY279" s="51">
        <v>0</v>
      </c>
      <c r="BA279" s="30">
        <v>0</v>
      </c>
      <c r="BB279" s="27">
        <v>0</v>
      </c>
      <c r="BC279" s="27">
        <v>0</v>
      </c>
      <c r="BD279" s="51">
        <v>0</v>
      </c>
      <c r="BF279" s="30">
        <v>0</v>
      </c>
      <c r="BG279" s="27">
        <v>0</v>
      </c>
      <c r="BH279" s="27">
        <v>0</v>
      </c>
      <c r="BI279" s="51">
        <v>0</v>
      </c>
      <c r="BK279" s="30">
        <v>0</v>
      </c>
      <c r="BL279" s="27">
        <v>0</v>
      </c>
      <c r="BM279" s="27">
        <v>0</v>
      </c>
      <c r="BN279" s="51">
        <v>0</v>
      </c>
      <c r="BP279" s="30">
        <v>0</v>
      </c>
      <c r="BQ279" s="20">
        <v>607906793.77693379</v>
      </c>
      <c r="BR279" s="51">
        <v>0</v>
      </c>
      <c r="BT279" s="30">
        <v>0</v>
      </c>
      <c r="BU279" s="51">
        <v>0</v>
      </c>
      <c r="BW279" s="221">
        <v>0</v>
      </c>
      <c r="BX279" s="222">
        <v>0</v>
      </c>
    </row>
    <row r="280" spans="6:76" x14ac:dyDescent="0.2">
      <c r="F280" s="151">
        <v>276</v>
      </c>
      <c r="G280" s="30">
        <v>0</v>
      </c>
      <c r="H280" s="28">
        <v>0</v>
      </c>
      <c r="I280" s="28">
        <v>0</v>
      </c>
      <c r="J280" s="28">
        <v>0</v>
      </c>
      <c r="K280" s="28">
        <v>0</v>
      </c>
      <c r="L280" s="28">
        <v>0</v>
      </c>
      <c r="M280" s="27">
        <v>0</v>
      </c>
      <c r="N280" s="27">
        <v>0</v>
      </c>
      <c r="O280" s="51">
        <v>0</v>
      </c>
      <c r="P280" s="5"/>
      <c r="Q280" s="30">
        <v>0</v>
      </c>
      <c r="R280" s="27">
        <v>0</v>
      </c>
      <c r="S280" s="27">
        <v>0</v>
      </c>
      <c r="T280" s="51">
        <v>0</v>
      </c>
      <c r="U280" s="5"/>
      <c r="V280" s="30">
        <v>0</v>
      </c>
      <c r="W280" s="51">
        <v>0</v>
      </c>
      <c r="Y280" s="30">
        <v>0</v>
      </c>
      <c r="Z280" s="27">
        <v>0</v>
      </c>
      <c r="AA280" s="27">
        <v>0</v>
      </c>
      <c r="AB280" s="51">
        <v>0</v>
      </c>
      <c r="AD280" s="30">
        <v>11116018246.330391</v>
      </c>
      <c r="AE280" s="27">
        <v>0</v>
      </c>
      <c r="AF280" s="27">
        <v>11116018246.330391</v>
      </c>
      <c r="AG280" s="51">
        <v>0</v>
      </c>
      <c r="AI280" s="30">
        <v>0</v>
      </c>
      <c r="AJ280" s="51">
        <v>0</v>
      </c>
      <c r="AL280" s="43">
        <v>0</v>
      </c>
      <c r="AM280" s="52">
        <v>0</v>
      </c>
      <c r="AN280" s="53">
        <v>0</v>
      </c>
      <c r="AO280" s="54">
        <v>0</v>
      </c>
      <c r="AQ280" s="30">
        <v>0</v>
      </c>
      <c r="AR280" s="27">
        <v>0</v>
      </c>
      <c r="AS280" s="27">
        <v>0</v>
      </c>
      <c r="AT280" s="51">
        <v>0</v>
      </c>
      <c r="AV280" s="30">
        <v>0</v>
      </c>
      <c r="AW280" s="27">
        <v>0</v>
      </c>
      <c r="AX280" s="27">
        <v>0</v>
      </c>
      <c r="AY280" s="51">
        <v>0</v>
      </c>
      <c r="BA280" s="30">
        <v>0</v>
      </c>
      <c r="BB280" s="27">
        <v>0</v>
      </c>
      <c r="BC280" s="27">
        <v>0</v>
      </c>
      <c r="BD280" s="51">
        <v>0</v>
      </c>
      <c r="BF280" s="30">
        <v>0</v>
      </c>
      <c r="BG280" s="27">
        <v>0</v>
      </c>
      <c r="BH280" s="27">
        <v>0</v>
      </c>
      <c r="BI280" s="51">
        <v>0</v>
      </c>
      <c r="BK280" s="30">
        <v>0</v>
      </c>
      <c r="BL280" s="27">
        <v>0</v>
      </c>
      <c r="BM280" s="27">
        <v>0</v>
      </c>
      <c r="BN280" s="51">
        <v>0</v>
      </c>
      <c r="BP280" s="30">
        <v>0</v>
      </c>
      <c r="BQ280" s="20">
        <v>607906793.77693379</v>
      </c>
      <c r="BR280" s="51">
        <v>0</v>
      </c>
      <c r="BT280" s="30">
        <v>0</v>
      </c>
      <c r="BU280" s="51">
        <v>0</v>
      </c>
      <c r="BW280" s="221">
        <v>0</v>
      </c>
      <c r="BX280" s="222">
        <v>0</v>
      </c>
    </row>
    <row r="281" spans="6:76" x14ac:dyDescent="0.2">
      <c r="F281" s="151">
        <v>277</v>
      </c>
      <c r="G281" s="30">
        <v>0</v>
      </c>
      <c r="H281" s="28">
        <v>0</v>
      </c>
      <c r="I281" s="28">
        <v>0</v>
      </c>
      <c r="J281" s="28">
        <v>0</v>
      </c>
      <c r="K281" s="28">
        <v>0</v>
      </c>
      <c r="L281" s="28">
        <v>0</v>
      </c>
      <c r="M281" s="27">
        <v>0</v>
      </c>
      <c r="N281" s="27">
        <v>0</v>
      </c>
      <c r="O281" s="51">
        <v>0</v>
      </c>
      <c r="P281" s="5"/>
      <c r="Q281" s="30">
        <v>0</v>
      </c>
      <c r="R281" s="27">
        <v>0</v>
      </c>
      <c r="S281" s="27">
        <v>0</v>
      </c>
      <c r="T281" s="51">
        <v>0</v>
      </c>
      <c r="U281" s="5"/>
      <c r="V281" s="30">
        <v>0</v>
      </c>
      <c r="W281" s="51">
        <v>0</v>
      </c>
      <c r="Y281" s="30">
        <v>0</v>
      </c>
      <c r="Z281" s="27">
        <v>0</v>
      </c>
      <c r="AA281" s="27">
        <v>0</v>
      </c>
      <c r="AB281" s="51">
        <v>0</v>
      </c>
      <c r="AD281" s="30">
        <v>11429648510.637415</v>
      </c>
      <c r="AE281" s="27">
        <v>0</v>
      </c>
      <c r="AF281" s="27">
        <v>11429648510.637415</v>
      </c>
      <c r="AG281" s="51">
        <v>0</v>
      </c>
      <c r="AI281" s="30">
        <v>0</v>
      </c>
      <c r="AJ281" s="51">
        <v>0</v>
      </c>
      <c r="AL281" s="43">
        <v>0</v>
      </c>
      <c r="AM281" s="52">
        <v>0</v>
      </c>
      <c r="AN281" s="53">
        <v>0</v>
      </c>
      <c r="AO281" s="54">
        <v>0</v>
      </c>
      <c r="AQ281" s="30">
        <v>0</v>
      </c>
      <c r="AR281" s="27">
        <v>0</v>
      </c>
      <c r="AS281" s="27">
        <v>0</v>
      </c>
      <c r="AT281" s="51">
        <v>0</v>
      </c>
      <c r="AV281" s="30">
        <v>0</v>
      </c>
      <c r="AW281" s="27">
        <v>0</v>
      </c>
      <c r="AX281" s="27">
        <v>0</v>
      </c>
      <c r="AY281" s="51">
        <v>0</v>
      </c>
      <c r="BA281" s="30">
        <v>0</v>
      </c>
      <c r="BB281" s="27">
        <v>0</v>
      </c>
      <c r="BC281" s="27">
        <v>0</v>
      </c>
      <c r="BD281" s="51">
        <v>0</v>
      </c>
      <c r="BF281" s="30">
        <v>0</v>
      </c>
      <c r="BG281" s="27">
        <v>0</v>
      </c>
      <c r="BH281" s="27">
        <v>0</v>
      </c>
      <c r="BI281" s="51">
        <v>0</v>
      </c>
      <c r="BK281" s="30">
        <v>0</v>
      </c>
      <c r="BL281" s="27">
        <v>0</v>
      </c>
      <c r="BM281" s="27">
        <v>0</v>
      </c>
      <c r="BN281" s="51">
        <v>0</v>
      </c>
      <c r="BP281" s="30">
        <v>0</v>
      </c>
      <c r="BQ281" s="20">
        <v>607906793.77693379</v>
      </c>
      <c r="BR281" s="51">
        <v>0</v>
      </c>
      <c r="BT281" s="30">
        <v>0</v>
      </c>
      <c r="BU281" s="51">
        <v>0</v>
      </c>
      <c r="BW281" s="221">
        <v>0</v>
      </c>
      <c r="BX281" s="222">
        <v>0</v>
      </c>
    </row>
    <row r="282" spans="6:76" x14ac:dyDescent="0.2">
      <c r="F282" s="151">
        <v>278</v>
      </c>
      <c r="G282" s="30">
        <v>0</v>
      </c>
      <c r="H282" s="28">
        <v>0</v>
      </c>
      <c r="I282" s="28">
        <v>0</v>
      </c>
      <c r="J282" s="28">
        <v>0</v>
      </c>
      <c r="K282" s="28">
        <v>0</v>
      </c>
      <c r="L282" s="28">
        <v>0</v>
      </c>
      <c r="M282" s="27">
        <v>0</v>
      </c>
      <c r="N282" s="27">
        <v>0</v>
      </c>
      <c r="O282" s="51">
        <v>0</v>
      </c>
      <c r="P282" s="5"/>
      <c r="Q282" s="30">
        <v>0</v>
      </c>
      <c r="R282" s="27">
        <v>0</v>
      </c>
      <c r="S282" s="27">
        <v>0</v>
      </c>
      <c r="T282" s="51">
        <v>0</v>
      </c>
      <c r="U282" s="5"/>
      <c r="V282" s="30">
        <v>0</v>
      </c>
      <c r="W282" s="51">
        <v>0</v>
      </c>
      <c r="Y282" s="30">
        <v>0</v>
      </c>
      <c r="Z282" s="27">
        <v>0</v>
      </c>
      <c r="AA282" s="27">
        <v>0</v>
      </c>
      <c r="AB282" s="51">
        <v>0</v>
      </c>
      <c r="AD282" s="30">
        <v>11752127621.762568</v>
      </c>
      <c r="AE282" s="27">
        <v>0</v>
      </c>
      <c r="AF282" s="27">
        <v>11752127621.762568</v>
      </c>
      <c r="AG282" s="51">
        <v>0</v>
      </c>
      <c r="AI282" s="30">
        <v>0</v>
      </c>
      <c r="AJ282" s="51">
        <v>0</v>
      </c>
      <c r="AL282" s="43">
        <v>0</v>
      </c>
      <c r="AM282" s="52">
        <v>0</v>
      </c>
      <c r="AN282" s="53">
        <v>0</v>
      </c>
      <c r="AO282" s="54">
        <v>0</v>
      </c>
      <c r="AQ282" s="30">
        <v>0</v>
      </c>
      <c r="AR282" s="27">
        <v>0</v>
      </c>
      <c r="AS282" s="27">
        <v>0</v>
      </c>
      <c r="AT282" s="51">
        <v>0</v>
      </c>
      <c r="AV282" s="30">
        <v>0</v>
      </c>
      <c r="AW282" s="27">
        <v>0</v>
      </c>
      <c r="AX282" s="27">
        <v>0</v>
      </c>
      <c r="AY282" s="51">
        <v>0</v>
      </c>
      <c r="BA282" s="30">
        <v>0</v>
      </c>
      <c r="BB282" s="27">
        <v>0</v>
      </c>
      <c r="BC282" s="27">
        <v>0</v>
      </c>
      <c r="BD282" s="51">
        <v>0</v>
      </c>
      <c r="BF282" s="30">
        <v>0</v>
      </c>
      <c r="BG282" s="27">
        <v>0</v>
      </c>
      <c r="BH282" s="27">
        <v>0</v>
      </c>
      <c r="BI282" s="51">
        <v>0</v>
      </c>
      <c r="BK282" s="30">
        <v>0</v>
      </c>
      <c r="BL282" s="27">
        <v>0</v>
      </c>
      <c r="BM282" s="27">
        <v>0</v>
      </c>
      <c r="BN282" s="51">
        <v>0</v>
      </c>
      <c r="BP282" s="30">
        <v>0</v>
      </c>
      <c r="BQ282" s="20">
        <v>607906793.77693379</v>
      </c>
      <c r="BR282" s="51">
        <v>0</v>
      </c>
      <c r="BT282" s="30">
        <v>0</v>
      </c>
      <c r="BU282" s="51">
        <v>0</v>
      </c>
      <c r="BW282" s="221">
        <v>0</v>
      </c>
      <c r="BX282" s="222">
        <v>0</v>
      </c>
    </row>
    <row r="283" spans="6:76" x14ac:dyDescent="0.2">
      <c r="F283" s="151">
        <v>279</v>
      </c>
      <c r="G283" s="30">
        <v>0</v>
      </c>
      <c r="H283" s="28">
        <v>0</v>
      </c>
      <c r="I283" s="28">
        <v>0</v>
      </c>
      <c r="J283" s="28">
        <v>0</v>
      </c>
      <c r="K283" s="28">
        <v>0</v>
      </c>
      <c r="L283" s="28">
        <v>0</v>
      </c>
      <c r="M283" s="27">
        <v>0</v>
      </c>
      <c r="N283" s="27">
        <v>0</v>
      </c>
      <c r="O283" s="51">
        <v>0</v>
      </c>
      <c r="P283" s="5"/>
      <c r="Q283" s="30">
        <v>0</v>
      </c>
      <c r="R283" s="27">
        <v>0</v>
      </c>
      <c r="S283" s="27">
        <v>0</v>
      </c>
      <c r="T283" s="51">
        <v>0</v>
      </c>
      <c r="U283" s="5"/>
      <c r="V283" s="30">
        <v>0</v>
      </c>
      <c r="W283" s="51">
        <v>0</v>
      </c>
      <c r="Y283" s="30">
        <v>0</v>
      </c>
      <c r="Z283" s="27">
        <v>0</v>
      </c>
      <c r="AA283" s="27">
        <v>0</v>
      </c>
      <c r="AB283" s="51">
        <v>0</v>
      </c>
      <c r="AD283" s="30">
        <v>12083705243.398806</v>
      </c>
      <c r="AE283" s="27">
        <v>0</v>
      </c>
      <c r="AF283" s="27">
        <v>12083705243.398806</v>
      </c>
      <c r="AG283" s="51">
        <v>0</v>
      </c>
      <c r="AI283" s="30">
        <v>0</v>
      </c>
      <c r="AJ283" s="51">
        <v>0</v>
      </c>
      <c r="AL283" s="43">
        <v>0</v>
      </c>
      <c r="AM283" s="52">
        <v>0</v>
      </c>
      <c r="AN283" s="53">
        <v>0</v>
      </c>
      <c r="AO283" s="54">
        <v>0</v>
      </c>
      <c r="AQ283" s="30">
        <v>0</v>
      </c>
      <c r="AR283" s="27">
        <v>0</v>
      </c>
      <c r="AS283" s="27">
        <v>0</v>
      </c>
      <c r="AT283" s="51">
        <v>0</v>
      </c>
      <c r="AV283" s="30">
        <v>0</v>
      </c>
      <c r="AW283" s="27">
        <v>0</v>
      </c>
      <c r="AX283" s="27">
        <v>0</v>
      </c>
      <c r="AY283" s="51">
        <v>0</v>
      </c>
      <c r="BA283" s="30">
        <v>0</v>
      </c>
      <c r="BB283" s="27">
        <v>0</v>
      </c>
      <c r="BC283" s="27">
        <v>0</v>
      </c>
      <c r="BD283" s="51">
        <v>0</v>
      </c>
      <c r="BF283" s="30">
        <v>0</v>
      </c>
      <c r="BG283" s="27">
        <v>0</v>
      </c>
      <c r="BH283" s="27">
        <v>0</v>
      </c>
      <c r="BI283" s="51">
        <v>0</v>
      </c>
      <c r="BK283" s="30">
        <v>0</v>
      </c>
      <c r="BL283" s="27">
        <v>0</v>
      </c>
      <c r="BM283" s="27">
        <v>0</v>
      </c>
      <c r="BN283" s="51">
        <v>0</v>
      </c>
      <c r="BP283" s="30">
        <v>0</v>
      </c>
      <c r="BQ283" s="20">
        <v>607906793.77693379</v>
      </c>
      <c r="BR283" s="51">
        <v>0</v>
      </c>
      <c r="BT283" s="30">
        <v>0</v>
      </c>
      <c r="BU283" s="51">
        <v>0</v>
      </c>
      <c r="BW283" s="221">
        <v>0</v>
      </c>
      <c r="BX283" s="222">
        <v>0</v>
      </c>
    </row>
    <row r="284" spans="6:76" x14ac:dyDescent="0.2">
      <c r="F284" s="151">
        <v>280</v>
      </c>
      <c r="G284" s="30">
        <v>0</v>
      </c>
      <c r="H284" s="28">
        <v>0</v>
      </c>
      <c r="I284" s="28">
        <v>0</v>
      </c>
      <c r="J284" s="28">
        <v>0</v>
      </c>
      <c r="K284" s="28">
        <v>0</v>
      </c>
      <c r="L284" s="28">
        <v>0</v>
      </c>
      <c r="M284" s="27">
        <v>0</v>
      </c>
      <c r="N284" s="27">
        <v>0</v>
      </c>
      <c r="O284" s="51">
        <v>0</v>
      </c>
      <c r="P284" s="5"/>
      <c r="Q284" s="30">
        <v>0</v>
      </c>
      <c r="R284" s="27">
        <v>0</v>
      </c>
      <c r="S284" s="27">
        <v>0</v>
      </c>
      <c r="T284" s="51">
        <v>0</v>
      </c>
      <c r="U284" s="5"/>
      <c r="V284" s="30">
        <v>0</v>
      </c>
      <c r="W284" s="51">
        <v>0</v>
      </c>
      <c r="Y284" s="30">
        <v>0</v>
      </c>
      <c r="Z284" s="27">
        <v>0</v>
      </c>
      <c r="AA284" s="27">
        <v>0</v>
      </c>
      <c r="AB284" s="51">
        <v>0</v>
      </c>
      <c r="AD284" s="30">
        <v>12424638083.316231</v>
      </c>
      <c r="AE284" s="27">
        <v>0</v>
      </c>
      <c r="AF284" s="27">
        <v>12424638083.316231</v>
      </c>
      <c r="AG284" s="51">
        <v>0</v>
      </c>
      <c r="AI284" s="30">
        <v>0</v>
      </c>
      <c r="AJ284" s="51">
        <v>0</v>
      </c>
      <c r="AL284" s="43">
        <v>0</v>
      </c>
      <c r="AM284" s="52">
        <v>0</v>
      </c>
      <c r="AN284" s="53">
        <v>0</v>
      </c>
      <c r="AO284" s="54">
        <v>0</v>
      </c>
      <c r="AQ284" s="30">
        <v>0</v>
      </c>
      <c r="AR284" s="27">
        <v>0</v>
      </c>
      <c r="AS284" s="27">
        <v>0</v>
      </c>
      <c r="AT284" s="51">
        <v>0</v>
      </c>
      <c r="AV284" s="30">
        <v>0</v>
      </c>
      <c r="AW284" s="27">
        <v>0</v>
      </c>
      <c r="AX284" s="27">
        <v>0</v>
      </c>
      <c r="AY284" s="51">
        <v>0</v>
      </c>
      <c r="BA284" s="30">
        <v>0</v>
      </c>
      <c r="BB284" s="27">
        <v>0</v>
      </c>
      <c r="BC284" s="27">
        <v>0</v>
      </c>
      <c r="BD284" s="51">
        <v>0</v>
      </c>
      <c r="BF284" s="30">
        <v>0</v>
      </c>
      <c r="BG284" s="27">
        <v>0</v>
      </c>
      <c r="BH284" s="27">
        <v>0</v>
      </c>
      <c r="BI284" s="51">
        <v>0</v>
      </c>
      <c r="BK284" s="30">
        <v>0</v>
      </c>
      <c r="BL284" s="27">
        <v>0</v>
      </c>
      <c r="BM284" s="27">
        <v>0</v>
      </c>
      <c r="BN284" s="51">
        <v>0</v>
      </c>
      <c r="BP284" s="30">
        <v>0</v>
      </c>
      <c r="BQ284" s="20">
        <v>607906793.77693379</v>
      </c>
      <c r="BR284" s="51">
        <v>0</v>
      </c>
      <c r="BT284" s="30">
        <v>0</v>
      </c>
      <c r="BU284" s="51">
        <v>0</v>
      </c>
      <c r="BW284" s="221">
        <v>0</v>
      </c>
      <c r="BX284" s="222">
        <v>0</v>
      </c>
    </row>
    <row r="285" spans="6:76" x14ac:dyDescent="0.2">
      <c r="F285" s="151">
        <v>281</v>
      </c>
      <c r="G285" s="30">
        <v>0</v>
      </c>
      <c r="H285" s="28">
        <v>0</v>
      </c>
      <c r="I285" s="28">
        <v>0</v>
      </c>
      <c r="J285" s="28">
        <v>0</v>
      </c>
      <c r="K285" s="28">
        <v>0</v>
      </c>
      <c r="L285" s="28">
        <v>0</v>
      </c>
      <c r="M285" s="27">
        <v>0</v>
      </c>
      <c r="N285" s="27">
        <v>0</v>
      </c>
      <c r="O285" s="51">
        <v>0</v>
      </c>
      <c r="P285" s="5"/>
      <c r="Q285" s="30">
        <v>0</v>
      </c>
      <c r="R285" s="27">
        <v>0</v>
      </c>
      <c r="S285" s="27">
        <v>0</v>
      </c>
      <c r="T285" s="51">
        <v>0</v>
      </c>
      <c r="U285" s="5"/>
      <c r="V285" s="30">
        <v>0</v>
      </c>
      <c r="W285" s="51">
        <v>0</v>
      </c>
      <c r="Y285" s="30">
        <v>0</v>
      </c>
      <c r="Z285" s="27">
        <v>0</v>
      </c>
      <c r="AA285" s="27">
        <v>0</v>
      </c>
      <c r="AB285" s="51">
        <v>0</v>
      </c>
      <c r="AD285" s="30">
        <v>12775190092.105526</v>
      </c>
      <c r="AE285" s="27">
        <v>0</v>
      </c>
      <c r="AF285" s="27">
        <v>12775190092.105526</v>
      </c>
      <c r="AG285" s="51">
        <v>0</v>
      </c>
      <c r="AI285" s="30">
        <v>0</v>
      </c>
      <c r="AJ285" s="51">
        <v>0</v>
      </c>
      <c r="AL285" s="43">
        <v>0</v>
      </c>
      <c r="AM285" s="52">
        <v>0</v>
      </c>
      <c r="AN285" s="53">
        <v>0</v>
      </c>
      <c r="AO285" s="54">
        <v>0</v>
      </c>
      <c r="AQ285" s="30">
        <v>0</v>
      </c>
      <c r="AR285" s="27">
        <v>0</v>
      </c>
      <c r="AS285" s="27">
        <v>0</v>
      </c>
      <c r="AT285" s="51">
        <v>0</v>
      </c>
      <c r="AV285" s="30">
        <v>0</v>
      </c>
      <c r="AW285" s="27">
        <v>0</v>
      </c>
      <c r="AX285" s="27">
        <v>0</v>
      </c>
      <c r="AY285" s="51">
        <v>0</v>
      </c>
      <c r="BA285" s="30">
        <v>0</v>
      </c>
      <c r="BB285" s="27">
        <v>0</v>
      </c>
      <c r="BC285" s="27">
        <v>0</v>
      </c>
      <c r="BD285" s="51">
        <v>0</v>
      </c>
      <c r="BF285" s="30">
        <v>0</v>
      </c>
      <c r="BG285" s="27">
        <v>0</v>
      </c>
      <c r="BH285" s="27">
        <v>0</v>
      </c>
      <c r="BI285" s="51">
        <v>0</v>
      </c>
      <c r="BK285" s="30">
        <v>0</v>
      </c>
      <c r="BL285" s="27">
        <v>0</v>
      </c>
      <c r="BM285" s="27">
        <v>0</v>
      </c>
      <c r="BN285" s="51">
        <v>0</v>
      </c>
      <c r="BP285" s="30">
        <v>0</v>
      </c>
      <c r="BQ285" s="20">
        <v>607906793.77693379</v>
      </c>
      <c r="BR285" s="51">
        <v>0</v>
      </c>
      <c r="BT285" s="30">
        <v>0</v>
      </c>
      <c r="BU285" s="51">
        <v>0</v>
      </c>
      <c r="BW285" s="221">
        <v>0</v>
      </c>
      <c r="BX285" s="222">
        <v>0</v>
      </c>
    </row>
    <row r="286" spans="6:76" x14ac:dyDescent="0.2">
      <c r="F286" s="151">
        <v>282</v>
      </c>
      <c r="G286" s="30">
        <v>0</v>
      </c>
      <c r="H286" s="28">
        <v>0</v>
      </c>
      <c r="I286" s="28">
        <v>0</v>
      </c>
      <c r="J286" s="28">
        <v>0</v>
      </c>
      <c r="K286" s="28">
        <v>0</v>
      </c>
      <c r="L286" s="28">
        <v>0</v>
      </c>
      <c r="M286" s="27">
        <v>0</v>
      </c>
      <c r="N286" s="27">
        <v>0</v>
      </c>
      <c r="O286" s="51">
        <v>0</v>
      </c>
      <c r="P286" s="5"/>
      <c r="Q286" s="30">
        <v>0</v>
      </c>
      <c r="R286" s="27">
        <v>0</v>
      </c>
      <c r="S286" s="27">
        <v>0</v>
      </c>
      <c r="T286" s="51">
        <v>0</v>
      </c>
      <c r="U286" s="5"/>
      <c r="V286" s="30">
        <v>0</v>
      </c>
      <c r="W286" s="51">
        <v>0</v>
      </c>
      <c r="Y286" s="30">
        <v>0</v>
      </c>
      <c r="Z286" s="27">
        <v>0</v>
      </c>
      <c r="AA286" s="27">
        <v>0</v>
      </c>
      <c r="AB286" s="51">
        <v>0</v>
      </c>
      <c r="AD286" s="30">
        <v>13135632667.528809</v>
      </c>
      <c r="AE286" s="27">
        <v>0</v>
      </c>
      <c r="AF286" s="27">
        <v>13135632667.528809</v>
      </c>
      <c r="AG286" s="51">
        <v>0</v>
      </c>
      <c r="AI286" s="30">
        <v>0</v>
      </c>
      <c r="AJ286" s="51">
        <v>0</v>
      </c>
      <c r="AL286" s="43">
        <v>0</v>
      </c>
      <c r="AM286" s="52">
        <v>0</v>
      </c>
      <c r="AN286" s="53">
        <v>0</v>
      </c>
      <c r="AO286" s="54">
        <v>0</v>
      </c>
      <c r="AQ286" s="30">
        <v>0</v>
      </c>
      <c r="AR286" s="27">
        <v>0</v>
      </c>
      <c r="AS286" s="27">
        <v>0</v>
      </c>
      <c r="AT286" s="51">
        <v>0</v>
      </c>
      <c r="AV286" s="30">
        <v>0</v>
      </c>
      <c r="AW286" s="27">
        <v>0</v>
      </c>
      <c r="AX286" s="27">
        <v>0</v>
      </c>
      <c r="AY286" s="51">
        <v>0</v>
      </c>
      <c r="BA286" s="30">
        <v>0</v>
      </c>
      <c r="BB286" s="27">
        <v>0</v>
      </c>
      <c r="BC286" s="27">
        <v>0</v>
      </c>
      <c r="BD286" s="51">
        <v>0</v>
      </c>
      <c r="BF286" s="30">
        <v>0</v>
      </c>
      <c r="BG286" s="27">
        <v>0</v>
      </c>
      <c r="BH286" s="27">
        <v>0</v>
      </c>
      <c r="BI286" s="51">
        <v>0</v>
      </c>
      <c r="BK286" s="30">
        <v>0</v>
      </c>
      <c r="BL286" s="27">
        <v>0</v>
      </c>
      <c r="BM286" s="27">
        <v>0</v>
      </c>
      <c r="BN286" s="51">
        <v>0</v>
      </c>
      <c r="BP286" s="30">
        <v>0</v>
      </c>
      <c r="BQ286" s="20">
        <v>607906793.77693379</v>
      </c>
      <c r="BR286" s="51">
        <v>0</v>
      </c>
      <c r="BT286" s="30">
        <v>0</v>
      </c>
      <c r="BU286" s="51">
        <v>0</v>
      </c>
      <c r="BW286" s="221">
        <v>0</v>
      </c>
      <c r="BX286" s="222">
        <v>0</v>
      </c>
    </row>
    <row r="287" spans="6:76" x14ac:dyDescent="0.2">
      <c r="F287" s="151">
        <v>283</v>
      </c>
      <c r="G287" s="30">
        <v>0</v>
      </c>
      <c r="H287" s="28">
        <v>0</v>
      </c>
      <c r="I287" s="28">
        <v>0</v>
      </c>
      <c r="J287" s="28">
        <v>0</v>
      </c>
      <c r="K287" s="28">
        <v>0</v>
      </c>
      <c r="L287" s="28">
        <v>0</v>
      </c>
      <c r="M287" s="27">
        <v>0</v>
      </c>
      <c r="N287" s="27">
        <v>0</v>
      </c>
      <c r="O287" s="51">
        <v>0</v>
      </c>
      <c r="P287" s="5"/>
      <c r="Q287" s="30">
        <v>0</v>
      </c>
      <c r="R287" s="27">
        <v>0</v>
      </c>
      <c r="S287" s="27">
        <v>0</v>
      </c>
      <c r="T287" s="51">
        <v>0</v>
      </c>
      <c r="U287" s="5"/>
      <c r="V287" s="30">
        <v>0</v>
      </c>
      <c r="W287" s="51">
        <v>0</v>
      </c>
      <c r="Y287" s="30">
        <v>0</v>
      </c>
      <c r="Z287" s="27">
        <v>0</v>
      </c>
      <c r="AA287" s="27">
        <v>0</v>
      </c>
      <c r="AB287" s="51">
        <v>0</v>
      </c>
      <c r="AD287" s="30">
        <v>13506244864.636082</v>
      </c>
      <c r="AE287" s="27">
        <v>0</v>
      </c>
      <c r="AF287" s="27">
        <v>13506244864.636082</v>
      </c>
      <c r="AG287" s="51">
        <v>0</v>
      </c>
      <c r="AI287" s="30">
        <v>0</v>
      </c>
      <c r="AJ287" s="51">
        <v>0</v>
      </c>
      <c r="AL287" s="43">
        <v>0</v>
      </c>
      <c r="AM287" s="52">
        <v>0</v>
      </c>
      <c r="AN287" s="53">
        <v>0</v>
      </c>
      <c r="AO287" s="54">
        <v>0</v>
      </c>
      <c r="AQ287" s="30">
        <v>0</v>
      </c>
      <c r="AR287" s="27">
        <v>0</v>
      </c>
      <c r="AS287" s="27">
        <v>0</v>
      </c>
      <c r="AT287" s="51">
        <v>0</v>
      </c>
      <c r="AV287" s="30">
        <v>0</v>
      </c>
      <c r="AW287" s="27">
        <v>0</v>
      </c>
      <c r="AX287" s="27">
        <v>0</v>
      </c>
      <c r="AY287" s="51">
        <v>0</v>
      </c>
      <c r="BA287" s="30">
        <v>0</v>
      </c>
      <c r="BB287" s="27">
        <v>0</v>
      </c>
      <c r="BC287" s="27">
        <v>0</v>
      </c>
      <c r="BD287" s="51">
        <v>0</v>
      </c>
      <c r="BF287" s="30">
        <v>0</v>
      </c>
      <c r="BG287" s="27">
        <v>0</v>
      </c>
      <c r="BH287" s="27">
        <v>0</v>
      </c>
      <c r="BI287" s="51">
        <v>0</v>
      </c>
      <c r="BK287" s="30">
        <v>0</v>
      </c>
      <c r="BL287" s="27">
        <v>0</v>
      </c>
      <c r="BM287" s="27">
        <v>0</v>
      </c>
      <c r="BN287" s="51">
        <v>0</v>
      </c>
      <c r="BP287" s="30">
        <v>0</v>
      </c>
      <c r="BQ287" s="20">
        <v>607906793.77693379</v>
      </c>
      <c r="BR287" s="51">
        <v>0</v>
      </c>
      <c r="BT287" s="30">
        <v>0</v>
      </c>
      <c r="BU287" s="51">
        <v>0</v>
      </c>
      <c r="BW287" s="221">
        <v>0</v>
      </c>
      <c r="BX287" s="222">
        <v>0</v>
      </c>
    </row>
    <row r="288" spans="6:76" x14ac:dyDescent="0.2">
      <c r="F288" s="151">
        <v>284</v>
      </c>
      <c r="G288" s="30">
        <v>0</v>
      </c>
      <c r="H288" s="28">
        <v>0</v>
      </c>
      <c r="I288" s="28">
        <v>0</v>
      </c>
      <c r="J288" s="28">
        <v>0</v>
      </c>
      <c r="K288" s="28">
        <v>0</v>
      </c>
      <c r="L288" s="28">
        <v>0</v>
      </c>
      <c r="M288" s="27">
        <v>0</v>
      </c>
      <c r="N288" s="27">
        <v>0</v>
      </c>
      <c r="O288" s="51">
        <v>0</v>
      </c>
      <c r="P288" s="5"/>
      <c r="Q288" s="30">
        <v>0</v>
      </c>
      <c r="R288" s="27">
        <v>0</v>
      </c>
      <c r="S288" s="27">
        <v>0</v>
      </c>
      <c r="T288" s="51">
        <v>0</v>
      </c>
      <c r="U288" s="5"/>
      <c r="V288" s="30">
        <v>0</v>
      </c>
      <c r="W288" s="51">
        <v>0</v>
      </c>
      <c r="Y288" s="30">
        <v>0</v>
      </c>
      <c r="Z288" s="27">
        <v>0</v>
      </c>
      <c r="AA288" s="27">
        <v>0</v>
      </c>
      <c r="AB288" s="51">
        <v>0</v>
      </c>
      <c r="AD288" s="30">
        <v>13887313611.809969</v>
      </c>
      <c r="AE288" s="27">
        <v>0</v>
      </c>
      <c r="AF288" s="27">
        <v>13887313611.809969</v>
      </c>
      <c r="AG288" s="51">
        <v>0</v>
      </c>
      <c r="AI288" s="30">
        <v>0</v>
      </c>
      <c r="AJ288" s="51">
        <v>0</v>
      </c>
      <c r="AL288" s="43">
        <v>0</v>
      </c>
      <c r="AM288" s="52">
        <v>0</v>
      </c>
      <c r="AN288" s="53">
        <v>0</v>
      </c>
      <c r="AO288" s="54">
        <v>0</v>
      </c>
      <c r="AQ288" s="30">
        <v>0</v>
      </c>
      <c r="AR288" s="27">
        <v>0</v>
      </c>
      <c r="AS288" s="27">
        <v>0</v>
      </c>
      <c r="AT288" s="51">
        <v>0</v>
      </c>
      <c r="AV288" s="30">
        <v>0</v>
      </c>
      <c r="AW288" s="27">
        <v>0</v>
      </c>
      <c r="AX288" s="27">
        <v>0</v>
      </c>
      <c r="AY288" s="51">
        <v>0</v>
      </c>
      <c r="BA288" s="30">
        <v>0</v>
      </c>
      <c r="BB288" s="27">
        <v>0</v>
      </c>
      <c r="BC288" s="27">
        <v>0</v>
      </c>
      <c r="BD288" s="51">
        <v>0</v>
      </c>
      <c r="BF288" s="30">
        <v>0</v>
      </c>
      <c r="BG288" s="27">
        <v>0</v>
      </c>
      <c r="BH288" s="27">
        <v>0</v>
      </c>
      <c r="BI288" s="51">
        <v>0</v>
      </c>
      <c r="BK288" s="30">
        <v>0</v>
      </c>
      <c r="BL288" s="27">
        <v>0</v>
      </c>
      <c r="BM288" s="27">
        <v>0</v>
      </c>
      <c r="BN288" s="51">
        <v>0</v>
      </c>
      <c r="BP288" s="30">
        <v>0</v>
      </c>
      <c r="BQ288" s="20">
        <v>607906793.77693379</v>
      </c>
      <c r="BR288" s="51">
        <v>0</v>
      </c>
      <c r="BT288" s="30">
        <v>0</v>
      </c>
      <c r="BU288" s="51">
        <v>0</v>
      </c>
      <c r="BW288" s="221">
        <v>0</v>
      </c>
      <c r="BX288" s="222">
        <v>0</v>
      </c>
    </row>
    <row r="289" spans="6:76" x14ac:dyDescent="0.2">
      <c r="F289" s="151">
        <v>285</v>
      </c>
      <c r="G289" s="30">
        <v>0</v>
      </c>
      <c r="H289" s="28">
        <v>0</v>
      </c>
      <c r="I289" s="28">
        <v>0</v>
      </c>
      <c r="J289" s="28">
        <v>0</v>
      </c>
      <c r="K289" s="28">
        <v>0</v>
      </c>
      <c r="L289" s="28">
        <v>0</v>
      </c>
      <c r="M289" s="27">
        <v>0</v>
      </c>
      <c r="N289" s="27">
        <v>0</v>
      </c>
      <c r="O289" s="51">
        <v>0</v>
      </c>
      <c r="P289" s="5"/>
      <c r="Q289" s="30">
        <v>0</v>
      </c>
      <c r="R289" s="27">
        <v>0</v>
      </c>
      <c r="S289" s="27">
        <v>0</v>
      </c>
      <c r="T289" s="51">
        <v>0</v>
      </c>
      <c r="U289" s="5"/>
      <c r="V289" s="30">
        <v>0</v>
      </c>
      <c r="W289" s="51">
        <v>0</v>
      </c>
      <c r="Y289" s="30">
        <v>0</v>
      </c>
      <c r="Z289" s="27">
        <v>0</v>
      </c>
      <c r="AA289" s="27">
        <v>0</v>
      </c>
      <c r="AB289" s="51">
        <v>0</v>
      </c>
      <c r="AD289" s="30">
        <v>14279133932.905998</v>
      </c>
      <c r="AE289" s="27">
        <v>0</v>
      </c>
      <c r="AF289" s="27">
        <v>14279133932.905998</v>
      </c>
      <c r="AG289" s="51">
        <v>0</v>
      </c>
      <c r="AI289" s="30">
        <v>0</v>
      </c>
      <c r="AJ289" s="51">
        <v>0</v>
      </c>
      <c r="AL289" s="43">
        <v>0</v>
      </c>
      <c r="AM289" s="52">
        <v>0</v>
      </c>
      <c r="AN289" s="53">
        <v>0</v>
      </c>
      <c r="AO289" s="54">
        <v>0</v>
      </c>
      <c r="AQ289" s="30">
        <v>0</v>
      </c>
      <c r="AR289" s="27">
        <v>0</v>
      </c>
      <c r="AS289" s="27">
        <v>0</v>
      </c>
      <c r="AT289" s="51">
        <v>0</v>
      </c>
      <c r="AV289" s="30">
        <v>0</v>
      </c>
      <c r="AW289" s="27">
        <v>0</v>
      </c>
      <c r="AX289" s="27">
        <v>0</v>
      </c>
      <c r="AY289" s="51">
        <v>0</v>
      </c>
      <c r="BA289" s="30">
        <v>0</v>
      </c>
      <c r="BB289" s="27">
        <v>0</v>
      </c>
      <c r="BC289" s="27">
        <v>0</v>
      </c>
      <c r="BD289" s="51">
        <v>0</v>
      </c>
      <c r="BF289" s="30">
        <v>0</v>
      </c>
      <c r="BG289" s="27">
        <v>0</v>
      </c>
      <c r="BH289" s="27">
        <v>0</v>
      </c>
      <c r="BI289" s="51">
        <v>0</v>
      </c>
      <c r="BK289" s="30">
        <v>0</v>
      </c>
      <c r="BL289" s="27">
        <v>0</v>
      </c>
      <c r="BM289" s="27">
        <v>0</v>
      </c>
      <c r="BN289" s="51">
        <v>0</v>
      </c>
      <c r="BP289" s="30">
        <v>0</v>
      </c>
      <c r="BQ289" s="20">
        <v>607906793.77693379</v>
      </c>
      <c r="BR289" s="51">
        <v>0</v>
      </c>
      <c r="BT289" s="30">
        <v>0</v>
      </c>
      <c r="BU289" s="51">
        <v>0</v>
      </c>
      <c r="BW289" s="221">
        <v>0</v>
      </c>
      <c r="BX289" s="222">
        <v>0</v>
      </c>
    </row>
    <row r="290" spans="6:76" x14ac:dyDescent="0.2">
      <c r="F290" s="151">
        <v>286</v>
      </c>
      <c r="G290" s="30">
        <v>0</v>
      </c>
      <c r="H290" s="28">
        <v>0</v>
      </c>
      <c r="I290" s="28">
        <v>0</v>
      </c>
      <c r="J290" s="28">
        <v>0</v>
      </c>
      <c r="K290" s="28">
        <v>0</v>
      </c>
      <c r="L290" s="28">
        <v>0</v>
      </c>
      <c r="M290" s="27">
        <v>0</v>
      </c>
      <c r="N290" s="27">
        <v>0</v>
      </c>
      <c r="O290" s="51">
        <v>0</v>
      </c>
      <c r="P290" s="5"/>
      <c r="Q290" s="30">
        <v>0</v>
      </c>
      <c r="R290" s="27">
        <v>0</v>
      </c>
      <c r="S290" s="27">
        <v>0</v>
      </c>
      <c r="T290" s="51">
        <v>0</v>
      </c>
      <c r="U290" s="5"/>
      <c r="V290" s="30">
        <v>0</v>
      </c>
      <c r="W290" s="51">
        <v>0</v>
      </c>
      <c r="Y290" s="30">
        <v>0</v>
      </c>
      <c r="Z290" s="27">
        <v>0</v>
      </c>
      <c r="AA290" s="27">
        <v>0</v>
      </c>
      <c r="AB290" s="51">
        <v>0</v>
      </c>
      <c r="AD290" s="30">
        <v>14682009175.660398</v>
      </c>
      <c r="AE290" s="27">
        <v>0</v>
      </c>
      <c r="AF290" s="27">
        <v>14682009175.660398</v>
      </c>
      <c r="AG290" s="51">
        <v>0</v>
      </c>
      <c r="AI290" s="30">
        <v>0</v>
      </c>
      <c r="AJ290" s="51">
        <v>0</v>
      </c>
      <c r="AL290" s="43">
        <v>0</v>
      </c>
      <c r="AM290" s="52">
        <v>0</v>
      </c>
      <c r="AN290" s="53">
        <v>0</v>
      </c>
      <c r="AO290" s="54">
        <v>0</v>
      </c>
      <c r="AQ290" s="30">
        <v>0</v>
      </c>
      <c r="AR290" s="27">
        <v>0</v>
      </c>
      <c r="AS290" s="27">
        <v>0</v>
      </c>
      <c r="AT290" s="51">
        <v>0</v>
      </c>
      <c r="AV290" s="30">
        <v>0</v>
      </c>
      <c r="AW290" s="27">
        <v>0</v>
      </c>
      <c r="AX290" s="27">
        <v>0</v>
      </c>
      <c r="AY290" s="51">
        <v>0</v>
      </c>
      <c r="BA290" s="30">
        <v>0</v>
      </c>
      <c r="BB290" s="27">
        <v>0</v>
      </c>
      <c r="BC290" s="27">
        <v>0</v>
      </c>
      <c r="BD290" s="51">
        <v>0</v>
      </c>
      <c r="BF290" s="30">
        <v>0</v>
      </c>
      <c r="BG290" s="27">
        <v>0</v>
      </c>
      <c r="BH290" s="27">
        <v>0</v>
      </c>
      <c r="BI290" s="51">
        <v>0</v>
      </c>
      <c r="BK290" s="30">
        <v>0</v>
      </c>
      <c r="BL290" s="27">
        <v>0</v>
      </c>
      <c r="BM290" s="27">
        <v>0</v>
      </c>
      <c r="BN290" s="51">
        <v>0</v>
      </c>
      <c r="BP290" s="30">
        <v>0</v>
      </c>
      <c r="BQ290" s="20">
        <v>607906793.77693379</v>
      </c>
      <c r="BR290" s="51">
        <v>0</v>
      </c>
      <c r="BT290" s="30">
        <v>0</v>
      </c>
      <c r="BU290" s="51">
        <v>0</v>
      </c>
      <c r="BW290" s="221">
        <v>0</v>
      </c>
      <c r="BX290" s="222">
        <v>0</v>
      </c>
    </row>
    <row r="291" spans="6:76" x14ac:dyDescent="0.2">
      <c r="F291" s="151">
        <v>287</v>
      </c>
      <c r="G291" s="30">
        <v>0</v>
      </c>
      <c r="H291" s="28">
        <v>0</v>
      </c>
      <c r="I291" s="28">
        <v>0</v>
      </c>
      <c r="J291" s="28">
        <v>0</v>
      </c>
      <c r="K291" s="28">
        <v>0</v>
      </c>
      <c r="L291" s="28">
        <v>0</v>
      </c>
      <c r="M291" s="27">
        <v>0</v>
      </c>
      <c r="N291" s="27">
        <v>0</v>
      </c>
      <c r="O291" s="51">
        <v>0</v>
      </c>
      <c r="P291" s="5"/>
      <c r="Q291" s="30">
        <v>0</v>
      </c>
      <c r="R291" s="27">
        <v>0</v>
      </c>
      <c r="S291" s="27">
        <v>0</v>
      </c>
      <c r="T291" s="51">
        <v>0</v>
      </c>
      <c r="U291" s="5"/>
      <c r="V291" s="30">
        <v>0</v>
      </c>
      <c r="W291" s="51">
        <v>0</v>
      </c>
      <c r="Y291" s="30">
        <v>0</v>
      </c>
      <c r="Z291" s="27">
        <v>0</v>
      </c>
      <c r="AA291" s="27">
        <v>0</v>
      </c>
      <c r="AB291" s="51">
        <v>0</v>
      </c>
      <c r="AD291" s="30">
        <v>15096251246.542265</v>
      </c>
      <c r="AE291" s="27">
        <v>0</v>
      </c>
      <c r="AF291" s="27">
        <v>15096251246.542265</v>
      </c>
      <c r="AG291" s="51">
        <v>0</v>
      </c>
      <c r="AI291" s="30">
        <v>0</v>
      </c>
      <c r="AJ291" s="51">
        <v>0</v>
      </c>
      <c r="AL291" s="43">
        <v>0</v>
      </c>
      <c r="AM291" s="52">
        <v>0</v>
      </c>
      <c r="AN291" s="53">
        <v>0</v>
      </c>
      <c r="AO291" s="54">
        <v>0</v>
      </c>
      <c r="AQ291" s="30">
        <v>0</v>
      </c>
      <c r="AR291" s="27">
        <v>0</v>
      </c>
      <c r="AS291" s="27">
        <v>0</v>
      </c>
      <c r="AT291" s="51">
        <v>0</v>
      </c>
      <c r="AV291" s="30">
        <v>0</v>
      </c>
      <c r="AW291" s="27">
        <v>0</v>
      </c>
      <c r="AX291" s="27">
        <v>0</v>
      </c>
      <c r="AY291" s="51">
        <v>0</v>
      </c>
      <c r="BA291" s="30">
        <v>0</v>
      </c>
      <c r="BB291" s="27">
        <v>0</v>
      </c>
      <c r="BC291" s="27">
        <v>0</v>
      </c>
      <c r="BD291" s="51">
        <v>0</v>
      </c>
      <c r="BF291" s="30">
        <v>0</v>
      </c>
      <c r="BG291" s="27">
        <v>0</v>
      </c>
      <c r="BH291" s="27">
        <v>0</v>
      </c>
      <c r="BI291" s="51">
        <v>0</v>
      </c>
      <c r="BK291" s="30">
        <v>0</v>
      </c>
      <c r="BL291" s="27">
        <v>0</v>
      </c>
      <c r="BM291" s="27">
        <v>0</v>
      </c>
      <c r="BN291" s="51">
        <v>0</v>
      </c>
      <c r="BP291" s="30">
        <v>0</v>
      </c>
      <c r="BQ291" s="20">
        <v>607906793.77693379</v>
      </c>
      <c r="BR291" s="51">
        <v>0</v>
      </c>
      <c r="BT291" s="30">
        <v>0</v>
      </c>
      <c r="BU291" s="51">
        <v>0</v>
      </c>
      <c r="BW291" s="221">
        <v>0</v>
      </c>
      <c r="BX291" s="222">
        <v>0</v>
      </c>
    </row>
    <row r="292" spans="6:76" x14ac:dyDescent="0.2">
      <c r="F292" s="151">
        <v>288</v>
      </c>
      <c r="G292" s="30">
        <v>0</v>
      </c>
      <c r="H292" s="28">
        <v>0</v>
      </c>
      <c r="I292" s="28">
        <v>0</v>
      </c>
      <c r="J292" s="28">
        <v>0</v>
      </c>
      <c r="K292" s="28">
        <v>0</v>
      </c>
      <c r="L292" s="28">
        <v>0</v>
      </c>
      <c r="M292" s="27">
        <v>0</v>
      </c>
      <c r="N292" s="27">
        <v>0</v>
      </c>
      <c r="O292" s="51">
        <v>0</v>
      </c>
      <c r="P292" s="5"/>
      <c r="Q292" s="30">
        <v>0</v>
      </c>
      <c r="R292" s="27">
        <v>0</v>
      </c>
      <c r="S292" s="27">
        <v>0</v>
      </c>
      <c r="T292" s="51">
        <v>0</v>
      </c>
      <c r="U292" s="5"/>
      <c r="V292" s="30">
        <v>0</v>
      </c>
      <c r="W292" s="51">
        <v>0</v>
      </c>
      <c r="Y292" s="30">
        <v>0</v>
      </c>
      <c r="Z292" s="27">
        <v>0</v>
      </c>
      <c r="AA292" s="27">
        <v>0</v>
      </c>
      <c r="AB292" s="51">
        <v>0</v>
      </c>
      <c r="AD292" s="30">
        <v>15522180852.231899</v>
      </c>
      <c r="AE292" s="27">
        <v>0</v>
      </c>
      <c r="AF292" s="27">
        <v>15522180852.231899</v>
      </c>
      <c r="AG292" s="51">
        <v>0</v>
      </c>
      <c r="AI292" s="30">
        <v>0</v>
      </c>
      <c r="AJ292" s="51">
        <v>0</v>
      </c>
      <c r="AL292" s="43">
        <v>0</v>
      </c>
      <c r="AM292" s="52">
        <v>0</v>
      </c>
      <c r="AN292" s="53">
        <v>0</v>
      </c>
      <c r="AO292" s="54">
        <v>0</v>
      </c>
      <c r="AQ292" s="30">
        <v>0</v>
      </c>
      <c r="AR292" s="27">
        <v>0</v>
      </c>
      <c r="AS292" s="27">
        <v>0</v>
      </c>
      <c r="AT292" s="51">
        <v>0</v>
      </c>
      <c r="AV292" s="30">
        <v>0</v>
      </c>
      <c r="AW292" s="27">
        <v>0</v>
      </c>
      <c r="AX292" s="27">
        <v>0</v>
      </c>
      <c r="AY292" s="51">
        <v>0</v>
      </c>
      <c r="BA292" s="30">
        <v>0</v>
      </c>
      <c r="BB292" s="27">
        <v>0</v>
      </c>
      <c r="BC292" s="27">
        <v>0</v>
      </c>
      <c r="BD292" s="51">
        <v>0</v>
      </c>
      <c r="BF292" s="30">
        <v>0</v>
      </c>
      <c r="BG292" s="27">
        <v>0</v>
      </c>
      <c r="BH292" s="27">
        <v>0</v>
      </c>
      <c r="BI292" s="51">
        <v>0</v>
      </c>
      <c r="BK292" s="30">
        <v>0</v>
      </c>
      <c r="BL292" s="27">
        <v>0</v>
      </c>
      <c r="BM292" s="27">
        <v>0</v>
      </c>
      <c r="BN292" s="51">
        <v>0</v>
      </c>
      <c r="BP292" s="30">
        <v>0</v>
      </c>
      <c r="BQ292" s="20">
        <v>607906793.77693379</v>
      </c>
      <c r="BR292" s="51">
        <v>0</v>
      </c>
      <c r="BT292" s="30">
        <v>0</v>
      </c>
      <c r="BU292" s="51">
        <v>0</v>
      </c>
      <c r="BW292" s="221">
        <v>0</v>
      </c>
      <c r="BX292" s="222">
        <v>0</v>
      </c>
    </row>
    <row r="293" spans="6:76" x14ac:dyDescent="0.2">
      <c r="F293" s="151">
        <v>289</v>
      </c>
      <c r="G293" s="30">
        <v>0</v>
      </c>
      <c r="H293" s="28">
        <v>0</v>
      </c>
      <c r="I293" s="28">
        <v>0</v>
      </c>
      <c r="J293" s="28">
        <v>0</v>
      </c>
      <c r="K293" s="28">
        <v>0</v>
      </c>
      <c r="L293" s="28">
        <v>0</v>
      </c>
      <c r="M293" s="27">
        <v>0</v>
      </c>
      <c r="N293" s="27">
        <v>0</v>
      </c>
      <c r="O293" s="51">
        <v>0</v>
      </c>
      <c r="P293" s="5"/>
      <c r="Q293" s="30">
        <v>0</v>
      </c>
      <c r="R293" s="27">
        <v>0</v>
      </c>
      <c r="S293" s="27">
        <v>0</v>
      </c>
      <c r="T293" s="51">
        <v>0</v>
      </c>
      <c r="U293" s="5"/>
      <c r="V293" s="30">
        <v>0</v>
      </c>
      <c r="W293" s="51">
        <v>0</v>
      </c>
      <c r="Y293" s="30">
        <v>0</v>
      </c>
      <c r="Z293" s="27">
        <v>0</v>
      </c>
      <c r="AA293" s="27">
        <v>0</v>
      </c>
      <c r="AB293" s="51">
        <v>0</v>
      </c>
      <c r="AD293" s="30">
        <v>15960127747.912285</v>
      </c>
      <c r="AE293" s="27">
        <v>0</v>
      </c>
      <c r="AF293" s="27">
        <v>15960127747.912285</v>
      </c>
      <c r="AG293" s="51">
        <v>0</v>
      </c>
      <c r="AI293" s="30">
        <v>0</v>
      </c>
      <c r="AJ293" s="51">
        <v>0</v>
      </c>
      <c r="AL293" s="43">
        <v>0</v>
      </c>
      <c r="AM293" s="52">
        <v>0</v>
      </c>
      <c r="AN293" s="53">
        <v>0</v>
      </c>
      <c r="AO293" s="54">
        <v>0</v>
      </c>
      <c r="AQ293" s="30">
        <v>0</v>
      </c>
      <c r="AR293" s="27">
        <v>0</v>
      </c>
      <c r="AS293" s="27">
        <v>0</v>
      </c>
      <c r="AT293" s="51">
        <v>0</v>
      </c>
      <c r="AV293" s="30">
        <v>0</v>
      </c>
      <c r="AW293" s="27">
        <v>0</v>
      </c>
      <c r="AX293" s="27">
        <v>0</v>
      </c>
      <c r="AY293" s="51">
        <v>0</v>
      </c>
      <c r="BA293" s="30">
        <v>0</v>
      </c>
      <c r="BB293" s="27">
        <v>0</v>
      </c>
      <c r="BC293" s="27">
        <v>0</v>
      </c>
      <c r="BD293" s="51">
        <v>0</v>
      </c>
      <c r="BF293" s="30">
        <v>0</v>
      </c>
      <c r="BG293" s="27">
        <v>0</v>
      </c>
      <c r="BH293" s="27">
        <v>0</v>
      </c>
      <c r="BI293" s="51">
        <v>0</v>
      </c>
      <c r="BK293" s="30">
        <v>0</v>
      </c>
      <c r="BL293" s="27">
        <v>0</v>
      </c>
      <c r="BM293" s="27">
        <v>0</v>
      </c>
      <c r="BN293" s="51">
        <v>0</v>
      </c>
      <c r="BP293" s="30">
        <v>0</v>
      </c>
      <c r="BQ293" s="20">
        <v>607906793.77693379</v>
      </c>
      <c r="BR293" s="51">
        <v>0</v>
      </c>
      <c r="BT293" s="30">
        <v>0</v>
      </c>
      <c r="BU293" s="51">
        <v>0</v>
      </c>
      <c r="BW293" s="221">
        <v>0</v>
      </c>
      <c r="BX293" s="222">
        <v>0</v>
      </c>
    </row>
    <row r="294" spans="6:76" x14ac:dyDescent="0.2">
      <c r="F294" s="151">
        <v>290</v>
      </c>
      <c r="G294" s="30">
        <v>0</v>
      </c>
      <c r="H294" s="28">
        <v>0</v>
      </c>
      <c r="I294" s="28">
        <v>0</v>
      </c>
      <c r="J294" s="28">
        <v>0</v>
      </c>
      <c r="K294" s="28">
        <v>0</v>
      </c>
      <c r="L294" s="28">
        <v>0</v>
      </c>
      <c r="M294" s="27">
        <v>0</v>
      </c>
      <c r="N294" s="27">
        <v>0</v>
      </c>
      <c r="O294" s="51">
        <v>0</v>
      </c>
      <c r="P294" s="5"/>
      <c r="Q294" s="30">
        <v>0</v>
      </c>
      <c r="R294" s="27">
        <v>0</v>
      </c>
      <c r="S294" s="27">
        <v>0</v>
      </c>
      <c r="T294" s="51">
        <v>0</v>
      </c>
      <c r="U294" s="5"/>
      <c r="V294" s="30">
        <v>0</v>
      </c>
      <c r="W294" s="51">
        <v>0</v>
      </c>
      <c r="Y294" s="30">
        <v>0</v>
      </c>
      <c r="Z294" s="27">
        <v>0</v>
      </c>
      <c r="AA294" s="27">
        <v>0</v>
      </c>
      <c r="AB294" s="51">
        <v>0</v>
      </c>
      <c r="AD294" s="30">
        <v>16410430992.56592</v>
      </c>
      <c r="AE294" s="27">
        <v>0</v>
      </c>
      <c r="AF294" s="27">
        <v>16410430992.56592</v>
      </c>
      <c r="AG294" s="51">
        <v>0</v>
      </c>
      <c r="AI294" s="30">
        <v>0</v>
      </c>
      <c r="AJ294" s="51">
        <v>0</v>
      </c>
      <c r="AL294" s="43">
        <v>0</v>
      </c>
      <c r="AM294" s="52">
        <v>0</v>
      </c>
      <c r="AN294" s="53">
        <v>0</v>
      </c>
      <c r="AO294" s="54">
        <v>0</v>
      </c>
      <c r="AQ294" s="30">
        <v>0</v>
      </c>
      <c r="AR294" s="27">
        <v>0</v>
      </c>
      <c r="AS294" s="27">
        <v>0</v>
      </c>
      <c r="AT294" s="51">
        <v>0</v>
      </c>
      <c r="AV294" s="30">
        <v>0</v>
      </c>
      <c r="AW294" s="27">
        <v>0</v>
      </c>
      <c r="AX294" s="27">
        <v>0</v>
      </c>
      <c r="AY294" s="51">
        <v>0</v>
      </c>
      <c r="BA294" s="30">
        <v>0</v>
      </c>
      <c r="BB294" s="27">
        <v>0</v>
      </c>
      <c r="BC294" s="27">
        <v>0</v>
      </c>
      <c r="BD294" s="51">
        <v>0</v>
      </c>
      <c r="BF294" s="30">
        <v>0</v>
      </c>
      <c r="BG294" s="27">
        <v>0</v>
      </c>
      <c r="BH294" s="27">
        <v>0</v>
      </c>
      <c r="BI294" s="51">
        <v>0</v>
      </c>
      <c r="BK294" s="30">
        <v>0</v>
      </c>
      <c r="BL294" s="27">
        <v>0</v>
      </c>
      <c r="BM294" s="27">
        <v>0</v>
      </c>
      <c r="BN294" s="51">
        <v>0</v>
      </c>
      <c r="BP294" s="30">
        <v>0</v>
      </c>
      <c r="BQ294" s="20">
        <v>607906793.77693379</v>
      </c>
      <c r="BR294" s="51">
        <v>0</v>
      </c>
      <c r="BT294" s="30">
        <v>0</v>
      </c>
      <c r="BU294" s="51">
        <v>0</v>
      </c>
      <c r="BW294" s="221">
        <v>0</v>
      </c>
      <c r="BX294" s="222">
        <v>0</v>
      </c>
    </row>
    <row r="295" spans="6:76" x14ac:dyDescent="0.2">
      <c r="F295" s="151">
        <v>291</v>
      </c>
      <c r="G295" s="30">
        <v>0</v>
      </c>
      <c r="H295" s="28">
        <v>0</v>
      </c>
      <c r="I295" s="28">
        <v>0</v>
      </c>
      <c r="J295" s="28">
        <v>0</v>
      </c>
      <c r="K295" s="28">
        <v>0</v>
      </c>
      <c r="L295" s="28">
        <v>0</v>
      </c>
      <c r="M295" s="27">
        <v>0</v>
      </c>
      <c r="N295" s="27">
        <v>0</v>
      </c>
      <c r="O295" s="51">
        <v>0</v>
      </c>
      <c r="P295" s="5"/>
      <c r="Q295" s="30">
        <v>0</v>
      </c>
      <c r="R295" s="27">
        <v>0</v>
      </c>
      <c r="S295" s="27">
        <v>0</v>
      </c>
      <c r="T295" s="51">
        <v>0</v>
      </c>
      <c r="U295" s="5"/>
      <c r="V295" s="30">
        <v>0</v>
      </c>
      <c r="W295" s="51">
        <v>0</v>
      </c>
      <c r="Y295" s="30">
        <v>0</v>
      </c>
      <c r="Z295" s="27">
        <v>0</v>
      </c>
      <c r="AA295" s="27">
        <v>0</v>
      </c>
      <c r="AB295" s="51">
        <v>0</v>
      </c>
      <c r="AD295" s="30">
        <v>16873439211.474672</v>
      </c>
      <c r="AE295" s="27">
        <v>0</v>
      </c>
      <c r="AF295" s="27">
        <v>16873439211.474672</v>
      </c>
      <c r="AG295" s="51">
        <v>0</v>
      </c>
      <c r="AI295" s="30">
        <v>0</v>
      </c>
      <c r="AJ295" s="51">
        <v>0</v>
      </c>
      <c r="AL295" s="43">
        <v>0</v>
      </c>
      <c r="AM295" s="52">
        <v>0</v>
      </c>
      <c r="AN295" s="53">
        <v>0</v>
      </c>
      <c r="AO295" s="54">
        <v>0</v>
      </c>
      <c r="AQ295" s="30">
        <v>0</v>
      </c>
      <c r="AR295" s="27">
        <v>0</v>
      </c>
      <c r="AS295" s="27">
        <v>0</v>
      </c>
      <c r="AT295" s="51">
        <v>0</v>
      </c>
      <c r="AV295" s="30">
        <v>0</v>
      </c>
      <c r="AW295" s="27">
        <v>0</v>
      </c>
      <c r="AX295" s="27">
        <v>0</v>
      </c>
      <c r="AY295" s="51">
        <v>0</v>
      </c>
      <c r="BA295" s="30">
        <v>0</v>
      </c>
      <c r="BB295" s="27">
        <v>0</v>
      </c>
      <c r="BC295" s="27">
        <v>0</v>
      </c>
      <c r="BD295" s="51">
        <v>0</v>
      </c>
      <c r="BF295" s="30">
        <v>0</v>
      </c>
      <c r="BG295" s="27">
        <v>0</v>
      </c>
      <c r="BH295" s="27">
        <v>0</v>
      </c>
      <c r="BI295" s="51">
        <v>0</v>
      </c>
      <c r="BK295" s="30">
        <v>0</v>
      </c>
      <c r="BL295" s="27">
        <v>0</v>
      </c>
      <c r="BM295" s="27">
        <v>0</v>
      </c>
      <c r="BN295" s="51">
        <v>0</v>
      </c>
      <c r="BP295" s="30">
        <v>0</v>
      </c>
      <c r="BQ295" s="20">
        <v>607906793.77693379</v>
      </c>
      <c r="BR295" s="51">
        <v>0</v>
      </c>
      <c r="BT295" s="30">
        <v>0</v>
      </c>
      <c r="BU295" s="51">
        <v>0</v>
      </c>
      <c r="BW295" s="221">
        <v>0</v>
      </c>
      <c r="BX295" s="222">
        <v>0</v>
      </c>
    </row>
    <row r="296" spans="6:76" x14ac:dyDescent="0.2">
      <c r="F296" s="151">
        <v>292</v>
      </c>
      <c r="G296" s="30">
        <v>0</v>
      </c>
      <c r="H296" s="28">
        <v>0</v>
      </c>
      <c r="I296" s="28">
        <v>0</v>
      </c>
      <c r="J296" s="28">
        <v>0</v>
      </c>
      <c r="K296" s="28">
        <v>0</v>
      </c>
      <c r="L296" s="28">
        <v>0</v>
      </c>
      <c r="M296" s="27">
        <v>0</v>
      </c>
      <c r="N296" s="27">
        <v>0</v>
      </c>
      <c r="O296" s="51">
        <v>0</v>
      </c>
      <c r="P296" s="5"/>
      <c r="Q296" s="30">
        <v>0</v>
      </c>
      <c r="R296" s="27">
        <v>0</v>
      </c>
      <c r="S296" s="27">
        <v>0</v>
      </c>
      <c r="T296" s="51">
        <v>0</v>
      </c>
      <c r="U296" s="5"/>
      <c r="V296" s="30">
        <v>0</v>
      </c>
      <c r="W296" s="51">
        <v>0</v>
      </c>
      <c r="Y296" s="30">
        <v>0</v>
      </c>
      <c r="Z296" s="27">
        <v>0</v>
      </c>
      <c r="AA296" s="27">
        <v>0</v>
      </c>
      <c r="AB296" s="51">
        <v>0</v>
      </c>
      <c r="AD296" s="30">
        <v>17349510866.125858</v>
      </c>
      <c r="AE296" s="27">
        <v>0</v>
      </c>
      <c r="AF296" s="27">
        <v>17349510866.125858</v>
      </c>
      <c r="AG296" s="51">
        <v>0</v>
      </c>
      <c r="AI296" s="30">
        <v>0</v>
      </c>
      <c r="AJ296" s="51">
        <v>0</v>
      </c>
      <c r="AL296" s="43">
        <v>0</v>
      </c>
      <c r="AM296" s="52">
        <v>0</v>
      </c>
      <c r="AN296" s="53">
        <v>0</v>
      </c>
      <c r="AO296" s="54">
        <v>0</v>
      </c>
      <c r="AQ296" s="30">
        <v>0</v>
      </c>
      <c r="AR296" s="27">
        <v>0</v>
      </c>
      <c r="AS296" s="27">
        <v>0</v>
      </c>
      <c r="AT296" s="51">
        <v>0</v>
      </c>
      <c r="AV296" s="30">
        <v>0</v>
      </c>
      <c r="AW296" s="27">
        <v>0</v>
      </c>
      <c r="AX296" s="27">
        <v>0</v>
      </c>
      <c r="AY296" s="51">
        <v>0</v>
      </c>
      <c r="BA296" s="30">
        <v>0</v>
      </c>
      <c r="BB296" s="27">
        <v>0</v>
      </c>
      <c r="BC296" s="27">
        <v>0</v>
      </c>
      <c r="BD296" s="51">
        <v>0</v>
      </c>
      <c r="BF296" s="30">
        <v>0</v>
      </c>
      <c r="BG296" s="27">
        <v>0</v>
      </c>
      <c r="BH296" s="27">
        <v>0</v>
      </c>
      <c r="BI296" s="51">
        <v>0</v>
      </c>
      <c r="BK296" s="30">
        <v>0</v>
      </c>
      <c r="BL296" s="27">
        <v>0</v>
      </c>
      <c r="BM296" s="27">
        <v>0</v>
      </c>
      <c r="BN296" s="51">
        <v>0</v>
      </c>
      <c r="BP296" s="30">
        <v>0</v>
      </c>
      <c r="BQ296" s="20">
        <v>607906793.77693379</v>
      </c>
      <c r="BR296" s="51">
        <v>0</v>
      </c>
      <c r="BT296" s="30">
        <v>0</v>
      </c>
      <c r="BU296" s="51">
        <v>0</v>
      </c>
      <c r="BW296" s="221">
        <v>0</v>
      </c>
      <c r="BX296" s="222">
        <v>0</v>
      </c>
    </row>
    <row r="297" spans="6:76" x14ac:dyDescent="0.2">
      <c r="F297" s="151">
        <v>293</v>
      </c>
      <c r="G297" s="30">
        <v>0</v>
      </c>
      <c r="H297" s="28">
        <v>0</v>
      </c>
      <c r="I297" s="28">
        <v>0</v>
      </c>
      <c r="J297" s="28">
        <v>0</v>
      </c>
      <c r="K297" s="28">
        <v>0</v>
      </c>
      <c r="L297" s="28">
        <v>0</v>
      </c>
      <c r="M297" s="27">
        <v>0</v>
      </c>
      <c r="N297" s="27">
        <v>0</v>
      </c>
      <c r="O297" s="51">
        <v>0</v>
      </c>
      <c r="P297" s="5"/>
      <c r="Q297" s="30">
        <v>0</v>
      </c>
      <c r="R297" s="27">
        <v>0</v>
      </c>
      <c r="S297" s="27">
        <v>0</v>
      </c>
      <c r="T297" s="51">
        <v>0</v>
      </c>
      <c r="U297" s="5"/>
      <c r="V297" s="30">
        <v>0</v>
      </c>
      <c r="W297" s="51">
        <v>0</v>
      </c>
      <c r="Y297" s="30">
        <v>0</v>
      </c>
      <c r="Z297" s="27">
        <v>0</v>
      </c>
      <c r="AA297" s="27">
        <v>0</v>
      </c>
      <c r="AB297" s="51">
        <v>0</v>
      </c>
      <c r="AD297" s="30">
        <v>17839014531.733543</v>
      </c>
      <c r="AE297" s="27">
        <v>0</v>
      </c>
      <c r="AF297" s="27">
        <v>17839014531.733543</v>
      </c>
      <c r="AG297" s="51">
        <v>0</v>
      </c>
      <c r="AI297" s="30">
        <v>0</v>
      </c>
      <c r="AJ297" s="51">
        <v>0</v>
      </c>
      <c r="AL297" s="43">
        <v>0</v>
      </c>
      <c r="AM297" s="52">
        <v>0</v>
      </c>
      <c r="AN297" s="53">
        <v>0</v>
      </c>
      <c r="AO297" s="54">
        <v>0</v>
      </c>
      <c r="AQ297" s="30">
        <v>0</v>
      </c>
      <c r="AR297" s="27">
        <v>0</v>
      </c>
      <c r="AS297" s="27">
        <v>0</v>
      </c>
      <c r="AT297" s="51">
        <v>0</v>
      </c>
      <c r="AV297" s="30">
        <v>0</v>
      </c>
      <c r="AW297" s="27">
        <v>0</v>
      </c>
      <c r="AX297" s="27">
        <v>0</v>
      </c>
      <c r="AY297" s="51">
        <v>0</v>
      </c>
      <c r="BA297" s="30">
        <v>0</v>
      </c>
      <c r="BB297" s="27">
        <v>0</v>
      </c>
      <c r="BC297" s="27">
        <v>0</v>
      </c>
      <c r="BD297" s="51">
        <v>0</v>
      </c>
      <c r="BF297" s="30">
        <v>0</v>
      </c>
      <c r="BG297" s="27">
        <v>0</v>
      </c>
      <c r="BH297" s="27">
        <v>0</v>
      </c>
      <c r="BI297" s="51">
        <v>0</v>
      </c>
      <c r="BK297" s="30">
        <v>0</v>
      </c>
      <c r="BL297" s="27">
        <v>0</v>
      </c>
      <c r="BM297" s="27">
        <v>0</v>
      </c>
      <c r="BN297" s="51">
        <v>0</v>
      </c>
      <c r="BP297" s="30">
        <v>0</v>
      </c>
      <c r="BQ297" s="20">
        <v>607906793.77693379</v>
      </c>
      <c r="BR297" s="51">
        <v>0</v>
      </c>
      <c r="BT297" s="30">
        <v>0</v>
      </c>
      <c r="BU297" s="51">
        <v>0</v>
      </c>
      <c r="BW297" s="221">
        <v>0</v>
      </c>
      <c r="BX297" s="222">
        <v>0</v>
      </c>
    </row>
    <row r="298" spans="6:76" x14ac:dyDescent="0.2">
      <c r="F298" s="151">
        <v>294</v>
      </c>
      <c r="G298" s="30">
        <v>0</v>
      </c>
      <c r="H298" s="28">
        <v>0</v>
      </c>
      <c r="I298" s="28">
        <v>0</v>
      </c>
      <c r="J298" s="28">
        <v>0</v>
      </c>
      <c r="K298" s="28">
        <v>0</v>
      </c>
      <c r="L298" s="28">
        <v>0</v>
      </c>
      <c r="M298" s="27">
        <v>0</v>
      </c>
      <c r="N298" s="27">
        <v>0</v>
      </c>
      <c r="O298" s="51">
        <v>0</v>
      </c>
      <c r="P298" s="5"/>
      <c r="Q298" s="30">
        <v>0</v>
      </c>
      <c r="R298" s="27">
        <v>0</v>
      </c>
      <c r="S298" s="27">
        <v>0</v>
      </c>
      <c r="T298" s="51">
        <v>0</v>
      </c>
      <c r="U298" s="5"/>
      <c r="V298" s="30">
        <v>0</v>
      </c>
      <c r="W298" s="51">
        <v>0</v>
      </c>
      <c r="Y298" s="30">
        <v>0</v>
      </c>
      <c r="Z298" s="27">
        <v>0</v>
      </c>
      <c r="AA298" s="27">
        <v>0</v>
      </c>
      <c r="AB298" s="51">
        <v>0</v>
      </c>
      <c r="AD298" s="30">
        <v>18342329182.589878</v>
      </c>
      <c r="AE298" s="27">
        <v>0</v>
      </c>
      <c r="AF298" s="27">
        <v>18342329182.589878</v>
      </c>
      <c r="AG298" s="51">
        <v>0</v>
      </c>
      <c r="AI298" s="30">
        <v>0</v>
      </c>
      <c r="AJ298" s="51">
        <v>0</v>
      </c>
      <c r="AL298" s="43">
        <v>0</v>
      </c>
      <c r="AM298" s="52">
        <v>0</v>
      </c>
      <c r="AN298" s="53">
        <v>0</v>
      </c>
      <c r="AO298" s="54">
        <v>0</v>
      </c>
      <c r="AQ298" s="30">
        <v>0</v>
      </c>
      <c r="AR298" s="27">
        <v>0</v>
      </c>
      <c r="AS298" s="27">
        <v>0</v>
      </c>
      <c r="AT298" s="51">
        <v>0</v>
      </c>
      <c r="AV298" s="30">
        <v>0</v>
      </c>
      <c r="AW298" s="27">
        <v>0</v>
      </c>
      <c r="AX298" s="27">
        <v>0</v>
      </c>
      <c r="AY298" s="51">
        <v>0</v>
      </c>
      <c r="BA298" s="30">
        <v>0</v>
      </c>
      <c r="BB298" s="27">
        <v>0</v>
      </c>
      <c r="BC298" s="27">
        <v>0</v>
      </c>
      <c r="BD298" s="51">
        <v>0</v>
      </c>
      <c r="BF298" s="30">
        <v>0</v>
      </c>
      <c r="BG298" s="27">
        <v>0</v>
      </c>
      <c r="BH298" s="27">
        <v>0</v>
      </c>
      <c r="BI298" s="51">
        <v>0</v>
      </c>
      <c r="BK298" s="30">
        <v>0</v>
      </c>
      <c r="BL298" s="27">
        <v>0</v>
      </c>
      <c r="BM298" s="27">
        <v>0</v>
      </c>
      <c r="BN298" s="51">
        <v>0</v>
      </c>
      <c r="BP298" s="30">
        <v>0</v>
      </c>
      <c r="BQ298" s="20">
        <v>607906793.77693379</v>
      </c>
      <c r="BR298" s="51">
        <v>0</v>
      </c>
      <c r="BT298" s="30">
        <v>0</v>
      </c>
      <c r="BU298" s="51">
        <v>0</v>
      </c>
      <c r="BW298" s="221">
        <v>0</v>
      </c>
      <c r="BX298" s="222">
        <v>0</v>
      </c>
    </row>
    <row r="299" spans="6:76" x14ac:dyDescent="0.2">
      <c r="F299" s="151">
        <v>295</v>
      </c>
      <c r="G299" s="30">
        <v>0</v>
      </c>
      <c r="H299" s="28">
        <v>0</v>
      </c>
      <c r="I299" s="28">
        <v>0</v>
      </c>
      <c r="J299" s="28">
        <v>0</v>
      </c>
      <c r="K299" s="28">
        <v>0</v>
      </c>
      <c r="L299" s="28">
        <v>0</v>
      </c>
      <c r="M299" s="27">
        <v>0</v>
      </c>
      <c r="N299" s="27">
        <v>0</v>
      </c>
      <c r="O299" s="51">
        <v>0</v>
      </c>
      <c r="P299" s="5"/>
      <c r="Q299" s="30">
        <v>0</v>
      </c>
      <c r="R299" s="27">
        <v>0</v>
      </c>
      <c r="S299" s="27">
        <v>0</v>
      </c>
      <c r="T299" s="51">
        <v>0</v>
      </c>
      <c r="U299" s="5"/>
      <c r="V299" s="30">
        <v>0</v>
      </c>
      <c r="W299" s="51">
        <v>0</v>
      </c>
      <c r="Y299" s="30">
        <v>0</v>
      </c>
      <c r="Z299" s="27">
        <v>0</v>
      </c>
      <c r="AA299" s="27">
        <v>0</v>
      </c>
      <c r="AB299" s="51">
        <v>0</v>
      </c>
      <c r="AD299" s="30">
        <v>18859844485.467434</v>
      </c>
      <c r="AE299" s="27">
        <v>0</v>
      </c>
      <c r="AF299" s="27">
        <v>18859844485.467434</v>
      </c>
      <c r="AG299" s="51">
        <v>0</v>
      </c>
      <c r="AI299" s="30">
        <v>0</v>
      </c>
      <c r="AJ299" s="51">
        <v>0</v>
      </c>
      <c r="AL299" s="43">
        <v>0</v>
      </c>
      <c r="AM299" s="52">
        <v>0</v>
      </c>
      <c r="AN299" s="53">
        <v>0</v>
      </c>
      <c r="AO299" s="54">
        <v>0</v>
      </c>
      <c r="AQ299" s="30">
        <v>0</v>
      </c>
      <c r="AR299" s="27">
        <v>0</v>
      </c>
      <c r="AS299" s="27">
        <v>0</v>
      </c>
      <c r="AT299" s="51">
        <v>0</v>
      </c>
      <c r="AV299" s="30">
        <v>0</v>
      </c>
      <c r="AW299" s="27">
        <v>0</v>
      </c>
      <c r="AX299" s="27">
        <v>0</v>
      </c>
      <c r="AY299" s="51">
        <v>0</v>
      </c>
      <c r="BA299" s="30">
        <v>0</v>
      </c>
      <c r="BB299" s="27">
        <v>0</v>
      </c>
      <c r="BC299" s="27">
        <v>0</v>
      </c>
      <c r="BD299" s="51">
        <v>0</v>
      </c>
      <c r="BF299" s="30">
        <v>0</v>
      </c>
      <c r="BG299" s="27">
        <v>0</v>
      </c>
      <c r="BH299" s="27">
        <v>0</v>
      </c>
      <c r="BI299" s="51">
        <v>0</v>
      </c>
      <c r="BK299" s="30">
        <v>0</v>
      </c>
      <c r="BL299" s="27">
        <v>0</v>
      </c>
      <c r="BM299" s="27">
        <v>0</v>
      </c>
      <c r="BN299" s="51">
        <v>0</v>
      </c>
      <c r="BP299" s="30">
        <v>0</v>
      </c>
      <c r="BQ299" s="20">
        <v>607906793.77693379</v>
      </c>
      <c r="BR299" s="51">
        <v>0</v>
      </c>
      <c r="BT299" s="30">
        <v>0</v>
      </c>
      <c r="BU299" s="51">
        <v>0</v>
      </c>
      <c r="BW299" s="221">
        <v>0</v>
      </c>
      <c r="BX299" s="222">
        <v>0</v>
      </c>
    </row>
    <row r="300" spans="6:76" x14ac:dyDescent="0.2">
      <c r="F300" s="151">
        <v>296</v>
      </c>
      <c r="G300" s="30">
        <v>0</v>
      </c>
      <c r="H300" s="28">
        <v>0</v>
      </c>
      <c r="I300" s="28">
        <v>0</v>
      </c>
      <c r="J300" s="28">
        <v>0</v>
      </c>
      <c r="K300" s="28">
        <v>0</v>
      </c>
      <c r="L300" s="28">
        <v>0</v>
      </c>
      <c r="M300" s="27">
        <v>0</v>
      </c>
      <c r="N300" s="27">
        <v>0</v>
      </c>
      <c r="O300" s="51">
        <v>0</v>
      </c>
      <c r="P300" s="5"/>
      <c r="Q300" s="30">
        <v>0</v>
      </c>
      <c r="R300" s="27">
        <v>0</v>
      </c>
      <c r="S300" s="27">
        <v>0</v>
      </c>
      <c r="T300" s="51">
        <v>0</v>
      </c>
      <c r="U300" s="5"/>
      <c r="V300" s="30">
        <v>0</v>
      </c>
      <c r="W300" s="51">
        <v>0</v>
      </c>
      <c r="Y300" s="30">
        <v>0</v>
      </c>
      <c r="Z300" s="27">
        <v>0</v>
      </c>
      <c r="AA300" s="27">
        <v>0</v>
      </c>
      <c r="AB300" s="51">
        <v>0</v>
      </c>
      <c r="AD300" s="30">
        <v>19391961101.299652</v>
      </c>
      <c r="AE300" s="27">
        <v>0</v>
      </c>
      <c r="AF300" s="27">
        <v>19391961101.299652</v>
      </c>
      <c r="AG300" s="51">
        <v>0</v>
      </c>
      <c r="AI300" s="30">
        <v>0</v>
      </c>
      <c r="AJ300" s="51">
        <v>0</v>
      </c>
      <c r="AL300" s="43">
        <v>0</v>
      </c>
      <c r="AM300" s="52">
        <v>0</v>
      </c>
      <c r="AN300" s="53">
        <v>0</v>
      </c>
      <c r="AO300" s="54">
        <v>0</v>
      </c>
      <c r="AQ300" s="30">
        <v>0</v>
      </c>
      <c r="AR300" s="27">
        <v>0</v>
      </c>
      <c r="AS300" s="27">
        <v>0</v>
      </c>
      <c r="AT300" s="51">
        <v>0</v>
      </c>
      <c r="AV300" s="30">
        <v>0</v>
      </c>
      <c r="AW300" s="27">
        <v>0</v>
      </c>
      <c r="AX300" s="27">
        <v>0</v>
      </c>
      <c r="AY300" s="51">
        <v>0</v>
      </c>
      <c r="BA300" s="30">
        <v>0</v>
      </c>
      <c r="BB300" s="27">
        <v>0</v>
      </c>
      <c r="BC300" s="27">
        <v>0</v>
      </c>
      <c r="BD300" s="51">
        <v>0</v>
      </c>
      <c r="BF300" s="30">
        <v>0</v>
      </c>
      <c r="BG300" s="27">
        <v>0</v>
      </c>
      <c r="BH300" s="27">
        <v>0</v>
      </c>
      <c r="BI300" s="51">
        <v>0</v>
      </c>
      <c r="BK300" s="30">
        <v>0</v>
      </c>
      <c r="BL300" s="27">
        <v>0</v>
      </c>
      <c r="BM300" s="27">
        <v>0</v>
      </c>
      <c r="BN300" s="51">
        <v>0</v>
      </c>
      <c r="BP300" s="30">
        <v>0</v>
      </c>
      <c r="BQ300" s="20">
        <v>607906793.77693379</v>
      </c>
      <c r="BR300" s="51">
        <v>0</v>
      </c>
      <c r="BT300" s="30">
        <v>0</v>
      </c>
      <c r="BU300" s="51">
        <v>0</v>
      </c>
      <c r="BW300" s="221">
        <v>0</v>
      </c>
      <c r="BX300" s="222">
        <v>0</v>
      </c>
    </row>
    <row r="301" spans="6:76" x14ac:dyDescent="0.2">
      <c r="F301" s="151">
        <v>297</v>
      </c>
      <c r="G301" s="30">
        <v>0</v>
      </c>
      <c r="H301" s="28">
        <v>0</v>
      </c>
      <c r="I301" s="28">
        <v>0</v>
      </c>
      <c r="J301" s="28">
        <v>0</v>
      </c>
      <c r="K301" s="28">
        <v>0</v>
      </c>
      <c r="L301" s="28">
        <v>0</v>
      </c>
      <c r="M301" s="27">
        <v>0</v>
      </c>
      <c r="N301" s="27">
        <v>0</v>
      </c>
      <c r="O301" s="51">
        <v>0</v>
      </c>
      <c r="P301" s="5"/>
      <c r="Q301" s="30">
        <v>0</v>
      </c>
      <c r="R301" s="27">
        <v>0</v>
      </c>
      <c r="S301" s="27">
        <v>0</v>
      </c>
      <c r="T301" s="51">
        <v>0</v>
      </c>
      <c r="U301" s="5"/>
      <c r="V301" s="30">
        <v>0</v>
      </c>
      <c r="W301" s="51">
        <v>0</v>
      </c>
      <c r="Y301" s="30">
        <v>0</v>
      </c>
      <c r="Z301" s="27">
        <v>0</v>
      </c>
      <c r="AA301" s="27">
        <v>0</v>
      </c>
      <c r="AB301" s="51">
        <v>0</v>
      </c>
      <c r="AD301" s="30">
        <v>19939090995.372997</v>
      </c>
      <c r="AE301" s="27">
        <v>0</v>
      </c>
      <c r="AF301" s="27">
        <v>19939090995.372997</v>
      </c>
      <c r="AG301" s="51">
        <v>0</v>
      </c>
      <c r="AI301" s="30">
        <v>0</v>
      </c>
      <c r="AJ301" s="51">
        <v>0</v>
      </c>
      <c r="AL301" s="43">
        <v>0</v>
      </c>
      <c r="AM301" s="52">
        <v>0</v>
      </c>
      <c r="AN301" s="53">
        <v>0</v>
      </c>
      <c r="AO301" s="54">
        <v>0</v>
      </c>
      <c r="AQ301" s="30">
        <v>0</v>
      </c>
      <c r="AR301" s="27">
        <v>0</v>
      </c>
      <c r="AS301" s="27">
        <v>0</v>
      </c>
      <c r="AT301" s="51">
        <v>0</v>
      </c>
      <c r="AV301" s="30">
        <v>0</v>
      </c>
      <c r="AW301" s="27">
        <v>0</v>
      </c>
      <c r="AX301" s="27">
        <v>0</v>
      </c>
      <c r="AY301" s="51">
        <v>0</v>
      </c>
      <c r="BA301" s="30">
        <v>0</v>
      </c>
      <c r="BB301" s="27">
        <v>0</v>
      </c>
      <c r="BC301" s="27">
        <v>0</v>
      </c>
      <c r="BD301" s="51">
        <v>0</v>
      </c>
      <c r="BF301" s="30">
        <v>0</v>
      </c>
      <c r="BG301" s="27">
        <v>0</v>
      </c>
      <c r="BH301" s="27">
        <v>0</v>
      </c>
      <c r="BI301" s="51">
        <v>0</v>
      </c>
      <c r="BK301" s="30">
        <v>0</v>
      </c>
      <c r="BL301" s="27">
        <v>0</v>
      </c>
      <c r="BM301" s="27">
        <v>0</v>
      </c>
      <c r="BN301" s="51">
        <v>0</v>
      </c>
      <c r="BP301" s="30">
        <v>0</v>
      </c>
      <c r="BQ301" s="20">
        <v>607906793.77693379</v>
      </c>
      <c r="BR301" s="51">
        <v>0</v>
      </c>
      <c r="BT301" s="30">
        <v>0</v>
      </c>
      <c r="BU301" s="51">
        <v>0</v>
      </c>
      <c r="BW301" s="221">
        <v>0</v>
      </c>
      <c r="BX301" s="222">
        <v>0</v>
      </c>
    </row>
    <row r="302" spans="6:76" x14ac:dyDescent="0.2">
      <c r="F302" s="151">
        <v>298</v>
      </c>
      <c r="G302" s="30">
        <v>0</v>
      </c>
      <c r="H302" s="28">
        <v>0</v>
      </c>
      <c r="I302" s="28">
        <v>0</v>
      </c>
      <c r="J302" s="28">
        <v>0</v>
      </c>
      <c r="K302" s="28">
        <v>0</v>
      </c>
      <c r="L302" s="28">
        <v>0</v>
      </c>
      <c r="M302" s="27">
        <v>0</v>
      </c>
      <c r="N302" s="27">
        <v>0</v>
      </c>
      <c r="O302" s="51">
        <v>0</v>
      </c>
      <c r="P302" s="5"/>
      <c r="Q302" s="30">
        <v>0</v>
      </c>
      <c r="R302" s="27">
        <v>0</v>
      </c>
      <c r="S302" s="27">
        <v>0</v>
      </c>
      <c r="T302" s="51">
        <v>0</v>
      </c>
      <c r="U302" s="5"/>
      <c r="V302" s="30">
        <v>0</v>
      </c>
      <c r="W302" s="51">
        <v>0</v>
      </c>
      <c r="Y302" s="30">
        <v>0</v>
      </c>
      <c r="Z302" s="27">
        <v>0</v>
      </c>
      <c r="AA302" s="27">
        <v>0</v>
      </c>
      <c r="AB302" s="51">
        <v>0</v>
      </c>
      <c r="AD302" s="30">
        <v>20501657756.27095</v>
      </c>
      <c r="AE302" s="27">
        <v>0</v>
      </c>
      <c r="AF302" s="27">
        <v>20501657756.27095</v>
      </c>
      <c r="AG302" s="51">
        <v>0</v>
      </c>
      <c r="AI302" s="30">
        <v>0</v>
      </c>
      <c r="AJ302" s="51">
        <v>0</v>
      </c>
      <c r="AL302" s="43">
        <v>0</v>
      </c>
      <c r="AM302" s="52">
        <v>0</v>
      </c>
      <c r="AN302" s="53">
        <v>0</v>
      </c>
      <c r="AO302" s="54">
        <v>0</v>
      </c>
      <c r="AQ302" s="30">
        <v>0</v>
      </c>
      <c r="AR302" s="27">
        <v>0</v>
      </c>
      <c r="AS302" s="27">
        <v>0</v>
      </c>
      <c r="AT302" s="51">
        <v>0</v>
      </c>
      <c r="AV302" s="30">
        <v>0</v>
      </c>
      <c r="AW302" s="27">
        <v>0</v>
      </c>
      <c r="AX302" s="27">
        <v>0</v>
      </c>
      <c r="AY302" s="51">
        <v>0</v>
      </c>
      <c r="BA302" s="30">
        <v>0</v>
      </c>
      <c r="BB302" s="27">
        <v>0</v>
      </c>
      <c r="BC302" s="27">
        <v>0</v>
      </c>
      <c r="BD302" s="51">
        <v>0</v>
      </c>
      <c r="BF302" s="30">
        <v>0</v>
      </c>
      <c r="BG302" s="27">
        <v>0</v>
      </c>
      <c r="BH302" s="27">
        <v>0</v>
      </c>
      <c r="BI302" s="51">
        <v>0</v>
      </c>
      <c r="BK302" s="30">
        <v>0</v>
      </c>
      <c r="BL302" s="27">
        <v>0</v>
      </c>
      <c r="BM302" s="27">
        <v>0</v>
      </c>
      <c r="BN302" s="51">
        <v>0</v>
      </c>
      <c r="BP302" s="30">
        <v>0</v>
      </c>
      <c r="BQ302" s="20">
        <v>607906793.77693379</v>
      </c>
      <c r="BR302" s="51">
        <v>0</v>
      </c>
      <c r="BT302" s="30">
        <v>0</v>
      </c>
      <c r="BU302" s="51">
        <v>0</v>
      </c>
      <c r="BW302" s="221">
        <v>0</v>
      </c>
      <c r="BX302" s="222">
        <v>0</v>
      </c>
    </row>
    <row r="303" spans="6:76" x14ac:dyDescent="0.2">
      <c r="F303" s="151">
        <v>299</v>
      </c>
      <c r="G303" s="30">
        <v>0</v>
      </c>
      <c r="H303" s="28">
        <v>0</v>
      </c>
      <c r="I303" s="28">
        <v>0</v>
      </c>
      <c r="J303" s="28">
        <v>0</v>
      </c>
      <c r="K303" s="28">
        <v>0</v>
      </c>
      <c r="L303" s="28">
        <v>0</v>
      </c>
      <c r="M303" s="27">
        <v>0</v>
      </c>
      <c r="N303" s="27">
        <v>0</v>
      </c>
      <c r="O303" s="51">
        <v>0</v>
      </c>
      <c r="P303" s="5"/>
      <c r="Q303" s="30">
        <v>0</v>
      </c>
      <c r="R303" s="27">
        <v>0</v>
      </c>
      <c r="S303" s="27">
        <v>0</v>
      </c>
      <c r="T303" s="51">
        <v>0</v>
      </c>
      <c r="U303" s="5"/>
      <c r="V303" s="30">
        <v>0</v>
      </c>
      <c r="W303" s="51">
        <v>0</v>
      </c>
      <c r="Y303" s="30">
        <v>0</v>
      </c>
      <c r="Z303" s="27">
        <v>0</v>
      </c>
      <c r="AA303" s="27">
        <v>0</v>
      </c>
      <c r="AB303" s="51">
        <v>0</v>
      </c>
      <c r="AD303" s="30">
        <v>21080096923.816761</v>
      </c>
      <c r="AE303" s="27">
        <v>0</v>
      </c>
      <c r="AF303" s="27">
        <v>21080096923.816761</v>
      </c>
      <c r="AG303" s="51">
        <v>0</v>
      </c>
      <c r="AI303" s="30">
        <v>0</v>
      </c>
      <c r="AJ303" s="51">
        <v>0</v>
      </c>
      <c r="AL303" s="43">
        <v>0</v>
      </c>
      <c r="AM303" s="52">
        <v>0</v>
      </c>
      <c r="AN303" s="53">
        <v>0</v>
      </c>
      <c r="AO303" s="54">
        <v>0</v>
      </c>
      <c r="AQ303" s="30">
        <v>0</v>
      </c>
      <c r="AR303" s="27">
        <v>0</v>
      </c>
      <c r="AS303" s="27">
        <v>0</v>
      </c>
      <c r="AT303" s="51">
        <v>0</v>
      </c>
      <c r="AV303" s="30">
        <v>0</v>
      </c>
      <c r="AW303" s="27">
        <v>0</v>
      </c>
      <c r="AX303" s="27">
        <v>0</v>
      </c>
      <c r="AY303" s="51">
        <v>0</v>
      </c>
      <c r="BA303" s="30">
        <v>0</v>
      </c>
      <c r="BB303" s="27">
        <v>0</v>
      </c>
      <c r="BC303" s="27">
        <v>0</v>
      </c>
      <c r="BD303" s="51">
        <v>0</v>
      </c>
      <c r="BF303" s="30">
        <v>0</v>
      </c>
      <c r="BG303" s="27">
        <v>0</v>
      </c>
      <c r="BH303" s="27">
        <v>0</v>
      </c>
      <c r="BI303" s="51">
        <v>0</v>
      </c>
      <c r="BK303" s="30">
        <v>0</v>
      </c>
      <c r="BL303" s="27">
        <v>0</v>
      </c>
      <c r="BM303" s="27">
        <v>0</v>
      </c>
      <c r="BN303" s="51">
        <v>0</v>
      </c>
      <c r="BP303" s="30">
        <v>0</v>
      </c>
      <c r="BQ303" s="20">
        <v>607906793.77693379</v>
      </c>
      <c r="BR303" s="51">
        <v>0</v>
      </c>
      <c r="BT303" s="30">
        <v>0</v>
      </c>
      <c r="BU303" s="51">
        <v>0</v>
      </c>
      <c r="BW303" s="221">
        <v>0</v>
      </c>
      <c r="BX303" s="222">
        <v>0</v>
      </c>
    </row>
    <row r="304" spans="6:76" x14ac:dyDescent="0.2">
      <c r="F304" s="151">
        <v>300</v>
      </c>
      <c r="G304" s="30">
        <v>0</v>
      </c>
      <c r="H304" s="28">
        <v>0</v>
      </c>
      <c r="I304" s="28">
        <v>0</v>
      </c>
      <c r="J304" s="28">
        <v>0</v>
      </c>
      <c r="K304" s="28">
        <v>0</v>
      </c>
      <c r="L304" s="28">
        <v>0</v>
      </c>
      <c r="M304" s="27">
        <v>0</v>
      </c>
      <c r="N304" s="27">
        <v>0</v>
      </c>
      <c r="O304" s="51">
        <v>0</v>
      </c>
      <c r="P304" s="5"/>
      <c r="Q304" s="30">
        <v>0</v>
      </c>
      <c r="R304" s="27">
        <v>0</v>
      </c>
      <c r="S304" s="27">
        <v>0</v>
      </c>
      <c r="T304" s="51">
        <v>0</v>
      </c>
      <c r="U304" s="5"/>
      <c r="V304" s="30">
        <v>0</v>
      </c>
      <c r="W304" s="51">
        <v>0</v>
      </c>
      <c r="Y304" s="30">
        <v>0</v>
      </c>
      <c r="Z304" s="27">
        <v>0</v>
      </c>
      <c r="AA304" s="27">
        <v>0</v>
      </c>
      <c r="AB304" s="51">
        <v>0</v>
      </c>
      <c r="AD304" s="30">
        <v>21674856326.268883</v>
      </c>
      <c r="AE304" s="27">
        <v>0</v>
      </c>
      <c r="AF304" s="27">
        <v>21674856326.268883</v>
      </c>
      <c r="AG304" s="51">
        <v>0</v>
      </c>
      <c r="AI304" s="30">
        <v>0</v>
      </c>
      <c r="AJ304" s="51">
        <v>0</v>
      </c>
      <c r="AL304" s="43">
        <v>0</v>
      </c>
      <c r="AM304" s="52">
        <v>0</v>
      </c>
      <c r="AN304" s="53">
        <v>0</v>
      </c>
      <c r="AO304" s="54">
        <v>0</v>
      </c>
      <c r="AQ304" s="30">
        <v>0</v>
      </c>
      <c r="AR304" s="27">
        <v>0</v>
      </c>
      <c r="AS304" s="27">
        <v>0</v>
      </c>
      <c r="AT304" s="51">
        <v>0</v>
      </c>
      <c r="AV304" s="30">
        <v>0</v>
      </c>
      <c r="AW304" s="27">
        <v>0</v>
      </c>
      <c r="AX304" s="27">
        <v>0</v>
      </c>
      <c r="AY304" s="51">
        <v>0</v>
      </c>
      <c r="BA304" s="30">
        <v>0</v>
      </c>
      <c r="BB304" s="27">
        <v>0</v>
      </c>
      <c r="BC304" s="27">
        <v>0</v>
      </c>
      <c r="BD304" s="51">
        <v>0</v>
      </c>
      <c r="BF304" s="30">
        <v>0</v>
      </c>
      <c r="BG304" s="27">
        <v>0</v>
      </c>
      <c r="BH304" s="27">
        <v>0</v>
      </c>
      <c r="BI304" s="51">
        <v>0</v>
      </c>
      <c r="BK304" s="30">
        <v>0</v>
      </c>
      <c r="BL304" s="27">
        <v>0</v>
      </c>
      <c r="BM304" s="27">
        <v>0</v>
      </c>
      <c r="BN304" s="51">
        <v>0</v>
      </c>
      <c r="BP304" s="30">
        <v>0</v>
      </c>
      <c r="BQ304" s="20">
        <v>607906793.77693379</v>
      </c>
      <c r="BR304" s="51">
        <v>0</v>
      </c>
      <c r="BT304" s="30">
        <v>0</v>
      </c>
      <c r="BU304" s="51">
        <v>0</v>
      </c>
      <c r="BW304" s="221">
        <v>0</v>
      </c>
      <c r="BX304" s="222">
        <v>0</v>
      </c>
    </row>
    <row r="305" spans="6:76" x14ac:dyDescent="0.2">
      <c r="F305" s="151">
        <v>301</v>
      </c>
      <c r="G305" s="30">
        <v>0</v>
      </c>
      <c r="H305" s="28">
        <v>0</v>
      </c>
      <c r="I305" s="28">
        <v>0</v>
      </c>
      <c r="J305" s="28">
        <v>0</v>
      </c>
      <c r="K305" s="28">
        <v>0</v>
      </c>
      <c r="L305" s="28">
        <v>0</v>
      </c>
      <c r="M305" s="27">
        <v>0</v>
      </c>
      <c r="N305" s="27">
        <v>0</v>
      </c>
      <c r="O305" s="51">
        <v>0</v>
      </c>
      <c r="P305" s="5"/>
      <c r="Q305" s="30">
        <v>0</v>
      </c>
      <c r="R305" s="27">
        <v>0</v>
      </c>
      <c r="S305" s="27">
        <v>0</v>
      </c>
      <c r="T305" s="51">
        <v>0</v>
      </c>
      <c r="U305" s="5"/>
      <c r="V305" s="30">
        <v>0</v>
      </c>
      <c r="W305" s="51">
        <v>0</v>
      </c>
      <c r="Y305" s="30">
        <v>0</v>
      </c>
      <c r="Z305" s="27">
        <v>0</v>
      </c>
      <c r="AA305" s="27">
        <v>0</v>
      </c>
      <c r="AB305" s="51">
        <v>0</v>
      </c>
      <c r="AD305" s="30">
        <v>22286396427.030106</v>
      </c>
      <c r="AE305" s="27">
        <v>0</v>
      </c>
      <c r="AF305" s="27">
        <v>22286396427.030106</v>
      </c>
      <c r="AG305" s="51">
        <v>0</v>
      </c>
      <c r="AI305" s="30">
        <v>0</v>
      </c>
      <c r="AJ305" s="51">
        <v>0</v>
      </c>
      <c r="AL305" s="43">
        <v>0</v>
      </c>
      <c r="AM305" s="52">
        <v>0</v>
      </c>
      <c r="AN305" s="53">
        <v>0</v>
      </c>
      <c r="AO305" s="54">
        <v>0</v>
      </c>
      <c r="AQ305" s="30">
        <v>0</v>
      </c>
      <c r="AR305" s="27">
        <v>0</v>
      </c>
      <c r="AS305" s="27">
        <v>0</v>
      </c>
      <c r="AT305" s="51">
        <v>0</v>
      </c>
      <c r="AV305" s="30">
        <v>0</v>
      </c>
      <c r="AW305" s="27">
        <v>0</v>
      </c>
      <c r="AX305" s="27">
        <v>0</v>
      </c>
      <c r="AY305" s="51">
        <v>0</v>
      </c>
      <c r="BA305" s="30">
        <v>0</v>
      </c>
      <c r="BB305" s="27">
        <v>0</v>
      </c>
      <c r="BC305" s="27">
        <v>0</v>
      </c>
      <c r="BD305" s="51">
        <v>0</v>
      </c>
      <c r="BF305" s="30">
        <v>0</v>
      </c>
      <c r="BG305" s="27">
        <v>0</v>
      </c>
      <c r="BH305" s="27">
        <v>0</v>
      </c>
      <c r="BI305" s="51">
        <v>0</v>
      </c>
      <c r="BK305" s="30">
        <v>0</v>
      </c>
      <c r="BL305" s="27">
        <v>0</v>
      </c>
      <c r="BM305" s="27">
        <v>0</v>
      </c>
      <c r="BN305" s="51">
        <v>0</v>
      </c>
      <c r="BP305" s="30">
        <v>0</v>
      </c>
      <c r="BQ305" s="20">
        <v>607906793.77693379</v>
      </c>
      <c r="BR305" s="51">
        <v>0</v>
      </c>
      <c r="BT305" s="30">
        <v>0</v>
      </c>
      <c r="BU305" s="51">
        <v>0</v>
      </c>
      <c r="BW305" s="221">
        <v>0</v>
      </c>
      <c r="BX305" s="222">
        <v>0</v>
      </c>
    </row>
    <row r="306" spans="6:76" x14ac:dyDescent="0.2">
      <c r="F306" s="151">
        <v>302</v>
      </c>
      <c r="G306" s="30">
        <v>0</v>
      </c>
      <c r="H306" s="28">
        <v>0</v>
      </c>
      <c r="I306" s="28">
        <v>0</v>
      </c>
      <c r="J306" s="28">
        <v>0</v>
      </c>
      <c r="K306" s="28">
        <v>0</v>
      </c>
      <c r="L306" s="28">
        <v>0</v>
      </c>
      <c r="M306" s="27">
        <v>0</v>
      </c>
      <c r="N306" s="27">
        <v>0</v>
      </c>
      <c r="O306" s="51">
        <v>0</v>
      </c>
      <c r="P306" s="5"/>
      <c r="Q306" s="30">
        <v>0</v>
      </c>
      <c r="R306" s="27">
        <v>0</v>
      </c>
      <c r="S306" s="27">
        <v>0</v>
      </c>
      <c r="T306" s="51">
        <v>0</v>
      </c>
      <c r="U306" s="5"/>
      <c r="V306" s="30">
        <v>0</v>
      </c>
      <c r="W306" s="51">
        <v>0</v>
      </c>
      <c r="Y306" s="30">
        <v>0</v>
      </c>
      <c r="Z306" s="27">
        <v>0</v>
      </c>
      <c r="AA306" s="27">
        <v>0</v>
      </c>
      <c r="AB306" s="51">
        <v>0</v>
      </c>
      <c r="AD306" s="30">
        <v>22915190681.138855</v>
      </c>
      <c r="AE306" s="27">
        <v>0</v>
      </c>
      <c r="AF306" s="27">
        <v>22915190681.138855</v>
      </c>
      <c r="AG306" s="51">
        <v>0</v>
      </c>
      <c r="AI306" s="30">
        <v>0</v>
      </c>
      <c r="AJ306" s="51">
        <v>0</v>
      </c>
      <c r="AL306" s="43">
        <v>0</v>
      </c>
      <c r="AM306" s="52">
        <v>0</v>
      </c>
      <c r="AN306" s="53">
        <v>0</v>
      </c>
      <c r="AO306" s="54">
        <v>0</v>
      </c>
      <c r="AQ306" s="30">
        <v>0</v>
      </c>
      <c r="AR306" s="27">
        <v>0</v>
      </c>
      <c r="AS306" s="27">
        <v>0</v>
      </c>
      <c r="AT306" s="51">
        <v>0</v>
      </c>
      <c r="AV306" s="30">
        <v>0</v>
      </c>
      <c r="AW306" s="27">
        <v>0</v>
      </c>
      <c r="AX306" s="27">
        <v>0</v>
      </c>
      <c r="AY306" s="51">
        <v>0</v>
      </c>
      <c r="BA306" s="30">
        <v>0</v>
      </c>
      <c r="BB306" s="27">
        <v>0</v>
      </c>
      <c r="BC306" s="27">
        <v>0</v>
      </c>
      <c r="BD306" s="51">
        <v>0</v>
      </c>
      <c r="BF306" s="30">
        <v>0</v>
      </c>
      <c r="BG306" s="27">
        <v>0</v>
      </c>
      <c r="BH306" s="27">
        <v>0</v>
      </c>
      <c r="BI306" s="51">
        <v>0</v>
      </c>
      <c r="BK306" s="30">
        <v>0</v>
      </c>
      <c r="BL306" s="27">
        <v>0</v>
      </c>
      <c r="BM306" s="27">
        <v>0</v>
      </c>
      <c r="BN306" s="51">
        <v>0</v>
      </c>
      <c r="BP306" s="30">
        <v>0</v>
      </c>
      <c r="BQ306" s="20">
        <v>607906793.77693379</v>
      </c>
      <c r="BR306" s="51">
        <v>0</v>
      </c>
      <c r="BT306" s="30">
        <v>0</v>
      </c>
      <c r="BU306" s="51">
        <v>0</v>
      </c>
      <c r="BW306" s="221">
        <v>0</v>
      </c>
      <c r="BX306" s="222">
        <v>0</v>
      </c>
    </row>
    <row r="307" spans="6:76" x14ac:dyDescent="0.2">
      <c r="F307" s="151">
        <v>303</v>
      </c>
      <c r="G307" s="30">
        <v>0</v>
      </c>
      <c r="H307" s="28">
        <v>0</v>
      </c>
      <c r="I307" s="28">
        <v>0</v>
      </c>
      <c r="J307" s="28">
        <v>0</v>
      </c>
      <c r="K307" s="28">
        <v>0</v>
      </c>
      <c r="L307" s="28">
        <v>0</v>
      </c>
      <c r="M307" s="27">
        <v>0</v>
      </c>
      <c r="N307" s="27">
        <v>0</v>
      </c>
      <c r="O307" s="51">
        <v>0</v>
      </c>
      <c r="P307" s="5"/>
      <c r="Q307" s="30">
        <v>0</v>
      </c>
      <c r="R307" s="27">
        <v>0</v>
      </c>
      <c r="S307" s="27">
        <v>0</v>
      </c>
      <c r="T307" s="51">
        <v>0</v>
      </c>
      <c r="U307" s="5"/>
      <c r="V307" s="30">
        <v>0</v>
      </c>
      <c r="W307" s="51">
        <v>0</v>
      </c>
      <c r="Y307" s="30">
        <v>0</v>
      </c>
      <c r="Z307" s="27">
        <v>0</v>
      </c>
      <c r="AA307" s="27">
        <v>0</v>
      </c>
      <c r="AB307" s="51">
        <v>0</v>
      </c>
      <c r="AD307" s="30">
        <v>23561725901.818611</v>
      </c>
      <c r="AE307" s="27">
        <v>0</v>
      </c>
      <c r="AF307" s="27">
        <v>23561725901.818611</v>
      </c>
      <c r="AG307" s="51">
        <v>0</v>
      </c>
      <c r="AI307" s="30">
        <v>0</v>
      </c>
      <c r="AJ307" s="51">
        <v>0</v>
      </c>
      <c r="AL307" s="43">
        <v>0</v>
      </c>
      <c r="AM307" s="52">
        <v>0</v>
      </c>
      <c r="AN307" s="53">
        <v>0</v>
      </c>
      <c r="AO307" s="54">
        <v>0</v>
      </c>
      <c r="AQ307" s="30">
        <v>0</v>
      </c>
      <c r="AR307" s="27">
        <v>0</v>
      </c>
      <c r="AS307" s="27">
        <v>0</v>
      </c>
      <c r="AT307" s="51">
        <v>0</v>
      </c>
      <c r="AV307" s="30">
        <v>0</v>
      </c>
      <c r="AW307" s="27">
        <v>0</v>
      </c>
      <c r="AX307" s="27">
        <v>0</v>
      </c>
      <c r="AY307" s="51">
        <v>0</v>
      </c>
      <c r="BA307" s="30">
        <v>0</v>
      </c>
      <c r="BB307" s="27">
        <v>0</v>
      </c>
      <c r="BC307" s="27">
        <v>0</v>
      </c>
      <c r="BD307" s="51">
        <v>0</v>
      </c>
      <c r="BF307" s="30">
        <v>0</v>
      </c>
      <c r="BG307" s="27">
        <v>0</v>
      </c>
      <c r="BH307" s="27">
        <v>0</v>
      </c>
      <c r="BI307" s="51">
        <v>0</v>
      </c>
      <c r="BK307" s="30">
        <v>0</v>
      </c>
      <c r="BL307" s="27">
        <v>0</v>
      </c>
      <c r="BM307" s="27">
        <v>0</v>
      </c>
      <c r="BN307" s="51">
        <v>0</v>
      </c>
      <c r="BP307" s="30">
        <v>0</v>
      </c>
      <c r="BQ307" s="20">
        <v>607906793.77693379</v>
      </c>
      <c r="BR307" s="51">
        <v>0</v>
      </c>
      <c r="BT307" s="30">
        <v>0</v>
      </c>
      <c r="BU307" s="51">
        <v>0</v>
      </c>
      <c r="BW307" s="221">
        <v>0</v>
      </c>
      <c r="BX307" s="222">
        <v>0</v>
      </c>
    </row>
    <row r="308" spans="6:76" x14ac:dyDescent="0.2">
      <c r="F308" s="151">
        <v>304</v>
      </c>
      <c r="G308" s="30">
        <v>0</v>
      </c>
      <c r="H308" s="28">
        <v>0</v>
      </c>
      <c r="I308" s="28">
        <v>0</v>
      </c>
      <c r="J308" s="28">
        <v>0</v>
      </c>
      <c r="K308" s="28">
        <v>0</v>
      </c>
      <c r="L308" s="28">
        <v>0</v>
      </c>
      <c r="M308" s="27">
        <v>0</v>
      </c>
      <c r="N308" s="27">
        <v>0</v>
      </c>
      <c r="O308" s="51">
        <v>0</v>
      </c>
      <c r="P308" s="5"/>
      <c r="Q308" s="30">
        <v>0</v>
      </c>
      <c r="R308" s="27">
        <v>0</v>
      </c>
      <c r="S308" s="27">
        <v>0</v>
      </c>
      <c r="T308" s="51">
        <v>0</v>
      </c>
      <c r="U308" s="5"/>
      <c r="V308" s="30">
        <v>0</v>
      </c>
      <c r="W308" s="51">
        <v>0</v>
      </c>
      <c r="Y308" s="30">
        <v>0</v>
      </c>
      <c r="Z308" s="27">
        <v>0</v>
      </c>
      <c r="AA308" s="27">
        <v>0</v>
      </c>
      <c r="AB308" s="51">
        <v>0</v>
      </c>
      <c r="AD308" s="30">
        <v>24226502637.369263</v>
      </c>
      <c r="AE308" s="27">
        <v>0</v>
      </c>
      <c r="AF308" s="27">
        <v>24226502637.369263</v>
      </c>
      <c r="AG308" s="51">
        <v>0</v>
      </c>
      <c r="AI308" s="30">
        <v>0</v>
      </c>
      <c r="AJ308" s="51">
        <v>0</v>
      </c>
      <c r="AL308" s="43">
        <v>0</v>
      </c>
      <c r="AM308" s="52">
        <v>0</v>
      </c>
      <c r="AN308" s="53">
        <v>0</v>
      </c>
      <c r="AO308" s="54">
        <v>0</v>
      </c>
      <c r="AQ308" s="30">
        <v>0</v>
      </c>
      <c r="AR308" s="27">
        <v>0</v>
      </c>
      <c r="AS308" s="27">
        <v>0</v>
      </c>
      <c r="AT308" s="51">
        <v>0</v>
      </c>
      <c r="AV308" s="30">
        <v>0</v>
      </c>
      <c r="AW308" s="27">
        <v>0</v>
      </c>
      <c r="AX308" s="27">
        <v>0</v>
      </c>
      <c r="AY308" s="51">
        <v>0</v>
      </c>
      <c r="BA308" s="30">
        <v>0</v>
      </c>
      <c r="BB308" s="27">
        <v>0</v>
      </c>
      <c r="BC308" s="27">
        <v>0</v>
      </c>
      <c r="BD308" s="51">
        <v>0</v>
      </c>
      <c r="BF308" s="30">
        <v>0</v>
      </c>
      <c r="BG308" s="27">
        <v>0</v>
      </c>
      <c r="BH308" s="27">
        <v>0</v>
      </c>
      <c r="BI308" s="51">
        <v>0</v>
      </c>
      <c r="BK308" s="30">
        <v>0</v>
      </c>
      <c r="BL308" s="27">
        <v>0</v>
      </c>
      <c r="BM308" s="27">
        <v>0</v>
      </c>
      <c r="BN308" s="51">
        <v>0</v>
      </c>
      <c r="BP308" s="30">
        <v>0</v>
      </c>
      <c r="BQ308" s="20">
        <v>607906793.77693379</v>
      </c>
      <c r="BR308" s="51">
        <v>0</v>
      </c>
      <c r="BT308" s="30">
        <v>0</v>
      </c>
      <c r="BU308" s="51">
        <v>0</v>
      </c>
      <c r="BW308" s="221">
        <v>0</v>
      </c>
      <c r="BX308" s="222">
        <v>0</v>
      </c>
    </row>
    <row r="309" spans="6:76" x14ac:dyDescent="0.2">
      <c r="F309" s="151">
        <v>305</v>
      </c>
      <c r="G309" s="30">
        <v>0</v>
      </c>
      <c r="H309" s="28">
        <v>0</v>
      </c>
      <c r="I309" s="28">
        <v>0</v>
      </c>
      <c r="J309" s="28">
        <v>0</v>
      </c>
      <c r="K309" s="28">
        <v>0</v>
      </c>
      <c r="L309" s="28">
        <v>0</v>
      </c>
      <c r="M309" s="27">
        <v>0</v>
      </c>
      <c r="N309" s="27">
        <v>0</v>
      </c>
      <c r="O309" s="51">
        <v>0</v>
      </c>
      <c r="P309" s="5"/>
      <c r="Q309" s="30">
        <v>0</v>
      </c>
      <c r="R309" s="27">
        <v>0</v>
      </c>
      <c r="S309" s="27">
        <v>0</v>
      </c>
      <c r="T309" s="51">
        <v>0</v>
      </c>
      <c r="U309" s="5"/>
      <c r="V309" s="30">
        <v>0</v>
      </c>
      <c r="W309" s="51">
        <v>0</v>
      </c>
      <c r="Y309" s="30">
        <v>0</v>
      </c>
      <c r="Z309" s="27">
        <v>0</v>
      </c>
      <c r="AA309" s="27">
        <v>0</v>
      </c>
      <c r="AB309" s="51">
        <v>0</v>
      </c>
      <c r="AD309" s="30">
        <v>24910035558.692169</v>
      </c>
      <c r="AE309" s="27">
        <v>0</v>
      </c>
      <c r="AF309" s="27">
        <v>24910035558.692169</v>
      </c>
      <c r="AG309" s="51">
        <v>0</v>
      </c>
      <c r="AI309" s="30">
        <v>0</v>
      </c>
      <c r="AJ309" s="51">
        <v>0</v>
      </c>
      <c r="AL309" s="43">
        <v>0</v>
      </c>
      <c r="AM309" s="52">
        <v>0</v>
      </c>
      <c r="AN309" s="53">
        <v>0</v>
      </c>
      <c r="AO309" s="54">
        <v>0</v>
      </c>
      <c r="AQ309" s="30">
        <v>0</v>
      </c>
      <c r="AR309" s="27">
        <v>0</v>
      </c>
      <c r="AS309" s="27">
        <v>0</v>
      </c>
      <c r="AT309" s="51">
        <v>0</v>
      </c>
      <c r="AV309" s="30">
        <v>0</v>
      </c>
      <c r="AW309" s="27">
        <v>0</v>
      </c>
      <c r="AX309" s="27">
        <v>0</v>
      </c>
      <c r="AY309" s="51">
        <v>0</v>
      </c>
      <c r="BA309" s="30">
        <v>0</v>
      </c>
      <c r="BB309" s="27">
        <v>0</v>
      </c>
      <c r="BC309" s="27">
        <v>0</v>
      </c>
      <c r="BD309" s="51">
        <v>0</v>
      </c>
      <c r="BF309" s="30">
        <v>0</v>
      </c>
      <c r="BG309" s="27">
        <v>0</v>
      </c>
      <c r="BH309" s="27">
        <v>0</v>
      </c>
      <c r="BI309" s="51">
        <v>0</v>
      </c>
      <c r="BK309" s="30">
        <v>0</v>
      </c>
      <c r="BL309" s="27">
        <v>0</v>
      </c>
      <c r="BM309" s="27">
        <v>0</v>
      </c>
      <c r="BN309" s="51">
        <v>0</v>
      </c>
      <c r="BP309" s="30">
        <v>0</v>
      </c>
      <c r="BQ309" s="20">
        <v>607906793.77693379</v>
      </c>
      <c r="BR309" s="51">
        <v>0</v>
      </c>
      <c r="BT309" s="30">
        <v>0</v>
      </c>
      <c r="BU309" s="51">
        <v>0</v>
      </c>
      <c r="BW309" s="221">
        <v>0</v>
      </c>
      <c r="BX309" s="222">
        <v>0</v>
      </c>
    </row>
    <row r="310" spans="6:76" x14ac:dyDescent="0.2">
      <c r="F310" s="151">
        <v>306</v>
      </c>
      <c r="G310" s="30">
        <v>0</v>
      </c>
      <c r="H310" s="28">
        <v>0</v>
      </c>
      <c r="I310" s="28">
        <v>0</v>
      </c>
      <c r="J310" s="28">
        <v>0</v>
      </c>
      <c r="K310" s="28">
        <v>0</v>
      </c>
      <c r="L310" s="28">
        <v>0</v>
      </c>
      <c r="M310" s="27">
        <v>0</v>
      </c>
      <c r="N310" s="27">
        <v>0</v>
      </c>
      <c r="O310" s="51">
        <v>0</v>
      </c>
      <c r="P310" s="5"/>
      <c r="Q310" s="30">
        <v>0</v>
      </c>
      <c r="R310" s="27">
        <v>0</v>
      </c>
      <c r="S310" s="27">
        <v>0</v>
      </c>
      <c r="T310" s="51">
        <v>0</v>
      </c>
      <c r="U310" s="5"/>
      <c r="V310" s="30">
        <v>0</v>
      </c>
      <c r="W310" s="51">
        <v>0</v>
      </c>
      <c r="Y310" s="30">
        <v>0</v>
      </c>
      <c r="Z310" s="27">
        <v>0</v>
      </c>
      <c r="AA310" s="27">
        <v>0</v>
      </c>
      <c r="AB310" s="51">
        <v>0</v>
      </c>
      <c r="AD310" s="30">
        <v>25612853857.748943</v>
      </c>
      <c r="AE310" s="27">
        <v>0</v>
      </c>
      <c r="AF310" s="27">
        <v>25612853857.748943</v>
      </c>
      <c r="AG310" s="51">
        <v>0</v>
      </c>
      <c r="AI310" s="30">
        <v>0</v>
      </c>
      <c r="AJ310" s="51">
        <v>0</v>
      </c>
      <c r="AL310" s="43">
        <v>0</v>
      </c>
      <c r="AM310" s="52">
        <v>0</v>
      </c>
      <c r="AN310" s="53">
        <v>0</v>
      </c>
      <c r="AO310" s="54">
        <v>0</v>
      </c>
      <c r="AQ310" s="30">
        <v>0</v>
      </c>
      <c r="AR310" s="27">
        <v>0</v>
      </c>
      <c r="AS310" s="27">
        <v>0</v>
      </c>
      <c r="AT310" s="51">
        <v>0</v>
      </c>
      <c r="AV310" s="30">
        <v>0</v>
      </c>
      <c r="AW310" s="27">
        <v>0</v>
      </c>
      <c r="AX310" s="27">
        <v>0</v>
      </c>
      <c r="AY310" s="51">
        <v>0</v>
      </c>
      <c r="BA310" s="30">
        <v>0</v>
      </c>
      <c r="BB310" s="27">
        <v>0</v>
      </c>
      <c r="BC310" s="27">
        <v>0</v>
      </c>
      <c r="BD310" s="51">
        <v>0</v>
      </c>
      <c r="BF310" s="30">
        <v>0</v>
      </c>
      <c r="BG310" s="27">
        <v>0</v>
      </c>
      <c r="BH310" s="27">
        <v>0</v>
      </c>
      <c r="BI310" s="51">
        <v>0</v>
      </c>
      <c r="BK310" s="30">
        <v>0</v>
      </c>
      <c r="BL310" s="27">
        <v>0</v>
      </c>
      <c r="BM310" s="27">
        <v>0</v>
      </c>
      <c r="BN310" s="51">
        <v>0</v>
      </c>
      <c r="BP310" s="30">
        <v>0</v>
      </c>
      <c r="BQ310" s="20">
        <v>607906793.77693379</v>
      </c>
      <c r="BR310" s="51">
        <v>0</v>
      </c>
      <c r="BT310" s="30">
        <v>0</v>
      </c>
      <c r="BU310" s="51">
        <v>0</v>
      </c>
      <c r="BW310" s="221">
        <v>0</v>
      </c>
      <c r="BX310" s="222">
        <v>0</v>
      </c>
    </row>
    <row r="311" spans="6:76" x14ac:dyDescent="0.2">
      <c r="F311" s="151">
        <v>307</v>
      </c>
      <c r="G311" s="30">
        <v>0</v>
      </c>
      <c r="H311" s="28">
        <v>0</v>
      </c>
      <c r="I311" s="28">
        <v>0</v>
      </c>
      <c r="J311" s="28">
        <v>0</v>
      </c>
      <c r="K311" s="28">
        <v>0</v>
      </c>
      <c r="L311" s="28">
        <v>0</v>
      </c>
      <c r="M311" s="27">
        <v>0</v>
      </c>
      <c r="N311" s="27">
        <v>0</v>
      </c>
      <c r="O311" s="51">
        <v>0</v>
      </c>
      <c r="P311" s="5"/>
      <c r="Q311" s="30">
        <v>0</v>
      </c>
      <c r="R311" s="27">
        <v>0</v>
      </c>
      <c r="S311" s="27">
        <v>0</v>
      </c>
      <c r="T311" s="51">
        <v>0</v>
      </c>
      <c r="U311" s="5"/>
      <c r="V311" s="30">
        <v>0</v>
      </c>
      <c r="W311" s="51">
        <v>0</v>
      </c>
      <c r="Y311" s="30">
        <v>0</v>
      </c>
      <c r="Z311" s="27">
        <v>0</v>
      </c>
      <c r="AA311" s="27">
        <v>0</v>
      </c>
      <c r="AB311" s="51">
        <v>0</v>
      </c>
      <c r="AD311" s="30">
        <v>26335501657.262478</v>
      </c>
      <c r="AE311" s="27">
        <v>0</v>
      </c>
      <c r="AF311" s="27">
        <v>26335501657.262478</v>
      </c>
      <c r="AG311" s="51">
        <v>0</v>
      </c>
      <c r="AI311" s="30">
        <v>0</v>
      </c>
      <c r="AJ311" s="51">
        <v>0</v>
      </c>
      <c r="AL311" s="43">
        <v>0</v>
      </c>
      <c r="AM311" s="52">
        <v>0</v>
      </c>
      <c r="AN311" s="53">
        <v>0</v>
      </c>
      <c r="AO311" s="54">
        <v>0</v>
      </c>
      <c r="AQ311" s="30">
        <v>0</v>
      </c>
      <c r="AR311" s="27">
        <v>0</v>
      </c>
      <c r="AS311" s="27">
        <v>0</v>
      </c>
      <c r="AT311" s="51">
        <v>0</v>
      </c>
      <c r="AV311" s="30">
        <v>0</v>
      </c>
      <c r="AW311" s="27">
        <v>0</v>
      </c>
      <c r="AX311" s="27">
        <v>0</v>
      </c>
      <c r="AY311" s="51">
        <v>0</v>
      </c>
      <c r="BA311" s="30">
        <v>0</v>
      </c>
      <c r="BB311" s="27">
        <v>0</v>
      </c>
      <c r="BC311" s="27">
        <v>0</v>
      </c>
      <c r="BD311" s="51">
        <v>0</v>
      </c>
      <c r="BF311" s="30">
        <v>0</v>
      </c>
      <c r="BG311" s="27">
        <v>0</v>
      </c>
      <c r="BH311" s="27">
        <v>0</v>
      </c>
      <c r="BI311" s="51">
        <v>0</v>
      </c>
      <c r="BK311" s="30">
        <v>0</v>
      </c>
      <c r="BL311" s="27">
        <v>0</v>
      </c>
      <c r="BM311" s="27">
        <v>0</v>
      </c>
      <c r="BN311" s="51">
        <v>0</v>
      </c>
      <c r="BP311" s="30">
        <v>0</v>
      </c>
      <c r="BQ311" s="20">
        <v>607906793.77693379</v>
      </c>
      <c r="BR311" s="51">
        <v>0</v>
      </c>
      <c r="BT311" s="30">
        <v>0</v>
      </c>
      <c r="BU311" s="51">
        <v>0</v>
      </c>
      <c r="BW311" s="221">
        <v>0</v>
      </c>
      <c r="BX311" s="222">
        <v>0</v>
      </c>
    </row>
    <row r="312" spans="6:76" x14ac:dyDescent="0.2">
      <c r="F312" s="151">
        <v>308</v>
      </c>
      <c r="G312" s="30">
        <v>0</v>
      </c>
      <c r="H312" s="28">
        <v>0</v>
      </c>
      <c r="I312" s="28">
        <v>0</v>
      </c>
      <c r="J312" s="28">
        <v>0</v>
      </c>
      <c r="K312" s="28">
        <v>0</v>
      </c>
      <c r="L312" s="28">
        <v>0</v>
      </c>
      <c r="M312" s="27">
        <v>0</v>
      </c>
      <c r="N312" s="27">
        <v>0</v>
      </c>
      <c r="O312" s="51">
        <v>0</v>
      </c>
      <c r="P312" s="5"/>
      <c r="Q312" s="30">
        <v>0</v>
      </c>
      <c r="R312" s="27">
        <v>0</v>
      </c>
      <c r="S312" s="27">
        <v>0</v>
      </c>
      <c r="T312" s="51">
        <v>0</v>
      </c>
      <c r="U312" s="5"/>
      <c r="V312" s="30">
        <v>0</v>
      </c>
      <c r="W312" s="51">
        <v>0</v>
      </c>
      <c r="Y312" s="30">
        <v>0</v>
      </c>
      <c r="Z312" s="27">
        <v>0</v>
      </c>
      <c r="AA312" s="27">
        <v>0</v>
      </c>
      <c r="AB312" s="51">
        <v>0</v>
      </c>
      <c r="AD312" s="30">
        <v>27078538431.977375</v>
      </c>
      <c r="AE312" s="27">
        <v>0</v>
      </c>
      <c r="AF312" s="27">
        <v>27078538431.977375</v>
      </c>
      <c r="AG312" s="51">
        <v>0</v>
      </c>
      <c r="AI312" s="30">
        <v>0</v>
      </c>
      <c r="AJ312" s="51">
        <v>0</v>
      </c>
      <c r="AL312" s="43">
        <v>0</v>
      </c>
      <c r="AM312" s="52">
        <v>0</v>
      </c>
      <c r="AN312" s="53">
        <v>0</v>
      </c>
      <c r="AO312" s="54">
        <v>0</v>
      </c>
      <c r="AQ312" s="30">
        <v>0</v>
      </c>
      <c r="AR312" s="27">
        <v>0</v>
      </c>
      <c r="AS312" s="27">
        <v>0</v>
      </c>
      <c r="AT312" s="51">
        <v>0</v>
      </c>
      <c r="AV312" s="30">
        <v>0</v>
      </c>
      <c r="AW312" s="27">
        <v>0</v>
      </c>
      <c r="AX312" s="27">
        <v>0</v>
      </c>
      <c r="AY312" s="51">
        <v>0</v>
      </c>
      <c r="BA312" s="30">
        <v>0</v>
      </c>
      <c r="BB312" s="27">
        <v>0</v>
      </c>
      <c r="BC312" s="27">
        <v>0</v>
      </c>
      <c r="BD312" s="51">
        <v>0</v>
      </c>
      <c r="BF312" s="30">
        <v>0</v>
      </c>
      <c r="BG312" s="27">
        <v>0</v>
      </c>
      <c r="BH312" s="27">
        <v>0</v>
      </c>
      <c r="BI312" s="51">
        <v>0</v>
      </c>
      <c r="BK312" s="30">
        <v>0</v>
      </c>
      <c r="BL312" s="27">
        <v>0</v>
      </c>
      <c r="BM312" s="27">
        <v>0</v>
      </c>
      <c r="BN312" s="51">
        <v>0</v>
      </c>
      <c r="BP312" s="30">
        <v>0</v>
      </c>
      <c r="BQ312" s="20">
        <v>607906793.77693379</v>
      </c>
      <c r="BR312" s="51">
        <v>0</v>
      </c>
      <c r="BT312" s="30">
        <v>0</v>
      </c>
      <c r="BU312" s="51">
        <v>0</v>
      </c>
      <c r="BW312" s="221">
        <v>0</v>
      </c>
      <c r="BX312" s="222">
        <v>0</v>
      </c>
    </row>
    <row r="313" spans="6:76" x14ac:dyDescent="0.2">
      <c r="F313" s="151">
        <v>309</v>
      </c>
      <c r="G313" s="30">
        <v>0</v>
      </c>
      <c r="H313" s="28">
        <v>0</v>
      </c>
      <c r="I313" s="28">
        <v>0</v>
      </c>
      <c r="J313" s="28">
        <v>0</v>
      </c>
      <c r="K313" s="28">
        <v>0</v>
      </c>
      <c r="L313" s="28">
        <v>0</v>
      </c>
      <c r="M313" s="27">
        <v>0</v>
      </c>
      <c r="N313" s="27">
        <v>0</v>
      </c>
      <c r="O313" s="51">
        <v>0</v>
      </c>
      <c r="P313" s="5"/>
      <c r="Q313" s="30">
        <v>0</v>
      </c>
      <c r="R313" s="27">
        <v>0</v>
      </c>
      <c r="S313" s="27">
        <v>0</v>
      </c>
      <c r="T313" s="51">
        <v>0</v>
      </c>
      <c r="U313" s="5"/>
      <c r="V313" s="30">
        <v>0</v>
      </c>
      <c r="W313" s="51">
        <v>0</v>
      </c>
      <c r="Y313" s="30">
        <v>0</v>
      </c>
      <c r="Z313" s="27">
        <v>0</v>
      </c>
      <c r="AA313" s="27">
        <v>0</v>
      </c>
      <c r="AB313" s="51">
        <v>0</v>
      </c>
      <c r="AD313" s="30">
        <v>27842539441.80592</v>
      </c>
      <c r="AE313" s="27">
        <v>0</v>
      </c>
      <c r="AF313" s="27">
        <v>27842539441.80592</v>
      </c>
      <c r="AG313" s="51">
        <v>0</v>
      </c>
      <c r="AI313" s="30">
        <v>0</v>
      </c>
      <c r="AJ313" s="51">
        <v>0</v>
      </c>
      <c r="AL313" s="43">
        <v>0</v>
      </c>
      <c r="AM313" s="52">
        <v>0</v>
      </c>
      <c r="AN313" s="53">
        <v>0</v>
      </c>
      <c r="AO313" s="54">
        <v>0</v>
      </c>
      <c r="AQ313" s="30">
        <v>0</v>
      </c>
      <c r="AR313" s="27">
        <v>0</v>
      </c>
      <c r="AS313" s="27">
        <v>0</v>
      </c>
      <c r="AT313" s="51">
        <v>0</v>
      </c>
      <c r="AV313" s="30">
        <v>0</v>
      </c>
      <c r="AW313" s="27">
        <v>0</v>
      </c>
      <c r="AX313" s="27">
        <v>0</v>
      </c>
      <c r="AY313" s="51">
        <v>0</v>
      </c>
      <c r="BA313" s="30">
        <v>0</v>
      </c>
      <c r="BB313" s="27">
        <v>0</v>
      </c>
      <c r="BC313" s="27">
        <v>0</v>
      </c>
      <c r="BD313" s="51">
        <v>0</v>
      </c>
      <c r="BF313" s="30">
        <v>0</v>
      </c>
      <c r="BG313" s="27">
        <v>0</v>
      </c>
      <c r="BH313" s="27">
        <v>0</v>
      </c>
      <c r="BI313" s="51">
        <v>0</v>
      </c>
      <c r="BK313" s="30">
        <v>0</v>
      </c>
      <c r="BL313" s="27">
        <v>0</v>
      </c>
      <c r="BM313" s="27">
        <v>0</v>
      </c>
      <c r="BN313" s="51">
        <v>0</v>
      </c>
      <c r="BP313" s="30">
        <v>0</v>
      </c>
      <c r="BQ313" s="20">
        <v>607906793.77693379</v>
      </c>
      <c r="BR313" s="51">
        <v>0</v>
      </c>
      <c r="BT313" s="30">
        <v>0</v>
      </c>
      <c r="BU313" s="51">
        <v>0</v>
      </c>
      <c r="BW313" s="221">
        <v>0</v>
      </c>
      <c r="BX313" s="222">
        <v>0</v>
      </c>
    </row>
    <row r="314" spans="6:76" x14ac:dyDescent="0.2">
      <c r="F314" s="151">
        <v>310</v>
      </c>
      <c r="G314" s="30">
        <v>0</v>
      </c>
      <c r="H314" s="28">
        <v>0</v>
      </c>
      <c r="I314" s="28">
        <v>0</v>
      </c>
      <c r="J314" s="28">
        <v>0</v>
      </c>
      <c r="K314" s="28">
        <v>0</v>
      </c>
      <c r="L314" s="28">
        <v>0</v>
      </c>
      <c r="M314" s="27">
        <v>0</v>
      </c>
      <c r="N314" s="27">
        <v>0</v>
      </c>
      <c r="O314" s="51">
        <v>0</v>
      </c>
      <c r="P314" s="5"/>
      <c r="Q314" s="30">
        <v>0</v>
      </c>
      <c r="R314" s="27">
        <v>0</v>
      </c>
      <c r="S314" s="27">
        <v>0</v>
      </c>
      <c r="T314" s="51">
        <v>0</v>
      </c>
      <c r="U314" s="5"/>
      <c r="V314" s="30">
        <v>0</v>
      </c>
      <c r="W314" s="51">
        <v>0</v>
      </c>
      <c r="Y314" s="30">
        <v>0</v>
      </c>
      <c r="Z314" s="27">
        <v>0</v>
      </c>
      <c r="AA314" s="27">
        <v>0</v>
      </c>
      <c r="AB314" s="51">
        <v>0</v>
      </c>
      <c r="AD314" s="30">
        <v>28628096177.194962</v>
      </c>
      <c r="AE314" s="27">
        <v>0</v>
      </c>
      <c r="AF314" s="27">
        <v>28628096177.194962</v>
      </c>
      <c r="AG314" s="51">
        <v>0</v>
      </c>
      <c r="AI314" s="30">
        <v>0</v>
      </c>
      <c r="AJ314" s="51">
        <v>0</v>
      </c>
      <c r="AL314" s="43">
        <v>0</v>
      </c>
      <c r="AM314" s="52">
        <v>0</v>
      </c>
      <c r="AN314" s="53">
        <v>0</v>
      </c>
      <c r="AO314" s="54">
        <v>0</v>
      </c>
      <c r="AQ314" s="30">
        <v>0</v>
      </c>
      <c r="AR314" s="27">
        <v>0</v>
      </c>
      <c r="AS314" s="27">
        <v>0</v>
      </c>
      <c r="AT314" s="51">
        <v>0</v>
      </c>
      <c r="AV314" s="30">
        <v>0</v>
      </c>
      <c r="AW314" s="27">
        <v>0</v>
      </c>
      <c r="AX314" s="27">
        <v>0</v>
      </c>
      <c r="AY314" s="51">
        <v>0</v>
      </c>
      <c r="BA314" s="30">
        <v>0</v>
      </c>
      <c r="BB314" s="27">
        <v>0</v>
      </c>
      <c r="BC314" s="27">
        <v>0</v>
      </c>
      <c r="BD314" s="51">
        <v>0</v>
      </c>
      <c r="BF314" s="30">
        <v>0</v>
      </c>
      <c r="BG314" s="27">
        <v>0</v>
      </c>
      <c r="BH314" s="27">
        <v>0</v>
      </c>
      <c r="BI314" s="51">
        <v>0</v>
      </c>
      <c r="BK314" s="30">
        <v>0</v>
      </c>
      <c r="BL314" s="27">
        <v>0</v>
      </c>
      <c r="BM314" s="27">
        <v>0</v>
      </c>
      <c r="BN314" s="51">
        <v>0</v>
      </c>
      <c r="BP314" s="30">
        <v>0</v>
      </c>
      <c r="BQ314" s="20">
        <v>607906793.77693379</v>
      </c>
      <c r="BR314" s="51">
        <v>0</v>
      </c>
      <c r="BT314" s="30">
        <v>0</v>
      </c>
      <c r="BU314" s="51">
        <v>0</v>
      </c>
      <c r="BW314" s="221">
        <v>0</v>
      </c>
      <c r="BX314" s="222">
        <v>0</v>
      </c>
    </row>
    <row r="315" spans="6:76" x14ac:dyDescent="0.2">
      <c r="F315" s="151">
        <v>311</v>
      </c>
      <c r="G315" s="30">
        <v>0</v>
      </c>
      <c r="H315" s="28">
        <v>0</v>
      </c>
      <c r="I315" s="28">
        <v>0</v>
      </c>
      <c r="J315" s="28">
        <v>0</v>
      </c>
      <c r="K315" s="28">
        <v>0</v>
      </c>
      <c r="L315" s="28">
        <v>0</v>
      </c>
      <c r="M315" s="27">
        <v>0</v>
      </c>
      <c r="N315" s="27">
        <v>0</v>
      </c>
      <c r="O315" s="51">
        <v>0</v>
      </c>
      <c r="P315" s="5"/>
      <c r="Q315" s="30">
        <v>0</v>
      </c>
      <c r="R315" s="27">
        <v>0</v>
      </c>
      <c r="S315" s="27">
        <v>0</v>
      </c>
      <c r="T315" s="51">
        <v>0</v>
      </c>
      <c r="U315" s="5"/>
      <c r="V315" s="30">
        <v>0</v>
      </c>
      <c r="W315" s="51">
        <v>0</v>
      </c>
      <c r="Y315" s="30">
        <v>0</v>
      </c>
      <c r="Z315" s="27">
        <v>0</v>
      </c>
      <c r="AA315" s="27">
        <v>0</v>
      </c>
      <c r="AB315" s="51">
        <v>0</v>
      </c>
      <c r="AD315" s="30">
        <v>29435816817.058483</v>
      </c>
      <c r="AE315" s="27">
        <v>0</v>
      </c>
      <c r="AF315" s="27">
        <v>29435816817.058483</v>
      </c>
      <c r="AG315" s="51">
        <v>0</v>
      </c>
      <c r="AI315" s="30">
        <v>0</v>
      </c>
      <c r="AJ315" s="51">
        <v>0</v>
      </c>
      <c r="AL315" s="43">
        <v>0</v>
      </c>
      <c r="AM315" s="52">
        <v>0</v>
      </c>
      <c r="AN315" s="53">
        <v>0</v>
      </c>
      <c r="AO315" s="54">
        <v>0</v>
      </c>
      <c r="AQ315" s="30">
        <v>0</v>
      </c>
      <c r="AR315" s="27">
        <v>0</v>
      </c>
      <c r="AS315" s="27">
        <v>0</v>
      </c>
      <c r="AT315" s="51">
        <v>0</v>
      </c>
      <c r="AV315" s="30">
        <v>0</v>
      </c>
      <c r="AW315" s="27">
        <v>0</v>
      </c>
      <c r="AX315" s="27">
        <v>0</v>
      </c>
      <c r="AY315" s="51">
        <v>0</v>
      </c>
      <c r="BA315" s="30">
        <v>0</v>
      </c>
      <c r="BB315" s="27">
        <v>0</v>
      </c>
      <c r="BC315" s="27">
        <v>0</v>
      </c>
      <c r="BD315" s="51">
        <v>0</v>
      </c>
      <c r="BF315" s="30">
        <v>0</v>
      </c>
      <c r="BG315" s="27">
        <v>0</v>
      </c>
      <c r="BH315" s="27">
        <v>0</v>
      </c>
      <c r="BI315" s="51">
        <v>0</v>
      </c>
      <c r="BK315" s="30">
        <v>0</v>
      </c>
      <c r="BL315" s="27">
        <v>0</v>
      </c>
      <c r="BM315" s="27">
        <v>0</v>
      </c>
      <c r="BN315" s="51">
        <v>0</v>
      </c>
      <c r="BP315" s="30">
        <v>0</v>
      </c>
      <c r="BQ315" s="20">
        <v>607906793.77693379</v>
      </c>
      <c r="BR315" s="51">
        <v>0</v>
      </c>
      <c r="BT315" s="30">
        <v>0</v>
      </c>
      <c r="BU315" s="51">
        <v>0</v>
      </c>
      <c r="BW315" s="221">
        <v>0</v>
      </c>
      <c r="BX315" s="222">
        <v>0</v>
      </c>
    </row>
    <row r="316" spans="6:76" x14ac:dyDescent="0.2">
      <c r="F316" s="151">
        <v>312</v>
      </c>
      <c r="G316" s="30">
        <v>0</v>
      </c>
      <c r="H316" s="28">
        <v>0</v>
      </c>
      <c r="I316" s="28">
        <v>0</v>
      </c>
      <c r="J316" s="28">
        <v>0</v>
      </c>
      <c r="K316" s="28">
        <v>0</v>
      </c>
      <c r="L316" s="28">
        <v>0</v>
      </c>
      <c r="M316" s="27">
        <v>0</v>
      </c>
      <c r="N316" s="27">
        <v>0</v>
      </c>
      <c r="O316" s="51">
        <v>0</v>
      </c>
      <c r="P316" s="5"/>
      <c r="Q316" s="30">
        <v>0</v>
      </c>
      <c r="R316" s="27">
        <v>0</v>
      </c>
      <c r="S316" s="27">
        <v>0</v>
      </c>
      <c r="T316" s="51">
        <v>0</v>
      </c>
      <c r="U316" s="5"/>
      <c r="V316" s="30">
        <v>0</v>
      </c>
      <c r="W316" s="51">
        <v>0</v>
      </c>
      <c r="Y316" s="30">
        <v>0</v>
      </c>
      <c r="Z316" s="27">
        <v>0</v>
      </c>
      <c r="AA316" s="27">
        <v>0</v>
      </c>
      <c r="AB316" s="51">
        <v>0</v>
      </c>
      <c r="AD316" s="30">
        <v>30266326699.630405</v>
      </c>
      <c r="AE316" s="27">
        <v>0</v>
      </c>
      <c r="AF316" s="27">
        <v>30266326699.630405</v>
      </c>
      <c r="AG316" s="51">
        <v>0</v>
      </c>
      <c r="AI316" s="30">
        <v>0</v>
      </c>
      <c r="AJ316" s="51">
        <v>0</v>
      </c>
      <c r="AL316" s="43">
        <v>0</v>
      </c>
      <c r="AM316" s="52">
        <v>0</v>
      </c>
      <c r="AN316" s="53">
        <v>0</v>
      </c>
      <c r="AO316" s="54">
        <v>0</v>
      </c>
      <c r="AQ316" s="30">
        <v>0</v>
      </c>
      <c r="AR316" s="27">
        <v>0</v>
      </c>
      <c r="AS316" s="27">
        <v>0</v>
      </c>
      <c r="AT316" s="51">
        <v>0</v>
      </c>
      <c r="AV316" s="30">
        <v>0</v>
      </c>
      <c r="AW316" s="27">
        <v>0</v>
      </c>
      <c r="AX316" s="27">
        <v>0</v>
      </c>
      <c r="AY316" s="51">
        <v>0</v>
      </c>
      <c r="BA316" s="30">
        <v>0</v>
      </c>
      <c r="BB316" s="27">
        <v>0</v>
      </c>
      <c r="BC316" s="27">
        <v>0</v>
      </c>
      <c r="BD316" s="51">
        <v>0</v>
      </c>
      <c r="BF316" s="30">
        <v>0</v>
      </c>
      <c r="BG316" s="27">
        <v>0</v>
      </c>
      <c r="BH316" s="27">
        <v>0</v>
      </c>
      <c r="BI316" s="51">
        <v>0</v>
      </c>
      <c r="BK316" s="30">
        <v>0</v>
      </c>
      <c r="BL316" s="27">
        <v>0</v>
      </c>
      <c r="BM316" s="27">
        <v>0</v>
      </c>
      <c r="BN316" s="51">
        <v>0</v>
      </c>
      <c r="BP316" s="30">
        <v>0</v>
      </c>
      <c r="BQ316" s="20">
        <v>607906793.77693379</v>
      </c>
      <c r="BR316" s="51">
        <v>0</v>
      </c>
      <c r="BT316" s="30">
        <v>0</v>
      </c>
      <c r="BU316" s="51">
        <v>0</v>
      </c>
      <c r="BW316" s="221">
        <v>0</v>
      </c>
      <c r="BX316" s="222">
        <v>0</v>
      </c>
    </row>
    <row r="317" spans="6:76" x14ac:dyDescent="0.2">
      <c r="F317" s="151">
        <v>313</v>
      </c>
      <c r="G317" s="30">
        <v>0</v>
      </c>
      <c r="H317" s="28">
        <v>0</v>
      </c>
      <c r="I317" s="28">
        <v>0</v>
      </c>
      <c r="J317" s="28">
        <v>0</v>
      </c>
      <c r="K317" s="28">
        <v>0</v>
      </c>
      <c r="L317" s="28">
        <v>0</v>
      </c>
      <c r="M317" s="27">
        <v>0</v>
      </c>
      <c r="N317" s="27">
        <v>0</v>
      </c>
      <c r="O317" s="51">
        <v>0</v>
      </c>
      <c r="P317" s="5"/>
      <c r="Q317" s="30">
        <v>0</v>
      </c>
      <c r="R317" s="27">
        <v>0</v>
      </c>
      <c r="S317" s="27">
        <v>0</v>
      </c>
      <c r="T317" s="51">
        <v>0</v>
      </c>
      <c r="U317" s="5"/>
      <c r="V317" s="30">
        <v>0</v>
      </c>
      <c r="W317" s="51">
        <v>0</v>
      </c>
      <c r="Y317" s="30">
        <v>0</v>
      </c>
      <c r="Z317" s="27">
        <v>0</v>
      </c>
      <c r="AA317" s="27">
        <v>0</v>
      </c>
      <c r="AB317" s="51">
        <v>0</v>
      </c>
      <c r="AD317" s="30">
        <v>31120268806.602158</v>
      </c>
      <c r="AE317" s="27">
        <v>0</v>
      </c>
      <c r="AF317" s="27">
        <v>31120268806.602158</v>
      </c>
      <c r="AG317" s="51">
        <v>0</v>
      </c>
      <c r="AI317" s="30">
        <v>0</v>
      </c>
      <c r="AJ317" s="51">
        <v>0</v>
      </c>
      <c r="AL317" s="43">
        <v>0</v>
      </c>
      <c r="AM317" s="52">
        <v>0</v>
      </c>
      <c r="AN317" s="53">
        <v>0</v>
      </c>
      <c r="AO317" s="54">
        <v>0</v>
      </c>
      <c r="AQ317" s="30">
        <v>0</v>
      </c>
      <c r="AR317" s="27">
        <v>0</v>
      </c>
      <c r="AS317" s="27">
        <v>0</v>
      </c>
      <c r="AT317" s="51">
        <v>0</v>
      </c>
      <c r="AV317" s="30">
        <v>0</v>
      </c>
      <c r="AW317" s="27">
        <v>0</v>
      </c>
      <c r="AX317" s="27">
        <v>0</v>
      </c>
      <c r="AY317" s="51">
        <v>0</v>
      </c>
      <c r="BA317" s="30">
        <v>0</v>
      </c>
      <c r="BB317" s="27">
        <v>0</v>
      </c>
      <c r="BC317" s="27">
        <v>0</v>
      </c>
      <c r="BD317" s="51">
        <v>0</v>
      </c>
      <c r="BF317" s="30">
        <v>0</v>
      </c>
      <c r="BG317" s="27">
        <v>0</v>
      </c>
      <c r="BH317" s="27">
        <v>0</v>
      </c>
      <c r="BI317" s="51">
        <v>0</v>
      </c>
      <c r="BK317" s="30">
        <v>0</v>
      </c>
      <c r="BL317" s="27">
        <v>0</v>
      </c>
      <c r="BM317" s="27">
        <v>0</v>
      </c>
      <c r="BN317" s="51">
        <v>0</v>
      </c>
      <c r="BP317" s="30">
        <v>0</v>
      </c>
      <c r="BQ317" s="20">
        <v>607906793.77693379</v>
      </c>
      <c r="BR317" s="51">
        <v>0</v>
      </c>
      <c r="BT317" s="30">
        <v>0</v>
      </c>
      <c r="BU317" s="51">
        <v>0</v>
      </c>
      <c r="BW317" s="221">
        <v>0</v>
      </c>
      <c r="BX317" s="222">
        <v>0</v>
      </c>
    </row>
    <row r="318" spans="6:76" x14ac:dyDescent="0.2">
      <c r="F318" s="151">
        <v>314</v>
      </c>
      <c r="G318" s="30">
        <v>0</v>
      </c>
      <c r="H318" s="28">
        <v>0</v>
      </c>
      <c r="I318" s="28">
        <v>0</v>
      </c>
      <c r="J318" s="28">
        <v>0</v>
      </c>
      <c r="K318" s="28">
        <v>0</v>
      </c>
      <c r="L318" s="28">
        <v>0</v>
      </c>
      <c r="M318" s="27">
        <v>0</v>
      </c>
      <c r="N318" s="27">
        <v>0</v>
      </c>
      <c r="O318" s="51">
        <v>0</v>
      </c>
      <c r="P318" s="5"/>
      <c r="Q318" s="30">
        <v>0</v>
      </c>
      <c r="R318" s="27">
        <v>0</v>
      </c>
      <c r="S318" s="27">
        <v>0</v>
      </c>
      <c r="T318" s="51">
        <v>0</v>
      </c>
      <c r="U318" s="5"/>
      <c r="V318" s="30">
        <v>0</v>
      </c>
      <c r="W318" s="51">
        <v>0</v>
      </c>
      <c r="Y318" s="30">
        <v>0</v>
      </c>
      <c r="Z318" s="27">
        <v>0</v>
      </c>
      <c r="AA318" s="27">
        <v>0</v>
      </c>
      <c r="AB318" s="51">
        <v>0</v>
      </c>
      <c r="AD318" s="30">
        <v>31998304260.91983</v>
      </c>
      <c r="AE318" s="27">
        <v>0</v>
      </c>
      <c r="AF318" s="27">
        <v>31998304260.91983</v>
      </c>
      <c r="AG318" s="51">
        <v>0</v>
      </c>
      <c r="AI318" s="30">
        <v>0</v>
      </c>
      <c r="AJ318" s="51">
        <v>0</v>
      </c>
      <c r="AL318" s="43">
        <v>0</v>
      </c>
      <c r="AM318" s="52">
        <v>0</v>
      </c>
      <c r="AN318" s="53">
        <v>0</v>
      </c>
      <c r="AO318" s="54">
        <v>0</v>
      </c>
      <c r="AQ318" s="30">
        <v>0</v>
      </c>
      <c r="AR318" s="27">
        <v>0</v>
      </c>
      <c r="AS318" s="27">
        <v>0</v>
      </c>
      <c r="AT318" s="51">
        <v>0</v>
      </c>
      <c r="AV318" s="30">
        <v>0</v>
      </c>
      <c r="AW318" s="27">
        <v>0</v>
      </c>
      <c r="AX318" s="27">
        <v>0</v>
      </c>
      <c r="AY318" s="51">
        <v>0</v>
      </c>
      <c r="BA318" s="30">
        <v>0</v>
      </c>
      <c r="BB318" s="27">
        <v>0</v>
      </c>
      <c r="BC318" s="27">
        <v>0</v>
      </c>
      <c r="BD318" s="51">
        <v>0</v>
      </c>
      <c r="BF318" s="30">
        <v>0</v>
      </c>
      <c r="BG318" s="27">
        <v>0</v>
      </c>
      <c r="BH318" s="27">
        <v>0</v>
      </c>
      <c r="BI318" s="51">
        <v>0</v>
      </c>
      <c r="BK318" s="30">
        <v>0</v>
      </c>
      <c r="BL318" s="27">
        <v>0</v>
      </c>
      <c r="BM318" s="27">
        <v>0</v>
      </c>
      <c r="BN318" s="51">
        <v>0</v>
      </c>
      <c r="BP318" s="30">
        <v>0</v>
      </c>
      <c r="BQ318" s="20">
        <v>607906793.77693379</v>
      </c>
      <c r="BR318" s="51">
        <v>0</v>
      </c>
      <c r="BT318" s="30">
        <v>0</v>
      </c>
      <c r="BU318" s="51">
        <v>0</v>
      </c>
      <c r="BW318" s="221">
        <v>0</v>
      </c>
      <c r="BX318" s="222">
        <v>0</v>
      </c>
    </row>
    <row r="319" spans="6:76" x14ac:dyDescent="0.2">
      <c r="F319" s="151">
        <v>315</v>
      </c>
      <c r="G319" s="30">
        <v>0</v>
      </c>
      <c r="H319" s="28">
        <v>0</v>
      </c>
      <c r="I319" s="28">
        <v>0</v>
      </c>
      <c r="J319" s="28">
        <v>0</v>
      </c>
      <c r="K319" s="28">
        <v>0</v>
      </c>
      <c r="L319" s="28">
        <v>0</v>
      </c>
      <c r="M319" s="27">
        <v>0</v>
      </c>
      <c r="N319" s="27">
        <v>0</v>
      </c>
      <c r="O319" s="51">
        <v>0</v>
      </c>
      <c r="P319" s="5"/>
      <c r="Q319" s="30">
        <v>0</v>
      </c>
      <c r="R319" s="27">
        <v>0</v>
      </c>
      <c r="S319" s="27">
        <v>0</v>
      </c>
      <c r="T319" s="51">
        <v>0</v>
      </c>
      <c r="U319" s="5"/>
      <c r="V319" s="30">
        <v>0</v>
      </c>
      <c r="W319" s="51">
        <v>0</v>
      </c>
      <c r="Y319" s="30">
        <v>0</v>
      </c>
      <c r="Z319" s="27">
        <v>0</v>
      </c>
      <c r="AA319" s="27">
        <v>0</v>
      </c>
      <c r="AB319" s="51">
        <v>0</v>
      </c>
      <c r="AD319" s="30">
        <v>32901112838.626312</v>
      </c>
      <c r="AE319" s="27">
        <v>0</v>
      </c>
      <c r="AF319" s="27">
        <v>32901112838.626312</v>
      </c>
      <c r="AG319" s="51">
        <v>0</v>
      </c>
      <c r="AI319" s="30">
        <v>0</v>
      </c>
      <c r="AJ319" s="51">
        <v>0</v>
      </c>
      <c r="AL319" s="43">
        <v>0</v>
      </c>
      <c r="AM319" s="52">
        <v>0</v>
      </c>
      <c r="AN319" s="53">
        <v>0</v>
      </c>
      <c r="AO319" s="54">
        <v>0</v>
      </c>
      <c r="AQ319" s="30">
        <v>0</v>
      </c>
      <c r="AR319" s="27">
        <v>0</v>
      </c>
      <c r="AS319" s="27">
        <v>0</v>
      </c>
      <c r="AT319" s="51">
        <v>0</v>
      </c>
      <c r="AV319" s="30">
        <v>0</v>
      </c>
      <c r="AW319" s="27">
        <v>0</v>
      </c>
      <c r="AX319" s="27">
        <v>0</v>
      </c>
      <c r="AY319" s="51">
        <v>0</v>
      </c>
      <c r="BA319" s="30">
        <v>0</v>
      </c>
      <c r="BB319" s="27">
        <v>0</v>
      </c>
      <c r="BC319" s="27">
        <v>0</v>
      </c>
      <c r="BD319" s="51">
        <v>0</v>
      </c>
      <c r="BF319" s="30">
        <v>0</v>
      </c>
      <c r="BG319" s="27">
        <v>0</v>
      </c>
      <c r="BH319" s="27">
        <v>0</v>
      </c>
      <c r="BI319" s="51">
        <v>0</v>
      </c>
      <c r="BK319" s="30">
        <v>0</v>
      </c>
      <c r="BL319" s="27">
        <v>0</v>
      </c>
      <c r="BM319" s="27">
        <v>0</v>
      </c>
      <c r="BN319" s="51">
        <v>0</v>
      </c>
      <c r="BP319" s="30">
        <v>0</v>
      </c>
      <c r="BQ319" s="20">
        <v>607906793.77693379</v>
      </c>
      <c r="BR319" s="51">
        <v>0</v>
      </c>
      <c r="BT319" s="30">
        <v>0</v>
      </c>
      <c r="BU319" s="51">
        <v>0</v>
      </c>
      <c r="BW319" s="221">
        <v>0</v>
      </c>
      <c r="BX319" s="222">
        <v>0</v>
      </c>
    </row>
    <row r="320" spans="6:76" x14ac:dyDescent="0.2">
      <c r="F320" s="151">
        <v>316</v>
      </c>
      <c r="G320" s="30">
        <v>0</v>
      </c>
      <c r="H320" s="28">
        <v>0</v>
      </c>
      <c r="I320" s="28">
        <v>0</v>
      </c>
      <c r="J320" s="28">
        <v>0</v>
      </c>
      <c r="K320" s="28">
        <v>0</v>
      </c>
      <c r="L320" s="28">
        <v>0</v>
      </c>
      <c r="M320" s="27">
        <v>0</v>
      </c>
      <c r="N320" s="27">
        <v>0</v>
      </c>
      <c r="O320" s="51">
        <v>0</v>
      </c>
      <c r="P320" s="5"/>
      <c r="Q320" s="30">
        <v>0</v>
      </c>
      <c r="R320" s="27">
        <v>0</v>
      </c>
      <c r="S320" s="27">
        <v>0</v>
      </c>
      <c r="T320" s="51">
        <v>0</v>
      </c>
      <c r="U320" s="5"/>
      <c r="V320" s="30">
        <v>0</v>
      </c>
      <c r="W320" s="51">
        <v>0</v>
      </c>
      <c r="Y320" s="30">
        <v>0</v>
      </c>
      <c r="Z320" s="27">
        <v>0</v>
      </c>
      <c r="AA320" s="27">
        <v>0</v>
      </c>
      <c r="AB320" s="51">
        <v>0</v>
      </c>
      <c r="AD320" s="30">
        <v>33829393495.144665</v>
      </c>
      <c r="AE320" s="27">
        <v>0</v>
      </c>
      <c r="AF320" s="27">
        <v>33829393495.144665</v>
      </c>
      <c r="AG320" s="51">
        <v>0</v>
      </c>
      <c r="AI320" s="30">
        <v>0</v>
      </c>
      <c r="AJ320" s="51">
        <v>0</v>
      </c>
      <c r="AL320" s="43">
        <v>0</v>
      </c>
      <c r="AM320" s="52">
        <v>0</v>
      </c>
      <c r="AN320" s="53">
        <v>0</v>
      </c>
      <c r="AO320" s="54">
        <v>0</v>
      </c>
      <c r="AQ320" s="30">
        <v>0</v>
      </c>
      <c r="AR320" s="27">
        <v>0</v>
      </c>
      <c r="AS320" s="27">
        <v>0</v>
      </c>
      <c r="AT320" s="51">
        <v>0</v>
      </c>
      <c r="AV320" s="30">
        <v>0</v>
      </c>
      <c r="AW320" s="27">
        <v>0</v>
      </c>
      <c r="AX320" s="27">
        <v>0</v>
      </c>
      <c r="AY320" s="51">
        <v>0</v>
      </c>
      <c r="BA320" s="30">
        <v>0</v>
      </c>
      <c r="BB320" s="27">
        <v>0</v>
      </c>
      <c r="BC320" s="27">
        <v>0</v>
      </c>
      <c r="BD320" s="51">
        <v>0</v>
      </c>
      <c r="BF320" s="30">
        <v>0</v>
      </c>
      <c r="BG320" s="27">
        <v>0</v>
      </c>
      <c r="BH320" s="27">
        <v>0</v>
      </c>
      <c r="BI320" s="51">
        <v>0</v>
      </c>
      <c r="BK320" s="30">
        <v>0</v>
      </c>
      <c r="BL320" s="27">
        <v>0</v>
      </c>
      <c r="BM320" s="27">
        <v>0</v>
      </c>
      <c r="BN320" s="51">
        <v>0</v>
      </c>
      <c r="BP320" s="30">
        <v>0</v>
      </c>
      <c r="BQ320" s="20">
        <v>607906793.77693379</v>
      </c>
      <c r="BR320" s="51">
        <v>0</v>
      </c>
      <c r="BT320" s="30">
        <v>0</v>
      </c>
      <c r="BU320" s="51">
        <v>0</v>
      </c>
      <c r="BW320" s="221">
        <v>0</v>
      </c>
      <c r="BX320" s="222">
        <v>0</v>
      </c>
    </row>
    <row r="321" spans="6:76" x14ac:dyDescent="0.2">
      <c r="F321" s="151">
        <v>317</v>
      </c>
      <c r="G321" s="30">
        <v>0</v>
      </c>
      <c r="H321" s="28">
        <v>0</v>
      </c>
      <c r="I321" s="28">
        <v>0</v>
      </c>
      <c r="J321" s="28">
        <v>0</v>
      </c>
      <c r="K321" s="28">
        <v>0</v>
      </c>
      <c r="L321" s="28">
        <v>0</v>
      </c>
      <c r="M321" s="27">
        <v>0</v>
      </c>
      <c r="N321" s="27">
        <v>0</v>
      </c>
      <c r="O321" s="51">
        <v>0</v>
      </c>
      <c r="P321" s="5"/>
      <c r="Q321" s="30">
        <v>0</v>
      </c>
      <c r="R321" s="27">
        <v>0</v>
      </c>
      <c r="S321" s="27">
        <v>0</v>
      </c>
      <c r="T321" s="51">
        <v>0</v>
      </c>
      <c r="U321" s="5"/>
      <c r="V321" s="30">
        <v>0</v>
      </c>
      <c r="W321" s="51">
        <v>0</v>
      </c>
      <c r="Y321" s="30">
        <v>0</v>
      </c>
      <c r="Z321" s="27">
        <v>0</v>
      </c>
      <c r="AA321" s="27">
        <v>0</v>
      </c>
      <c r="AB321" s="51">
        <v>0</v>
      </c>
      <c r="AD321" s="30">
        <v>34783864906.41021</v>
      </c>
      <c r="AE321" s="27">
        <v>0</v>
      </c>
      <c r="AF321" s="27">
        <v>34783864906.41021</v>
      </c>
      <c r="AG321" s="51">
        <v>0</v>
      </c>
      <c r="AI321" s="30">
        <v>0</v>
      </c>
      <c r="AJ321" s="51">
        <v>0</v>
      </c>
      <c r="AL321" s="43">
        <v>0</v>
      </c>
      <c r="AM321" s="52">
        <v>0</v>
      </c>
      <c r="AN321" s="53">
        <v>0</v>
      </c>
      <c r="AO321" s="54">
        <v>0</v>
      </c>
      <c r="AQ321" s="30">
        <v>0</v>
      </c>
      <c r="AR321" s="27">
        <v>0</v>
      </c>
      <c r="AS321" s="27">
        <v>0</v>
      </c>
      <c r="AT321" s="51">
        <v>0</v>
      </c>
      <c r="AV321" s="30">
        <v>0</v>
      </c>
      <c r="AW321" s="27">
        <v>0</v>
      </c>
      <c r="AX321" s="27">
        <v>0</v>
      </c>
      <c r="AY321" s="51">
        <v>0</v>
      </c>
      <c r="BA321" s="30">
        <v>0</v>
      </c>
      <c r="BB321" s="27">
        <v>0</v>
      </c>
      <c r="BC321" s="27">
        <v>0</v>
      </c>
      <c r="BD321" s="51">
        <v>0</v>
      </c>
      <c r="BF321" s="30">
        <v>0</v>
      </c>
      <c r="BG321" s="27">
        <v>0</v>
      </c>
      <c r="BH321" s="27">
        <v>0</v>
      </c>
      <c r="BI321" s="51">
        <v>0</v>
      </c>
      <c r="BK321" s="30">
        <v>0</v>
      </c>
      <c r="BL321" s="27">
        <v>0</v>
      </c>
      <c r="BM321" s="27">
        <v>0</v>
      </c>
      <c r="BN321" s="51">
        <v>0</v>
      </c>
      <c r="BP321" s="30">
        <v>0</v>
      </c>
      <c r="BQ321" s="20">
        <v>607906793.77693379</v>
      </c>
      <c r="BR321" s="51">
        <v>0</v>
      </c>
      <c r="BT321" s="30">
        <v>0</v>
      </c>
      <c r="BU321" s="51">
        <v>0</v>
      </c>
      <c r="BW321" s="221">
        <v>0</v>
      </c>
      <c r="BX321" s="222">
        <v>0</v>
      </c>
    </row>
    <row r="322" spans="6:76" x14ac:dyDescent="0.2">
      <c r="F322" s="151">
        <v>318</v>
      </c>
      <c r="G322" s="30">
        <v>0</v>
      </c>
      <c r="H322" s="28">
        <v>0</v>
      </c>
      <c r="I322" s="28">
        <v>0</v>
      </c>
      <c r="J322" s="28">
        <v>0</v>
      </c>
      <c r="K322" s="28">
        <v>0</v>
      </c>
      <c r="L322" s="28">
        <v>0</v>
      </c>
      <c r="M322" s="27">
        <v>0</v>
      </c>
      <c r="N322" s="27">
        <v>0</v>
      </c>
      <c r="O322" s="51">
        <v>0</v>
      </c>
      <c r="P322" s="5"/>
      <c r="Q322" s="30">
        <v>0</v>
      </c>
      <c r="R322" s="27">
        <v>0</v>
      </c>
      <c r="S322" s="27">
        <v>0</v>
      </c>
      <c r="T322" s="51">
        <v>0</v>
      </c>
      <c r="U322" s="5"/>
      <c r="V322" s="30">
        <v>0</v>
      </c>
      <c r="W322" s="51">
        <v>0</v>
      </c>
      <c r="Y322" s="30">
        <v>0</v>
      </c>
      <c r="Z322" s="27">
        <v>0</v>
      </c>
      <c r="AA322" s="27">
        <v>0</v>
      </c>
      <c r="AB322" s="51">
        <v>0</v>
      </c>
      <c r="AD322" s="30">
        <v>35765266025.270248</v>
      </c>
      <c r="AE322" s="27">
        <v>0</v>
      </c>
      <c r="AF322" s="27">
        <v>35765266025.270248</v>
      </c>
      <c r="AG322" s="51">
        <v>0</v>
      </c>
      <c r="AI322" s="30">
        <v>0</v>
      </c>
      <c r="AJ322" s="51">
        <v>0</v>
      </c>
      <c r="AL322" s="43">
        <v>0</v>
      </c>
      <c r="AM322" s="52">
        <v>0</v>
      </c>
      <c r="AN322" s="53">
        <v>0</v>
      </c>
      <c r="AO322" s="54">
        <v>0</v>
      </c>
      <c r="AQ322" s="30">
        <v>0</v>
      </c>
      <c r="AR322" s="27">
        <v>0</v>
      </c>
      <c r="AS322" s="27">
        <v>0</v>
      </c>
      <c r="AT322" s="51">
        <v>0</v>
      </c>
      <c r="AV322" s="30">
        <v>0</v>
      </c>
      <c r="AW322" s="27">
        <v>0</v>
      </c>
      <c r="AX322" s="27">
        <v>0</v>
      </c>
      <c r="AY322" s="51">
        <v>0</v>
      </c>
      <c r="BA322" s="30">
        <v>0</v>
      </c>
      <c r="BB322" s="27">
        <v>0</v>
      </c>
      <c r="BC322" s="27">
        <v>0</v>
      </c>
      <c r="BD322" s="51">
        <v>0</v>
      </c>
      <c r="BF322" s="30">
        <v>0</v>
      </c>
      <c r="BG322" s="27">
        <v>0</v>
      </c>
      <c r="BH322" s="27">
        <v>0</v>
      </c>
      <c r="BI322" s="51">
        <v>0</v>
      </c>
      <c r="BK322" s="30">
        <v>0</v>
      </c>
      <c r="BL322" s="27">
        <v>0</v>
      </c>
      <c r="BM322" s="27">
        <v>0</v>
      </c>
      <c r="BN322" s="51">
        <v>0</v>
      </c>
      <c r="BP322" s="30">
        <v>0</v>
      </c>
      <c r="BQ322" s="20">
        <v>607906793.77693379</v>
      </c>
      <c r="BR322" s="51">
        <v>0</v>
      </c>
      <c r="BT322" s="30">
        <v>0</v>
      </c>
      <c r="BU322" s="51">
        <v>0</v>
      </c>
      <c r="BW322" s="221">
        <v>0</v>
      </c>
      <c r="BX322" s="222">
        <v>0</v>
      </c>
    </row>
    <row r="323" spans="6:76" x14ac:dyDescent="0.2">
      <c r="F323" s="151">
        <v>319</v>
      </c>
      <c r="G323" s="30">
        <v>0</v>
      </c>
      <c r="H323" s="28">
        <v>0</v>
      </c>
      <c r="I323" s="28">
        <v>0</v>
      </c>
      <c r="J323" s="28">
        <v>0</v>
      </c>
      <c r="K323" s="28">
        <v>0</v>
      </c>
      <c r="L323" s="28">
        <v>0</v>
      </c>
      <c r="M323" s="27">
        <v>0</v>
      </c>
      <c r="N323" s="27">
        <v>0</v>
      </c>
      <c r="O323" s="51">
        <v>0</v>
      </c>
      <c r="P323" s="5"/>
      <c r="Q323" s="30">
        <v>0</v>
      </c>
      <c r="R323" s="27">
        <v>0</v>
      </c>
      <c r="S323" s="27">
        <v>0</v>
      </c>
      <c r="T323" s="51">
        <v>0</v>
      </c>
      <c r="U323" s="5"/>
      <c r="V323" s="30">
        <v>0</v>
      </c>
      <c r="W323" s="51">
        <v>0</v>
      </c>
      <c r="Y323" s="30">
        <v>0</v>
      </c>
      <c r="Z323" s="27">
        <v>0</v>
      </c>
      <c r="AA323" s="27">
        <v>0</v>
      </c>
      <c r="AB323" s="51">
        <v>0</v>
      </c>
      <c r="AD323" s="30">
        <v>36774356653.582191</v>
      </c>
      <c r="AE323" s="27">
        <v>0</v>
      </c>
      <c r="AF323" s="27">
        <v>36774356653.582191</v>
      </c>
      <c r="AG323" s="51">
        <v>0</v>
      </c>
      <c r="AI323" s="30">
        <v>0</v>
      </c>
      <c r="AJ323" s="51">
        <v>0</v>
      </c>
      <c r="AL323" s="43">
        <v>0</v>
      </c>
      <c r="AM323" s="52">
        <v>0</v>
      </c>
      <c r="AN323" s="53">
        <v>0</v>
      </c>
      <c r="AO323" s="54">
        <v>0</v>
      </c>
      <c r="AQ323" s="30">
        <v>0</v>
      </c>
      <c r="AR323" s="27">
        <v>0</v>
      </c>
      <c r="AS323" s="27">
        <v>0</v>
      </c>
      <c r="AT323" s="51">
        <v>0</v>
      </c>
      <c r="AV323" s="30">
        <v>0</v>
      </c>
      <c r="AW323" s="27">
        <v>0</v>
      </c>
      <c r="AX323" s="27">
        <v>0</v>
      </c>
      <c r="AY323" s="51">
        <v>0</v>
      </c>
      <c r="BA323" s="30">
        <v>0</v>
      </c>
      <c r="BB323" s="27">
        <v>0</v>
      </c>
      <c r="BC323" s="27">
        <v>0</v>
      </c>
      <c r="BD323" s="51">
        <v>0</v>
      </c>
      <c r="BF323" s="30">
        <v>0</v>
      </c>
      <c r="BG323" s="27">
        <v>0</v>
      </c>
      <c r="BH323" s="27">
        <v>0</v>
      </c>
      <c r="BI323" s="51">
        <v>0</v>
      </c>
      <c r="BK323" s="30">
        <v>0</v>
      </c>
      <c r="BL323" s="27">
        <v>0</v>
      </c>
      <c r="BM323" s="27">
        <v>0</v>
      </c>
      <c r="BN323" s="51">
        <v>0</v>
      </c>
      <c r="BP323" s="30">
        <v>0</v>
      </c>
      <c r="BQ323" s="20">
        <v>607906793.77693379</v>
      </c>
      <c r="BR323" s="51">
        <v>0</v>
      </c>
      <c r="BT323" s="30">
        <v>0</v>
      </c>
      <c r="BU323" s="51">
        <v>0</v>
      </c>
      <c r="BW323" s="221">
        <v>0</v>
      </c>
      <c r="BX323" s="222">
        <v>0</v>
      </c>
    </row>
    <row r="324" spans="6:76" x14ac:dyDescent="0.2">
      <c r="F324" s="151">
        <v>320</v>
      </c>
      <c r="G324" s="30">
        <v>0</v>
      </c>
      <c r="H324" s="28">
        <v>0</v>
      </c>
      <c r="I324" s="28">
        <v>0</v>
      </c>
      <c r="J324" s="28">
        <v>0</v>
      </c>
      <c r="K324" s="28">
        <v>0</v>
      </c>
      <c r="L324" s="28">
        <v>0</v>
      </c>
      <c r="M324" s="27">
        <v>0</v>
      </c>
      <c r="N324" s="27">
        <v>0</v>
      </c>
      <c r="O324" s="51">
        <v>0</v>
      </c>
      <c r="P324" s="5"/>
      <c r="Q324" s="30">
        <v>0</v>
      </c>
      <c r="R324" s="27">
        <v>0</v>
      </c>
      <c r="S324" s="27">
        <v>0</v>
      </c>
      <c r="T324" s="51">
        <v>0</v>
      </c>
      <c r="U324" s="5"/>
      <c r="V324" s="30">
        <v>0</v>
      </c>
      <c r="W324" s="51">
        <v>0</v>
      </c>
      <c r="Y324" s="30">
        <v>0</v>
      </c>
      <c r="Z324" s="27">
        <v>0</v>
      </c>
      <c r="AA324" s="27">
        <v>0</v>
      </c>
      <c r="AB324" s="51">
        <v>0</v>
      </c>
      <c r="AD324" s="30">
        <v>37811918030.453011</v>
      </c>
      <c r="AE324" s="27">
        <v>0</v>
      </c>
      <c r="AF324" s="27">
        <v>37811918030.453011</v>
      </c>
      <c r="AG324" s="51">
        <v>0</v>
      </c>
      <c r="AI324" s="30">
        <v>0</v>
      </c>
      <c r="AJ324" s="51">
        <v>0</v>
      </c>
      <c r="AL324" s="43">
        <v>0</v>
      </c>
      <c r="AM324" s="52">
        <v>0</v>
      </c>
      <c r="AN324" s="53">
        <v>0</v>
      </c>
      <c r="AO324" s="54">
        <v>0</v>
      </c>
      <c r="AQ324" s="30">
        <v>0</v>
      </c>
      <c r="AR324" s="27">
        <v>0</v>
      </c>
      <c r="AS324" s="27">
        <v>0</v>
      </c>
      <c r="AT324" s="51">
        <v>0</v>
      </c>
      <c r="AV324" s="30">
        <v>0</v>
      </c>
      <c r="AW324" s="27">
        <v>0</v>
      </c>
      <c r="AX324" s="27">
        <v>0</v>
      </c>
      <c r="AY324" s="51">
        <v>0</v>
      </c>
      <c r="BA324" s="30">
        <v>0</v>
      </c>
      <c r="BB324" s="27">
        <v>0</v>
      </c>
      <c r="BC324" s="27">
        <v>0</v>
      </c>
      <c r="BD324" s="51">
        <v>0</v>
      </c>
      <c r="BF324" s="30">
        <v>0</v>
      </c>
      <c r="BG324" s="27">
        <v>0</v>
      </c>
      <c r="BH324" s="27">
        <v>0</v>
      </c>
      <c r="BI324" s="51">
        <v>0</v>
      </c>
      <c r="BK324" s="30">
        <v>0</v>
      </c>
      <c r="BL324" s="27">
        <v>0</v>
      </c>
      <c r="BM324" s="27">
        <v>0</v>
      </c>
      <c r="BN324" s="51">
        <v>0</v>
      </c>
      <c r="BP324" s="30">
        <v>0</v>
      </c>
      <c r="BQ324" s="20">
        <v>607906793.77693379</v>
      </c>
      <c r="BR324" s="51">
        <v>0</v>
      </c>
      <c r="BT324" s="30">
        <v>0</v>
      </c>
      <c r="BU324" s="51">
        <v>0</v>
      </c>
      <c r="BW324" s="221">
        <v>0</v>
      </c>
      <c r="BX324" s="222">
        <v>0</v>
      </c>
    </row>
    <row r="325" spans="6:76" x14ac:dyDescent="0.2">
      <c r="F325" s="151">
        <v>321</v>
      </c>
      <c r="G325" s="30">
        <v>0</v>
      </c>
      <c r="H325" s="28">
        <v>0</v>
      </c>
      <c r="I325" s="28">
        <v>0</v>
      </c>
      <c r="J325" s="28">
        <v>0</v>
      </c>
      <c r="K325" s="28">
        <v>0</v>
      </c>
      <c r="L325" s="28">
        <v>0</v>
      </c>
      <c r="M325" s="27">
        <v>0</v>
      </c>
      <c r="N325" s="27">
        <v>0</v>
      </c>
      <c r="O325" s="51">
        <v>0</v>
      </c>
      <c r="P325" s="5"/>
      <c r="Q325" s="30">
        <v>0</v>
      </c>
      <c r="R325" s="27">
        <v>0</v>
      </c>
      <c r="S325" s="27">
        <v>0</v>
      </c>
      <c r="T325" s="51">
        <v>0</v>
      </c>
      <c r="U325" s="5"/>
      <c r="V325" s="30">
        <v>0</v>
      </c>
      <c r="W325" s="51">
        <v>0</v>
      </c>
      <c r="Y325" s="30">
        <v>0</v>
      </c>
      <c r="Z325" s="27">
        <v>0</v>
      </c>
      <c r="AA325" s="27">
        <v>0</v>
      </c>
      <c r="AB325" s="51">
        <v>0</v>
      </c>
      <c r="AD325" s="30">
        <v>38878753437.075462</v>
      </c>
      <c r="AE325" s="27">
        <v>0</v>
      </c>
      <c r="AF325" s="27">
        <v>38878753437.075462</v>
      </c>
      <c r="AG325" s="51">
        <v>0</v>
      </c>
      <c r="AI325" s="30">
        <v>0</v>
      </c>
      <c r="AJ325" s="51">
        <v>0</v>
      </c>
      <c r="AL325" s="43">
        <v>0</v>
      </c>
      <c r="AM325" s="52">
        <v>0</v>
      </c>
      <c r="AN325" s="53">
        <v>0</v>
      </c>
      <c r="AO325" s="54">
        <v>0</v>
      </c>
      <c r="AQ325" s="30">
        <v>0</v>
      </c>
      <c r="AR325" s="27">
        <v>0</v>
      </c>
      <c r="AS325" s="27">
        <v>0</v>
      </c>
      <c r="AT325" s="51">
        <v>0</v>
      </c>
      <c r="AV325" s="30">
        <v>0</v>
      </c>
      <c r="AW325" s="27">
        <v>0</v>
      </c>
      <c r="AX325" s="27">
        <v>0</v>
      </c>
      <c r="AY325" s="51">
        <v>0</v>
      </c>
      <c r="BA325" s="30">
        <v>0</v>
      </c>
      <c r="BB325" s="27">
        <v>0</v>
      </c>
      <c r="BC325" s="27">
        <v>0</v>
      </c>
      <c r="BD325" s="51">
        <v>0</v>
      </c>
      <c r="BF325" s="30">
        <v>0</v>
      </c>
      <c r="BG325" s="27">
        <v>0</v>
      </c>
      <c r="BH325" s="27">
        <v>0</v>
      </c>
      <c r="BI325" s="51">
        <v>0</v>
      </c>
      <c r="BK325" s="30">
        <v>0</v>
      </c>
      <c r="BL325" s="27">
        <v>0</v>
      </c>
      <c r="BM325" s="27">
        <v>0</v>
      </c>
      <c r="BN325" s="51">
        <v>0</v>
      </c>
      <c r="BP325" s="30">
        <v>0</v>
      </c>
      <c r="BQ325" s="20">
        <v>607906793.77693379</v>
      </c>
      <c r="BR325" s="51">
        <v>0</v>
      </c>
      <c r="BT325" s="30">
        <v>0</v>
      </c>
      <c r="BU325" s="51">
        <v>0</v>
      </c>
      <c r="BW325" s="221">
        <v>0</v>
      </c>
      <c r="BX325" s="222">
        <v>0</v>
      </c>
    </row>
    <row r="326" spans="6:76" x14ac:dyDescent="0.2">
      <c r="F326" s="151">
        <v>322</v>
      </c>
      <c r="G326" s="30">
        <v>0</v>
      </c>
      <c r="H326" s="28">
        <v>0</v>
      </c>
      <c r="I326" s="28">
        <v>0</v>
      </c>
      <c r="J326" s="28">
        <v>0</v>
      </c>
      <c r="K326" s="28">
        <v>0</v>
      </c>
      <c r="L326" s="28">
        <v>0</v>
      </c>
      <c r="M326" s="27">
        <v>0</v>
      </c>
      <c r="N326" s="27">
        <v>0</v>
      </c>
      <c r="O326" s="51">
        <v>0</v>
      </c>
      <c r="P326" s="5"/>
      <c r="Q326" s="30">
        <v>0</v>
      </c>
      <c r="R326" s="27">
        <v>0</v>
      </c>
      <c r="S326" s="27">
        <v>0</v>
      </c>
      <c r="T326" s="51">
        <v>0</v>
      </c>
      <c r="U326" s="5"/>
      <c r="V326" s="30">
        <v>0</v>
      </c>
      <c r="W326" s="51">
        <v>0</v>
      </c>
      <c r="Y326" s="30">
        <v>0</v>
      </c>
      <c r="Z326" s="27">
        <v>0</v>
      </c>
      <c r="AA326" s="27">
        <v>0</v>
      </c>
      <c r="AB326" s="51">
        <v>0</v>
      </c>
      <c r="AD326" s="30">
        <v>39975688818.629272</v>
      </c>
      <c r="AE326" s="27">
        <v>0</v>
      </c>
      <c r="AF326" s="27">
        <v>39975688818.629272</v>
      </c>
      <c r="AG326" s="51">
        <v>0</v>
      </c>
      <c r="AI326" s="30">
        <v>0</v>
      </c>
      <c r="AJ326" s="51">
        <v>0</v>
      </c>
      <c r="AL326" s="43">
        <v>0</v>
      </c>
      <c r="AM326" s="52">
        <v>0</v>
      </c>
      <c r="AN326" s="53">
        <v>0</v>
      </c>
      <c r="AO326" s="54">
        <v>0</v>
      </c>
      <c r="AQ326" s="30">
        <v>0</v>
      </c>
      <c r="AR326" s="27">
        <v>0</v>
      </c>
      <c r="AS326" s="27">
        <v>0</v>
      </c>
      <c r="AT326" s="51">
        <v>0</v>
      </c>
      <c r="AV326" s="30">
        <v>0</v>
      </c>
      <c r="AW326" s="27">
        <v>0</v>
      </c>
      <c r="AX326" s="27">
        <v>0</v>
      </c>
      <c r="AY326" s="51">
        <v>0</v>
      </c>
      <c r="BA326" s="30">
        <v>0</v>
      </c>
      <c r="BB326" s="27">
        <v>0</v>
      </c>
      <c r="BC326" s="27">
        <v>0</v>
      </c>
      <c r="BD326" s="51">
        <v>0</v>
      </c>
      <c r="BF326" s="30">
        <v>0</v>
      </c>
      <c r="BG326" s="27">
        <v>0</v>
      </c>
      <c r="BH326" s="27">
        <v>0</v>
      </c>
      <c r="BI326" s="51">
        <v>0</v>
      </c>
      <c r="BK326" s="30">
        <v>0</v>
      </c>
      <c r="BL326" s="27">
        <v>0</v>
      </c>
      <c r="BM326" s="27">
        <v>0</v>
      </c>
      <c r="BN326" s="51">
        <v>0</v>
      </c>
      <c r="BP326" s="30">
        <v>0</v>
      </c>
      <c r="BQ326" s="20">
        <v>607906793.77693379</v>
      </c>
      <c r="BR326" s="51">
        <v>0</v>
      </c>
      <c r="BT326" s="30">
        <v>0</v>
      </c>
      <c r="BU326" s="51">
        <v>0</v>
      </c>
      <c r="BW326" s="221">
        <v>0</v>
      </c>
      <c r="BX326" s="222">
        <v>0</v>
      </c>
    </row>
    <row r="327" spans="6:76" x14ac:dyDescent="0.2">
      <c r="F327" s="151">
        <v>323</v>
      </c>
      <c r="G327" s="30">
        <v>0</v>
      </c>
      <c r="H327" s="28">
        <v>0</v>
      </c>
      <c r="I327" s="28">
        <v>0</v>
      </c>
      <c r="J327" s="28">
        <v>0</v>
      </c>
      <c r="K327" s="28">
        <v>0</v>
      </c>
      <c r="L327" s="28">
        <v>0</v>
      </c>
      <c r="M327" s="27">
        <v>0</v>
      </c>
      <c r="N327" s="27">
        <v>0</v>
      </c>
      <c r="O327" s="51">
        <v>0</v>
      </c>
      <c r="P327" s="5"/>
      <c r="Q327" s="30">
        <v>0</v>
      </c>
      <c r="R327" s="27">
        <v>0</v>
      </c>
      <c r="S327" s="27">
        <v>0</v>
      </c>
      <c r="T327" s="51">
        <v>0</v>
      </c>
      <c r="U327" s="5"/>
      <c r="V327" s="30">
        <v>0</v>
      </c>
      <c r="W327" s="51">
        <v>0</v>
      </c>
      <c r="Y327" s="30">
        <v>0</v>
      </c>
      <c r="Z327" s="27">
        <v>0</v>
      </c>
      <c r="AA327" s="27">
        <v>0</v>
      </c>
      <c r="AB327" s="51">
        <v>0</v>
      </c>
      <c r="AD327" s="30">
        <v>41103573423.728851</v>
      </c>
      <c r="AE327" s="27">
        <v>0</v>
      </c>
      <c r="AF327" s="27">
        <v>41103573423.728851</v>
      </c>
      <c r="AG327" s="51">
        <v>0</v>
      </c>
      <c r="AI327" s="30">
        <v>0</v>
      </c>
      <c r="AJ327" s="51">
        <v>0</v>
      </c>
      <c r="AL327" s="43">
        <v>0</v>
      </c>
      <c r="AM327" s="52">
        <v>0</v>
      </c>
      <c r="AN327" s="53">
        <v>0</v>
      </c>
      <c r="AO327" s="54">
        <v>0</v>
      </c>
      <c r="AQ327" s="30">
        <v>0</v>
      </c>
      <c r="AR327" s="27">
        <v>0</v>
      </c>
      <c r="AS327" s="27">
        <v>0</v>
      </c>
      <c r="AT327" s="51">
        <v>0</v>
      </c>
      <c r="AV327" s="30">
        <v>0</v>
      </c>
      <c r="AW327" s="27">
        <v>0</v>
      </c>
      <c r="AX327" s="27">
        <v>0</v>
      </c>
      <c r="AY327" s="51">
        <v>0</v>
      </c>
      <c r="BA327" s="30">
        <v>0</v>
      </c>
      <c r="BB327" s="27">
        <v>0</v>
      </c>
      <c r="BC327" s="27">
        <v>0</v>
      </c>
      <c r="BD327" s="51">
        <v>0</v>
      </c>
      <c r="BF327" s="30">
        <v>0</v>
      </c>
      <c r="BG327" s="27">
        <v>0</v>
      </c>
      <c r="BH327" s="27">
        <v>0</v>
      </c>
      <c r="BI327" s="51">
        <v>0</v>
      </c>
      <c r="BK327" s="30">
        <v>0</v>
      </c>
      <c r="BL327" s="27">
        <v>0</v>
      </c>
      <c r="BM327" s="27">
        <v>0</v>
      </c>
      <c r="BN327" s="51">
        <v>0</v>
      </c>
      <c r="BP327" s="30">
        <v>0</v>
      </c>
      <c r="BQ327" s="20">
        <v>607906793.77693379</v>
      </c>
      <c r="BR327" s="51">
        <v>0</v>
      </c>
      <c r="BT327" s="30">
        <v>0</v>
      </c>
      <c r="BU327" s="51">
        <v>0</v>
      </c>
      <c r="BW327" s="221">
        <v>0</v>
      </c>
      <c r="BX327" s="222">
        <v>0</v>
      </c>
    </row>
    <row r="328" spans="6:76" x14ac:dyDescent="0.2">
      <c r="F328" s="151">
        <v>324</v>
      </c>
      <c r="G328" s="30">
        <v>0</v>
      </c>
      <c r="H328" s="28">
        <v>0</v>
      </c>
      <c r="I328" s="28">
        <v>0</v>
      </c>
      <c r="J328" s="28">
        <v>0</v>
      </c>
      <c r="K328" s="28">
        <v>0</v>
      </c>
      <c r="L328" s="28">
        <v>0</v>
      </c>
      <c r="M328" s="27">
        <v>0</v>
      </c>
      <c r="N328" s="27">
        <v>0</v>
      </c>
      <c r="O328" s="51">
        <v>0</v>
      </c>
      <c r="P328" s="5"/>
      <c r="Q328" s="30">
        <v>0</v>
      </c>
      <c r="R328" s="27">
        <v>0</v>
      </c>
      <c r="S328" s="27">
        <v>0</v>
      </c>
      <c r="T328" s="51">
        <v>0</v>
      </c>
      <c r="U328" s="5"/>
      <c r="V328" s="30">
        <v>0</v>
      </c>
      <c r="W328" s="51">
        <v>0</v>
      </c>
      <c r="Y328" s="30">
        <v>0</v>
      </c>
      <c r="Z328" s="27">
        <v>0</v>
      </c>
      <c r="AA328" s="27">
        <v>0</v>
      </c>
      <c r="AB328" s="51">
        <v>0</v>
      </c>
      <c r="AD328" s="30">
        <v>42263280461.912498</v>
      </c>
      <c r="AE328" s="27">
        <v>0</v>
      </c>
      <c r="AF328" s="27">
        <v>42263280461.912498</v>
      </c>
      <c r="AG328" s="51">
        <v>0</v>
      </c>
      <c r="AI328" s="30">
        <v>0</v>
      </c>
      <c r="AJ328" s="51">
        <v>0</v>
      </c>
      <c r="AL328" s="43">
        <v>0</v>
      </c>
      <c r="AM328" s="52">
        <v>0</v>
      </c>
      <c r="AN328" s="53">
        <v>0</v>
      </c>
      <c r="AO328" s="54">
        <v>0</v>
      </c>
      <c r="AQ328" s="30">
        <v>0</v>
      </c>
      <c r="AR328" s="27">
        <v>0</v>
      </c>
      <c r="AS328" s="27">
        <v>0</v>
      </c>
      <c r="AT328" s="51">
        <v>0</v>
      </c>
      <c r="AV328" s="30">
        <v>0</v>
      </c>
      <c r="AW328" s="27">
        <v>0</v>
      </c>
      <c r="AX328" s="27">
        <v>0</v>
      </c>
      <c r="AY328" s="51">
        <v>0</v>
      </c>
      <c r="BA328" s="30">
        <v>0</v>
      </c>
      <c r="BB328" s="27">
        <v>0</v>
      </c>
      <c r="BC328" s="27">
        <v>0</v>
      </c>
      <c r="BD328" s="51">
        <v>0</v>
      </c>
      <c r="BF328" s="30">
        <v>0</v>
      </c>
      <c r="BG328" s="27">
        <v>0</v>
      </c>
      <c r="BH328" s="27">
        <v>0</v>
      </c>
      <c r="BI328" s="51">
        <v>0</v>
      </c>
      <c r="BK328" s="30">
        <v>0</v>
      </c>
      <c r="BL328" s="27">
        <v>0</v>
      </c>
      <c r="BM328" s="27">
        <v>0</v>
      </c>
      <c r="BN328" s="51">
        <v>0</v>
      </c>
      <c r="BP328" s="30">
        <v>0</v>
      </c>
      <c r="BQ328" s="20">
        <v>607906793.77693379</v>
      </c>
      <c r="BR328" s="51">
        <v>0</v>
      </c>
      <c r="BT328" s="30">
        <v>0</v>
      </c>
      <c r="BU328" s="51">
        <v>0</v>
      </c>
      <c r="BW328" s="221">
        <v>0</v>
      </c>
      <c r="BX328" s="222">
        <v>0</v>
      </c>
    </row>
    <row r="329" spans="6:76" x14ac:dyDescent="0.2">
      <c r="F329" s="151">
        <v>325</v>
      </c>
      <c r="G329" s="30">
        <v>0</v>
      </c>
      <c r="H329" s="28">
        <v>0</v>
      </c>
      <c r="I329" s="28">
        <v>0</v>
      </c>
      <c r="J329" s="28">
        <v>0</v>
      </c>
      <c r="K329" s="28">
        <v>0</v>
      </c>
      <c r="L329" s="28">
        <v>0</v>
      </c>
      <c r="M329" s="27">
        <v>0</v>
      </c>
      <c r="N329" s="27">
        <v>0</v>
      </c>
      <c r="O329" s="51">
        <v>0</v>
      </c>
      <c r="P329" s="5"/>
      <c r="Q329" s="30">
        <v>0</v>
      </c>
      <c r="R329" s="27">
        <v>0</v>
      </c>
      <c r="S329" s="27">
        <v>0</v>
      </c>
      <c r="T329" s="51">
        <v>0</v>
      </c>
      <c r="U329" s="5"/>
      <c r="V329" s="30">
        <v>0</v>
      </c>
      <c r="W329" s="51">
        <v>0</v>
      </c>
      <c r="Y329" s="30">
        <v>0</v>
      </c>
      <c r="Z329" s="27">
        <v>0</v>
      </c>
      <c r="AA329" s="27">
        <v>0</v>
      </c>
      <c r="AB329" s="51">
        <v>0</v>
      </c>
      <c r="AD329" s="30">
        <v>43455707779.682259</v>
      </c>
      <c r="AE329" s="27">
        <v>0</v>
      </c>
      <c r="AF329" s="27">
        <v>43455707779.682259</v>
      </c>
      <c r="AG329" s="51">
        <v>0</v>
      </c>
      <c r="AI329" s="30">
        <v>0</v>
      </c>
      <c r="AJ329" s="51">
        <v>0</v>
      </c>
      <c r="AL329" s="43">
        <v>0</v>
      </c>
      <c r="AM329" s="52">
        <v>0</v>
      </c>
      <c r="AN329" s="53">
        <v>0</v>
      </c>
      <c r="AO329" s="54">
        <v>0</v>
      </c>
      <c r="AQ329" s="30">
        <v>0</v>
      </c>
      <c r="AR329" s="27">
        <v>0</v>
      </c>
      <c r="AS329" s="27">
        <v>0</v>
      </c>
      <c r="AT329" s="51">
        <v>0</v>
      </c>
      <c r="AV329" s="30">
        <v>0</v>
      </c>
      <c r="AW329" s="27">
        <v>0</v>
      </c>
      <c r="AX329" s="27">
        <v>0</v>
      </c>
      <c r="AY329" s="51">
        <v>0</v>
      </c>
      <c r="BA329" s="30">
        <v>0</v>
      </c>
      <c r="BB329" s="27">
        <v>0</v>
      </c>
      <c r="BC329" s="27">
        <v>0</v>
      </c>
      <c r="BD329" s="51">
        <v>0</v>
      </c>
      <c r="BF329" s="30">
        <v>0</v>
      </c>
      <c r="BG329" s="27">
        <v>0</v>
      </c>
      <c r="BH329" s="27">
        <v>0</v>
      </c>
      <c r="BI329" s="51">
        <v>0</v>
      </c>
      <c r="BK329" s="30">
        <v>0</v>
      </c>
      <c r="BL329" s="27">
        <v>0</v>
      </c>
      <c r="BM329" s="27">
        <v>0</v>
      </c>
      <c r="BN329" s="51">
        <v>0</v>
      </c>
      <c r="BP329" s="30">
        <v>0</v>
      </c>
      <c r="BQ329" s="20">
        <v>607906793.77693379</v>
      </c>
      <c r="BR329" s="51">
        <v>0</v>
      </c>
      <c r="BT329" s="30">
        <v>0</v>
      </c>
      <c r="BU329" s="51">
        <v>0</v>
      </c>
      <c r="BW329" s="221">
        <v>0</v>
      </c>
      <c r="BX329" s="222">
        <v>0</v>
      </c>
    </row>
    <row r="330" spans="6:76" x14ac:dyDescent="0.2">
      <c r="F330" s="151">
        <v>326</v>
      </c>
      <c r="G330" s="30">
        <v>0</v>
      </c>
      <c r="H330" s="28">
        <v>0</v>
      </c>
      <c r="I330" s="28">
        <v>0</v>
      </c>
      <c r="J330" s="28">
        <v>0</v>
      </c>
      <c r="K330" s="28">
        <v>0</v>
      </c>
      <c r="L330" s="28">
        <v>0</v>
      </c>
      <c r="M330" s="27">
        <v>0</v>
      </c>
      <c r="N330" s="27">
        <v>0</v>
      </c>
      <c r="O330" s="51">
        <v>0</v>
      </c>
      <c r="P330" s="5"/>
      <c r="Q330" s="30">
        <v>0</v>
      </c>
      <c r="R330" s="27">
        <v>0</v>
      </c>
      <c r="S330" s="27">
        <v>0</v>
      </c>
      <c r="T330" s="51">
        <v>0</v>
      </c>
      <c r="U330" s="5"/>
      <c r="V330" s="30">
        <v>0</v>
      </c>
      <c r="W330" s="51">
        <v>0</v>
      </c>
      <c r="Y330" s="30">
        <v>0</v>
      </c>
      <c r="Z330" s="27">
        <v>0</v>
      </c>
      <c r="AA330" s="27">
        <v>0</v>
      </c>
      <c r="AB330" s="51">
        <v>0</v>
      </c>
      <c r="AD330" s="30">
        <v>44681778555.617676</v>
      </c>
      <c r="AE330" s="27">
        <v>0</v>
      </c>
      <c r="AF330" s="27">
        <v>44681778555.617676</v>
      </c>
      <c r="AG330" s="51">
        <v>0</v>
      </c>
      <c r="AI330" s="30">
        <v>0</v>
      </c>
      <c r="AJ330" s="51">
        <v>0</v>
      </c>
      <c r="AL330" s="43">
        <v>0</v>
      </c>
      <c r="AM330" s="52">
        <v>0</v>
      </c>
      <c r="AN330" s="53">
        <v>0</v>
      </c>
      <c r="AO330" s="54">
        <v>0</v>
      </c>
      <c r="AQ330" s="30">
        <v>0</v>
      </c>
      <c r="AR330" s="27">
        <v>0</v>
      </c>
      <c r="AS330" s="27">
        <v>0</v>
      </c>
      <c r="AT330" s="51">
        <v>0</v>
      </c>
      <c r="AV330" s="30">
        <v>0</v>
      </c>
      <c r="AW330" s="27">
        <v>0</v>
      </c>
      <c r="AX330" s="27">
        <v>0</v>
      </c>
      <c r="AY330" s="51">
        <v>0</v>
      </c>
      <c r="BA330" s="30">
        <v>0</v>
      </c>
      <c r="BB330" s="27">
        <v>0</v>
      </c>
      <c r="BC330" s="27">
        <v>0</v>
      </c>
      <c r="BD330" s="51">
        <v>0</v>
      </c>
      <c r="BF330" s="30">
        <v>0</v>
      </c>
      <c r="BG330" s="27">
        <v>0</v>
      </c>
      <c r="BH330" s="27">
        <v>0</v>
      </c>
      <c r="BI330" s="51">
        <v>0</v>
      </c>
      <c r="BK330" s="30">
        <v>0</v>
      </c>
      <c r="BL330" s="27">
        <v>0</v>
      </c>
      <c r="BM330" s="27">
        <v>0</v>
      </c>
      <c r="BN330" s="51">
        <v>0</v>
      </c>
      <c r="BP330" s="30">
        <v>0</v>
      </c>
      <c r="BQ330" s="20">
        <v>607906793.77693379</v>
      </c>
      <c r="BR330" s="51">
        <v>0</v>
      </c>
      <c r="BT330" s="30">
        <v>0</v>
      </c>
      <c r="BU330" s="51">
        <v>0</v>
      </c>
      <c r="BW330" s="221">
        <v>0</v>
      </c>
      <c r="BX330" s="222">
        <v>0</v>
      </c>
    </row>
    <row r="331" spans="6:76" x14ac:dyDescent="0.2">
      <c r="F331" s="151">
        <v>327</v>
      </c>
      <c r="G331" s="30">
        <v>0</v>
      </c>
      <c r="H331" s="28">
        <v>0</v>
      </c>
      <c r="I331" s="28">
        <v>0</v>
      </c>
      <c r="J331" s="28">
        <v>0</v>
      </c>
      <c r="K331" s="28">
        <v>0</v>
      </c>
      <c r="L331" s="28">
        <v>0</v>
      </c>
      <c r="M331" s="27">
        <v>0</v>
      </c>
      <c r="N331" s="27">
        <v>0</v>
      </c>
      <c r="O331" s="51">
        <v>0</v>
      </c>
      <c r="P331" s="5"/>
      <c r="Q331" s="30">
        <v>0</v>
      </c>
      <c r="R331" s="27">
        <v>0</v>
      </c>
      <c r="S331" s="27">
        <v>0</v>
      </c>
      <c r="T331" s="51">
        <v>0</v>
      </c>
      <c r="U331" s="5"/>
      <c r="V331" s="30">
        <v>0</v>
      </c>
      <c r="W331" s="51">
        <v>0</v>
      </c>
      <c r="Y331" s="30">
        <v>0</v>
      </c>
      <c r="Z331" s="27">
        <v>0</v>
      </c>
      <c r="AA331" s="27">
        <v>0</v>
      </c>
      <c r="AB331" s="51">
        <v>0</v>
      </c>
      <c r="AD331" s="30">
        <v>45942442015.101685</v>
      </c>
      <c r="AE331" s="27">
        <v>0</v>
      </c>
      <c r="AF331" s="27">
        <v>45942442015.101685</v>
      </c>
      <c r="AG331" s="51">
        <v>0</v>
      </c>
      <c r="AI331" s="30">
        <v>0</v>
      </c>
      <c r="AJ331" s="51">
        <v>0</v>
      </c>
      <c r="AL331" s="43">
        <v>0</v>
      </c>
      <c r="AM331" s="52">
        <v>0</v>
      </c>
      <c r="AN331" s="53">
        <v>0</v>
      </c>
      <c r="AO331" s="54">
        <v>0</v>
      </c>
      <c r="AQ331" s="30">
        <v>0</v>
      </c>
      <c r="AR331" s="27">
        <v>0</v>
      </c>
      <c r="AS331" s="27">
        <v>0</v>
      </c>
      <c r="AT331" s="51">
        <v>0</v>
      </c>
      <c r="AV331" s="30">
        <v>0</v>
      </c>
      <c r="AW331" s="27">
        <v>0</v>
      </c>
      <c r="AX331" s="27">
        <v>0</v>
      </c>
      <c r="AY331" s="51">
        <v>0</v>
      </c>
      <c r="BA331" s="30">
        <v>0</v>
      </c>
      <c r="BB331" s="27">
        <v>0</v>
      </c>
      <c r="BC331" s="27">
        <v>0</v>
      </c>
      <c r="BD331" s="51">
        <v>0</v>
      </c>
      <c r="BF331" s="30">
        <v>0</v>
      </c>
      <c r="BG331" s="27">
        <v>0</v>
      </c>
      <c r="BH331" s="27">
        <v>0</v>
      </c>
      <c r="BI331" s="51">
        <v>0</v>
      </c>
      <c r="BK331" s="30">
        <v>0</v>
      </c>
      <c r="BL331" s="27">
        <v>0</v>
      </c>
      <c r="BM331" s="27">
        <v>0</v>
      </c>
      <c r="BN331" s="51">
        <v>0</v>
      </c>
      <c r="BP331" s="30">
        <v>0</v>
      </c>
      <c r="BQ331" s="20">
        <v>607906793.77693379</v>
      </c>
      <c r="BR331" s="51">
        <v>0</v>
      </c>
      <c r="BT331" s="30">
        <v>0</v>
      </c>
      <c r="BU331" s="51">
        <v>0</v>
      </c>
      <c r="BW331" s="221">
        <v>0</v>
      </c>
      <c r="BX331" s="222">
        <v>0</v>
      </c>
    </row>
    <row r="332" spans="6:76" x14ac:dyDescent="0.2">
      <c r="F332" s="151">
        <v>328</v>
      </c>
      <c r="G332" s="30">
        <v>0</v>
      </c>
      <c r="H332" s="28">
        <v>0</v>
      </c>
      <c r="I332" s="28">
        <v>0</v>
      </c>
      <c r="J332" s="28">
        <v>0</v>
      </c>
      <c r="K332" s="28">
        <v>0</v>
      </c>
      <c r="L332" s="28">
        <v>0</v>
      </c>
      <c r="M332" s="27">
        <v>0</v>
      </c>
      <c r="N332" s="27">
        <v>0</v>
      </c>
      <c r="O332" s="51">
        <v>0</v>
      </c>
      <c r="P332" s="5"/>
      <c r="Q332" s="30">
        <v>0</v>
      </c>
      <c r="R332" s="27">
        <v>0</v>
      </c>
      <c r="S332" s="27">
        <v>0</v>
      </c>
      <c r="T332" s="51">
        <v>0</v>
      </c>
      <c r="U332" s="5"/>
      <c r="V332" s="30">
        <v>0</v>
      </c>
      <c r="W332" s="51">
        <v>0</v>
      </c>
      <c r="Y332" s="30">
        <v>0</v>
      </c>
      <c r="Z332" s="27">
        <v>0</v>
      </c>
      <c r="AA332" s="27">
        <v>0</v>
      </c>
      <c r="AB332" s="51">
        <v>0</v>
      </c>
      <c r="AD332" s="30">
        <v>47238674165.212013</v>
      </c>
      <c r="AE332" s="27">
        <v>0</v>
      </c>
      <c r="AF332" s="27">
        <v>47238674165.212013</v>
      </c>
      <c r="AG332" s="51">
        <v>0</v>
      </c>
      <c r="AI332" s="30">
        <v>0</v>
      </c>
      <c r="AJ332" s="51">
        <v>0</v>
      </c>
      <c r="AL332" s="43">
        <v>0</v>
      </c>
      <c r="AM332" s="52">
        <v>0</v>
      </c>
      <c r="AN332" s="53">
        <v>0</v>
      </c>
      <c r="AO332" s="54">
        <v>0</v>
      </c>
      <c r="AQ332" s="30">
        <v>0</v>
      </c>
      <c r="AR332" s="27">
        <v>0</v>
      </c>
      <c r="AS332" s="27">
        <v>0</v>
      </c>
      <c r="AT332" s="51">
        <v>0</v>
      </c>
      <c r="AV332" s="30">
        <v>0</v>
      </c>
      <c r="AW332" s="27">
        <v>0</v>
      </c>
      <c r="AX332" s="27">
        <v>0</v>
      </c>
      <c r="AY332" s="51">
        <v>0</v>
      </c>
      <c r="BA332" s="30">
        <v>0</v>
      </c>
      <c r="BB332" s="27">
        <v>0</v>
      </c>
      <c r="BC332" s="27">
        <v>0</v>
      </c>
      <c r="BD332" s="51">
        <v>0</v>
      </c>
      <c r="BF332" s="30">
        <v>0</v>
      </c>
      <c r="BG332" s="27">
        <v>0</v>
      </c>
      <c r="BH332" s="27">
        <v>0</v>
      </c>
      <c r="BI332" s="51">
        <v>0</v>
      </c>
      <c r="BK332" s="30">
        <v>0</v>
      </c>
      <c r="BL332" s="27">
        <v>0</v>
      </c>
      <c r="BM332" s="27">
        <v>0</v>
      </c>
      <c r="BN332" s="51">
        <v>0</v>
      </c>
      <c r="BP332" s="30">
        <v>0</v>
      </c>
      <c r="BQ332" s="20">
        <v>607906793.77693379</v>
      </c>
      <c r="BR332" s="51">
        <v>0</v>
      </c>
      <c r="BT332" s="30">
        <v>0</v>
      </c>
      <c r="BU332" s="51">
        <v>0</v>
      </c>
      <c r="BW332" s="221">
        <v>0</v>
      </c>
      <c r="BX332" s="222">
        <v>0</v>
      </c>
    </row>
    <row r="333" spans="6:76" x14ac:dyDescent="0.2">
      <c r="F333" s="151">
        <v>329</v>
      </c>
      <c r="G333" s="30">
        <v>0</v>
      </c>
      <c r="H333" s="28">
        <v>0</v>
      </c>
      <c r="I333" s="28">
        <v>0</v>
      </c>
      <c r="J333" s="28">
        <v>0</v>
      </c>
      <c r="K333" s="28">
        <v>0</v>
      </c>
      <c r="L333" s="28">
        <v>0</v>
      </c>
      <c r="M333" s="27">
        <v>0</v>
      </c>
      <c r="N333" s="27">
        <v>0</v>
      </c>
      <c r="O333" s="51">
        <v>0</v>
      </c>
      <c r="P333" s="5"/>
      <c r="Q333" s="30">
        <v>0</v>
      </c>
      <c r="R333" s="27">
        <v>0</v>
      </c>
      <c r="S333" s="27">
        <v>0</v>
      </c>
      <c r="T333" s="51">
        <v>0</v>
      </c>
      <c r="U333" s="5"/>
      <c r="V333" s="30">
        <v>0</v>
      </c>
      <c r="W333" s="51">
        <v>0</v>
      </c>
      <c r="Y333" s="30">
        <v>0</v>
      </c>
      <c r="Z333" s="27">
        <v>0</v>
      </c>
      <c r="AA333" s="27">
        <v>0</v>
      </c>
      <c r="AB333" s="51">
        <v>0</v>
      </c>
      <c r="AD333" s="30">
        <v>48571478550.346924</v>
      </c>
      <c r="AE333" s="27">
        <v>0</v>
      </c>
      <c r="AF333" s="27">
        <v>48571478550.346924</v>
      </c>
      <c r="AG333" s="51">
        <v>0</v>
      </c>
      <c r="AI333" s="30">
        <v>0</v>
      </c>
      <c r="AJ333" s="51">
        <v>0</v>
      </c>
      <c r="AL333" s="43">
        <v>0</v>
      </c>
      <c r="AM333" s="52">
        <v>0</v>
      </c>
      <c r="AN333" s="53">
        <v>0</v>
      </c>
      <c r="AO333" s="54">
        <v>0</v>
      </c>
      <c r="AQ333" s="30">
        <v>0</v>
      </c>
      <c r="AR333" s="27">
        <v>0</v>
      </c>
      <c r="AS333" s="27">
        <v>0</v>
      </c>
      <c r="AT333" s="51">
        <v>0</v>
      </c>
      <c r="AV333" s="30">
        <v>0</v>
      </c>
      <c r="AW333" s="27">
        <v>0</v>
      </c>
      <c r="AX333" s="27">
        <v>0</v>
      </c>
      <c r="AY333" s="51">
        <v>0</v>
      </c>
      <c r="BA333" s="30">
        <v>0</v>
      </c>
      <c r="BB333" s="27">
        <v>0</v>
      </c>
      <c r="BC333" s="27">
        <v>0</v>
      </c>
      <c r="BD333" s="51">
        <v>0</v>
      </c>
      <c r="BF333" s="30">
        <v>0</v>
      </c>
      <c r="BG333" s="27">
        <v>0</v>
      </c>
      <c r="BH333" s="27">
        <v>0</v>
      </c>
      <c r="BI333" s="51">
        <v>0</v>
      </c>
      <c r="BK333" s="30">
        <v>0</v>
      </c>
      <c r="BL333" s="27">
        <v>0</v>
      </c>
      <c r="BM333" s="27">
        <v>0</v>
      </c>
      <c r="BN333" s="51">
        <v>0</v>
      </c>
      <c r="BP333" s="30">
        <v>0</v>
      </c>
      <c r="BQ333" s="20">
        <v>607906793.77693379</v>
      </c>
      <c r="BR333" s="51">
        <v>0</v>
      </c>
      <c r="BT333" s="30">
        <v>0</v>
      </c>
      <c r="BU333" s="51">
        <v>0</v>
      </c>
      <c r="BW333" s="221">
        <v>0</v>
      </c>
      <c r="BX333" s="222">
        <v>0</v>
      </c>
    </row>
    <row r="334" spans="6:76" x14ac:dyDescent="0.2">
      <c r="F334" s="151">
        <v>330</v>
      </c>
      <c r="G334" s="30">
        <v>0</v>
      </c>
      <c r="H334" s="28">
        <v>0</v>
      </c>
      <c r="I334" s="28">
        <v>0</v>
      </c>
      <c r="J334" s="28">
        <v>0</v>
      </c>
      <c r="K334" s="28">
        <v>0</v>
      </c>
      <c r="L334" s="28">
        <v>0</v>
      </c>
      <c r="M334" s="27">
        <v>0</v>
      </c>
      <c r="N334" s="27">
        <v>0</v>
      </c>
      <c r="O334" s="51">
        <v>0</v>
      </c>
      <c r="P334" s="5"/>
      <c r="Q334" s="30">
        <v>0</v>
      </c>
      <c r="R334" s="27">
        <v>0</v>
      </c>
      <c r="S334" s="27">
        <v>0</v>
      </c>
      <c r="T334" s="51">
        <v>0</v>
      </c>
      <c r="U334" s="5"/>
      <c r="V334" s="30">
        <v>0</v>
      </c>
      <c r="W334" s="51">
        <v>0</v>
      </c>
      <c r="Y334" s="30">
        <v>0</v>
      </c>
      <c r="Z334" s="27">
        <v>0</v>
      </c>
      <c r="AA334" s="27">
        <v>0</v>
      </c>
      <c r="AB334" s="51">
        <v>0</v>
      </c>
      <c r="AD334" s="30">
        <v>49941887029.170456</v>
      </c>
      <c r="AE334" s="27">
        <v>0</v>
      </c>
      <c r="AF334" s="27">
        <v>49941887029.170456</v>
      </c>
      <c r="AG334" s="51">
        <v>0</v>
      </c>
      <c r="AI334" s="30">
        <v>0</v>
      </c>
      <c r="AJ334" s="51">
        <v>0</v>
      </c>
      <c r="AL334" s="43">
        <v>0</v>
      </c>
      <c r="AM334" s="52">
        <v>0</v>
      </c>
      <c r="AN334" s="53">
        <v>0</v>
      </c>
      <c r="AO334" s="54">
        <v>0</v>
      </c>
      <c r="AQ334" s="30">
        <v>0</v>
      </c>
      <c r="AR334" s="27">
        <v>0</v>
      </c>
      <c r="AS334" s="27">
        <v>0</v>
      </c>
      <c r="AT334" s="51">
        <v>0</v>
      </c>
      <c r="AV334" s="30">
        <v>0</v>
      </c>
      <c r="AW334" s="27">
        <v>0</v>
      </c>
      <c r="AX334" s="27">
        <v>0</v>
      </c>
      <c r="AY334" s="51">
        <v>0</v>
      </c>
      <c r="BA334" s="30">
        <v>0</v>
      </c>
      <c r="BB334" s="27">
        <v>0</v>
      </c>
      <c r="BC334" s="27">
        <v>0</v>
      </c>
      <c r="BD334" s="51">
        <v>0</v>
      </c>
      <c r="BF334" s="30">
        <v>0</v>
      </c>
      <c r="BG334" s="27">
        <v>0</v>
      </c>
      <c r="BH334" s="27">
        <v>0</v>
      </c>
      <c r="BI334" s="51">
        <v>0</v>
      </c>
      <c r="BK334" s="30">
        <v>0</v>
      </c>
      <c r="BL334" s="27">
        <v>0</v>
      </c>
      <c r="BM334" s="27">
        <v>0</v>
      </c>
      <c r="BN334" s="51">
        <v>0</v>
      </c>
      <c r="BP334" s="30">
        <v>0</v>
      </c>
      <c r="BQ334" s="20">
        <v>607906793.77693379</v>
      </c>
      <c r="BR334" s="51">
        <v>0</v>
      </c>
      <c r="BT334" s="30">
        <v>0</v>
      </c>
      <c r="BU334" s="51">
        <v>0</v>
      </c>
      <c r="BW334" s="221">
        <v>0</v>
      </c>
      <c r="BX334" s="222">
        <v>0</v>
      </c>
    </row>
    <row r="335" spans="6:76" x14ac:dyDescent="0.2">
      <c r="F335" s="151">
        <v>331</v>
      </c>
      <c r="G335" s="30">
        <v>0</v>
      </c>
      <c r="H335" s="28">
        <v>0</v>
      </c>
      <c r="I335" s="28">
        <v>0</v>
      </c>
      <c r="J335" s="28">
        <v>0</v>
      </c>
      <c r="K335" s="28">
        <v>0</v>
      </c>
      <c r="L335" s="28">
        <v>0</v>
      </c>
      <c r="M335" s="27">
        <v>0</v>
      </c>
      <c r="N335" s="27">
        <v>0</v>
      </c>
      <c r="O335" s="51">
        <v>0</v>
      </c>
      <c r="P335" s="5"/>
      <c r="Q335" s="30">
        <v>0</v>
      </c>
      <c r="R335" s="27">
        <v>0</v>
      </c>
      <c r="S335" s="27">
        <v>0</v>
      </c>
      <c r="T335" s="51">
        <v>0</v>
      </c>
      <c r="U335" s="5"/>
      <c r="V335" s="30">
        <v>0</v>
      </c>
      <c r="W335" s="51">
        <v>0</v>
      </c>
      <c r="Y335" s="30">
        <v>0</v>
      </c>
      <c r="Z335" s="27">
        <v>0</v>
      </c>
      <c r="AA335" s="27">
        <v>0</v>
      </c>
      <c r="AB335" s="51">
        <v>0</v>
      </c>
      <c r="AD335" s="30">
        <v>51350960573.478554</v>
      </c>
      <c r="AE335" s="27">
        <v>0</v>
      </c>
      <c r="AF335" s="27">
        <v>51350960573.478554</v>
      </c>
      <c r="AG335" s="51">
        <v>0</v>
      </c>
      <c r="AI335" s="30">
        <v>0</v>
      </c>
      <c r="AJ335" s="51">
        <v>0</v>
      </c>
      <c r="AL335" s="43">
        <v>0</v>
      </c>
      <c r="AM335" s="52">
        <v>0</v>
      </c>
      <c r="AN335" s="53">
        <v>0</v>
      </c>
      <c r="AO335" s="54">
        <v>0</v>
      </c>
      <c r="AQ335" s="30">
        <v>0</v>
      </c>
      <c r="AR335" s="27">
        <v>0</v>
      </c>
      <c r="AS335" s="27">
        <v>0</v>
      </c>
      <c r="AT335" s="51">
        <v>0</v>
      </c>
      <c r="AV335" s="30">
        <v>0</v>
      </c>
      <c r="AW335" s="27">
        <v>0</v>
      </c>
      <c r="AX335" s="27">
        <v>0</v>
      </c>
      <c r="AY335" s="51">
        <v>0</v>
      </c>
      <c r="BA335" s="30">
        <v>0</v>
      </c>
      <c r="BB335" s="27">
        <v>0</v>
      </c>
      <c r="BC335" s="27">
        <v>0</v>
      </c>
      <c r="BD335" s="51">
        <v>0</v>
      </c>
      <c r="BF335" s="30">
        <v>0</v>
      </c>
      <c r="BG335" s="27">
        <v>0</v>
      </c>
      <c r="BH335" s="27">
        <v>0</v>
      </c>
      <c r="BI335" s="51">
        <v>0</v>
      </c>
      <c r="BK335" s="30">
        <v>0</v>
      </c>
      <c r="BL335" s="27">
        <v>0</v>
      </c>
      <c r="BM335" s="27">
        <v>0</v>
      </c>
      <c r="BN335" s="51">
        <v>0</v>
      </c>
      <c r="BP335" s="30">
        <v>0</v>
      </c>
      <c r="BQ335" s="20">
        <v>607906793.77693379</v>
      </c>
      <c r="BR335" s="51">
        <v>0</v>
      </c>
      <c r="BT335" s="30">
        <v>0</v>
      </c>
      <c r="BU335" s="51">
        <v>0</v>
      </c>
      <c r="BW335" s="221">
        <v>0</v>
      </c>
      <c r="BX335" s="222">
        <v>0</v>
      </c>
    </row>
    <row r="336" spans="6:76" x14ac:dyDescent="0.2">
      <c r="F336" s="151">
        <v>332</v>
      </c>
      <c r="G336" s="30">
        <v>0</v>
      </c>
      <c r="H336" s="28">
        <v>0</v>
      </c>
      <c r="I336" s="28">
        <v>0</v>
      </c>
      <c r="J336" s="28">
        <v>0</v>
      </c>
      <c r="K336" s="28">
        <v>0</v>
      </c>
      <c r="L336" s="28">
        <v>0</v>
      </c>
      <c r="M336" s="27">
        <v>0</v>
      </c>
      <c r="N336" s="27">
        <v>0</v>
      </c>
      <c r="O336" s="51">
        <v>0</v>
      </c>
      <c r="P336" s="5"/>
      <c r="Q336" s="30">
        <v>0</v>
      </c>
      <c r="R336" s="27">
        <v>0</v>
      </c>
      <c r="S336" s="27">
        <v>0</v>
      </c>
      <c r="T336" s="51">
        <v>0</v>
      </c>
      <c r="U336" s="5"/>
      <c r="V336" s="30">
        <v>0</v>
      </c>
      <c r="W336" s="51">
        <v>0</v>
      </c>
      <c r="Y336" s="30">
        <v>0</v>
      </c>
      <c r="Z336" s="27">
        <v>0</v>
      </c>
      <c r="AA336" s="27">
        <v>0</v>
      </c>
      <c r="AB336" s="51">
        <v>0</v>
      </c>
      <c r="AD336" s="30">
        <v>52799790089.604645</v>
      </c>
      <c r="AE336" s="27">
        <v>0</v>
      </c>
      <c r="AF336" s="27">
        <v>52799790089.604645</v>
      </c>
      <c r="AG336" s="51">
        <v>0</v>
      </c>
      <c r="AI336" s="30">
        <v>0</v>
      </c>
      <c r="AJ336" s="51">
        <v>0</v>
      </c>
      <c r="AL336" s="43">
        <v>0</v>
      </c>
      <c r="AM336" s="52">
        <v>0</v>
      </c>
      <c r="AN336" s="53">
        <v>0</v>
      </c>
      <c r="AO336" s="54">
        <v>0</v>
      </c>
      <c r="AQ336" s="30">
        <v>0</v>
      </c>
      <c r="AR336" s="27">
        <v>0</v>
      </c>
      <c r="AS336" s="27">
        <v>0</v>
      </c>
      <c r="AT336" s="51">
        <v>0</v>
      </c>
      <c r="AV336" s="30">
        <v>0</v>
      </c>
      <c r="AW336" s="27">
        <v>0</v>
      </c>
      <c r="AX336" s="27">
        <v>0</v>
      </c>
      <c r="AY336" s="51">
        <v>0</v>
      </c>
      <c r="BA336" s="30">
        <v>0</v>
      </c>
      <c r="BB336" s="27">
        <v>0</v>
      </c>
      <c r="BC336" s="27">
        <v>0</v>
      </c>
      <c r="BD336" s="51">
        <v>0</v>
      </c>
      <c r="BF336" s="30">
        <v>0</v>
      </c>
      <c r="BG336" s="27">
        <v>0</v>
      </c>
      <c r="BH336" s="27">
        <v>0</v>
      </c>
      <c r="BI336" s="51">
        <v>0</v>
      </c>
      <c r="BK336" s="30">
        <v>0</v>
      </c>
      <c r="BL336" s="27">
        <v>0</v>
      </c>
      <c r="BM336" s="27">
        <v>0</v>
      </c>
      <c r="BN336" s="51">
        <v>0</v>
      </c>
      <c r="BP336" s="30">
        <v>0</v>
      </c>
      <c r="BQ336" s="20">
        <v>607906793.77693379</v>
      </c>
      <c r="BR336" s="51">
        <v>0</v>
      </c>
      <c r="BT336" s="30">
        <v>0</v>
      </c>
      <c r="BU336" s="51">
        <v>0</v>
      </c>
      <c r="BW336" s="221">
        <v>0</v>
      </c>
      <c r="BX336" s="222">
        <v>0</v>
      </c>
    </row>
    <row r="337" spans="6:76" x14ac:dyDescent="0.2">
      <c r="F337" s="151">
        <v>333</v>
      </c>
      <c r="G337" s="30">
        <v>0</v>
      </c>
      <c r="H337" s="28">
        <v>0</v>
      </c>
      <c r="I337" s="28">
        <v>0</v>
      </c>
      <c r="J337" s="28">
        <v>0</v>
      </c>
      <c r="K337" s="28">
        <v>0</v>
      </c>
      <c r="L337" s="28">
        <v>0</v>
      </c>
      <c r="M337" s="27">
        <v>0</v>
      </c>
      <c r="N337" s="27">
        <v>0</v>
      </c>
      <c r="O337" s="51">
        <v>0</v>
      </c>
      <c r="P337" s="5"/>
      <c r="Q337" s="30">
        <v>0</v>
      </c>
      <c r="R337" s="27">
        <v>0</v>
      </c>
      <c r="S337" s="27">
        <v>0</v>
      </c>
      <c r="T337" s="51">
        <v>0</v>
      </c>
      <c r="U337" s="5"/>
      <c r="V337" s="30">
        <v>0</v>
      </c>
      <c r="W337" s="51">
        <v>0</v>
      </c>
      <c r="Y337" s="30">
        <v>0</v>
      </c>
      <c r="Z337" s="27">
        <v>0</v>
      </c>
      <c r="AA337" s="27">
        <v>0</v>
      </c>
      <c r="AB337" s="51">
        <v>0</v>
      </c>
      <c r="AD337" s="30">
        <v>54289497263.000542</v>
      </c>
      <c r="AE337" s="27">
        <v>0</v>
      </c>
      <c r="AF337" s="27">
        <v>54289497263.000542</v>
      </c>
      <c r="AG337" s="51">
        <v>0</v>
      </c>
      <c r="AI337" s="30">
        <v>0</v>
      </c>
      <c r="AJ337" s="51">
        <v>0</v>
      </c>
      <c r="AL337" s="43">
        <v>0</v>
      </c>
      <c r="AM337" s="52">
        <v>0</v>
      </c>
      <c r="AN337" s="53">
        <v>0</v>
      </c>
      <c r="AO337" s="54">
        <v>0</v>
      </c>
      <c r="AQ337" s="30">
        <v>0</v>
      </c>
      <c r="AR337" s="27">
        <v>0</v>
      </c>
      <c r="AS337" s="27">
        <v>0</v>
      </c>
      <c r="AT337" s="51">
        <v>0</v>
      </c>
      <c r="AV337" s="30">
        <v>0</v>
      </c>
      <c r="AW337" s="27">
        <v>0</v>
      </c>
      <c r="AX337" s="27">
        <v>0</v>
      </c>
      <c r="AY337" s="51">
        <v>0</v>
      </c>
      <c r="BA337" s="30">
        <v>0</v>
      </c>
      <c r="BB337" s="27">
        <v>0</v>
      </c>
      <c r="BC337" s="27">
        <v>0</v>
      </c>
      <c r="BD337" s="51">
        <v>0</v>
      </c>
      <c r="BF337" s="30">
        <v>0</v>
      </c>
      <c r="BG337" s="27">
        <v>0</v>
      </c>
      <c r="BH337" s="27">
        <v>0</v>
      </c>
      <c r="BI337" s="51">
        <v>0</v>
      </c>
      <c r="BK337" s="30">
        <v>0</v>
      </c>
      <c r="BL337" s="27">
        <v>0</v>
      </c>
      <c r="BM337" s="27">
        <v>0</v>
      </c>
      <c r="BN337" s="51">
        <v>0</v>
      </c>
      <c r="BP337" s="30">
        <v>0</v>
      </c>
      <c r="BQ337" s="20">
        <v>607906793.77693379</v>
      </c>
      <c r="BR337" s="51">
        <v>0</v>
      </c>
      <c r="BT337" s="30">
        <v>0</v>
      </c>
      <c r="BU337" s="51">
        <v>0</v>
      </c>
      <c r="BW337" s="221">
        <v>0</v>
      </c>
      <c r="BX337" s="222">
        <v>0</v>
      </c>
    </row>
    <row r="338" spans="6:76" x14ac:dyDescent="0.2">
      <c r="F338" s="151">
        <v>334</v>
      </c>
      <c r="G338" s="30">
        <v>0</v>
      </c>
      <c r="H338" s="28">
        <v>0</v>
      </c>
      <c r="I338" s="28">
        <v>0</v>
      </c>
      <c r="J338" s="28">
        <v>0</v>
      </c>
      <c r="K338" s="28">
        <v>0</v>
      </c>
      <c r="L338" s="28">
        <v>0</v>
      </c>
      <c r="M338" s="27">
        <v>0</v>
      </c>
      <c r="N338" s="27">
        <v>0</v>
      </c>
      <c r="O338" s="51">
        <v>0</v>
      </c>
      <c r="P338" s="5"/>
      <c r="Q338" s="30">
        <v>0</v>
      </c>
      <c r="R338" s="27">
        <v>0</v>
      </c>
      <c r="S338" s="27">
        <v>0</v>
      </c>
      <c r="T338" s="51">
        <v>0</v>
      </c>
      <c r="U338" s="5"/>
      <c r="V338" s="30">
        <v>0</v>
      </c>
      <c r="W338" s="51">
        <v>0</v>
      </c>
      <c r="Y338" s="30">
        <v>0</v>
      </c>
      <c r="Z338" s="27">
        <v>0</v>
      </c>
      <c r="AA338" s="27">
        <v>0</v>
      </c>
      <c r="AB338" s="51">
        <v>0</v>
      </c>
      <c r="AD338" s="30">
        <v>55821235426.646606</v>
      </c>
      <c r="AE338" s="27">
        <v>0</v>
      </c>
      <c r="AF338" s="27">
        <v>55821235426.646606</v>
      </c>
      <c r="AG338" s="51">
        <v>0</v>
      </c>
      <c r="AI338" s="30">
        <v>0</v>
      </c>
      <c r="AJ338" s="51">
        <v>0</v>
      </c>
      <c r="AL338" s="43">
        <v>0</v>
      </c>
      <c r="AM338" s="52">
        <v>0</v>
      </c>
      <c r="AN338" s="53">
        <v>0</v>
      </c>
      <c r="AO338" s="54">
        <v>0</v>
      </c>
      <c r="AQ338" s="30">
        <v>0</v>
      </c>
      <c r="AR338" s="27">
        <v>0</v>
      </c>
      <c r="AS338" s="27">
        <v>0</v>
      </c>
      <c r="AT338" s="51">
        <v>0</v>
      </c>
      <c r="AV338" s="30">
        <v>0</v>
      </c>
      <c r="AW338" s="27">
        <v>0</v>
      </c>
      <c r="AX338" s="27">
        <v>0</v>
      </c>
      <c r="AY338" s="51">
        <v>0</v>
      </c>
      <c r="BA338" s="30">
        <v>0</v>
      </c>
      <c r="BB338" s="27">
        <v>0</v>
      </c>
      <c r="BC338" s="27">
        <v>0</v>
      </c>
      <c r="BD338" s="51">
        <v>0</v>
      </c>
      <c r="BF338" s="30">
        <v>0</v>
      </c>
      <c r="BG338" s="27">
        <v>0</v>
      </c>
      <c r="BH338" s="27">
        <v>0</v>
      </c>
      <c r="BI338" s="51">
        <v>0</v>
      </c>
      <c r="BK338" s="30">
        <v>0</v>
      </c>
      <c r="BL338" s="27">
        <v>0</v>
      </c>
      <c r="BM338" s="27">
        <v>0</v>
      </c>
      <c r="BN338" s="51">
        <v>0</v>
      </c>
      <c r="BP338" s="30">
        <v>0</v>
      </c>
      <c r="BQ338" s="20">
        <v>607906793.77693379</v>
      </c>
      <c r="BR338" s="51">
        <v>0</v>
      </c>
      <c r="BT338" s="30">
        <v>0</v>
      </c>
      <c r="BU338" s="51">
        <v>0</v>
      </c>
      <c r="BW338" s="221">
        <v>0</v>
      </c>
      <c r="BX338" s="222">
        <v>0</v>
      </c>
    </row>
    <row r="339" spans="6:76" x14ac:dyDescent="0.2">
      <c r="F339" s="151">
        <v>335</v>
      </c>
      <c r="G339" s="30">
        <v>0</v>
      </c>
      <c r="H339" s="28">
        <v>0</v>
      </c>
      <c r="I339" s="28">
        <v>0</v>
      </c>
      <c r="J339" s="28">
        <v>0</v>
      </c>
      <c r="K339" s="28">
        <v>0</v>
      </c>
      <c r="L339" s="28">
        <v>0</v>
      </c>
      <c r="M339" s="27">
        <v>0</v>
      </c>
      <c r="N339" s="27">
        <v>0</v>
      </c>
      <c r="O339" s="51">
        <v>0</v>
      </c>
      <c r="P339" s="5"/>
      <c r="Q339" s="30">
        <v>0</v>
      </c>
      <c r="R339" s="27">
        <v>0</v>
      </c>
      <c r="S339" s="27">
        <v>0</v>
      </c>
      <c r="T339" s="51">
        <v>0</v>
      </c>
      <c r="U339" s="5"/>
      <c r="V339" s="30">
        <v>0</v>
      </c>
      <c r="W339" s="51">
        <v>0</v>
      </c>
      <c r="Y339" s="30">
        <v>0</v>
      </c>
      <c r="Z339" s="27">
        <v>0</v>
      </c>
      <c r="AA339" s="27">
        <v>0</v>
      </c>
      <c r="AB339" s="51">
        <v>0</v>
      </c>
      <c r="AD339" s="30">
        <v>57396190453.963448</v>
      </c>
      <c r="AE339" s="27">
        <v>0</v>
      </c>
      <c r="AF339" s="27">
        <v>57396190453.963448</v>
      </c>
      <c r="AG339" s="51">
        <v>0</v>
      </c>
      <c r="AI339" s="30">
        <v>0</v>
      </c>
      <c r="AJ339" s="51">
        <v>0</v>
      </c>
      <c r="AL339" s="43">
        <v>0</v>
      </c>
      <c r="AM339" s="52">
        <v>0</v>
      </c>
      <c r="AN339" s="53">
        <v>0</v>
      </c>
      <c r="AO339" s="54">
        <v>0</v>
      </c>
      <c r="AQ339" s="30">
        <v>0</v>
      </c>
      <c r="AR339" s="27">
        <v>0</v>
      </c>
      <c r="AS339" s="27">
        <v>0</v>
      </c>
      <c r="AT339" s="51">
        <v>0</v>
      </c>
      <c r="AV339" s="30">
        <v>0</v>
      </c>
      <c r="AW339" s="27">
        <v>0</v>
      </c>
      <c r="AX339" s="27">
        <v>0</v>
      </c>
      <c r="AY339" s="51">
        <v>0</v>
      </c>
      <c r="BA339" s="30">
        <v>0</v>
      </c>
      <c r="BB339" s="27">
        <v>0</v>
      </c>
      <c r="BC339" s="27">
        <v>0</v>
      </c>
      <c r="BD339" s="51">
        <v>0</v>
      </c>
      <c r="BF339" s="30">
        <v>0</v>
      </c>
      <c r="BG339" s="27">
        <v>0</v>
      </c>
      <c r="BH339" s="27">
        <v>0</v>
      </c>
      <c r="BI339" s="51">
        <v>0</v>
      </c>
      <c r="BK339" s="30">
        <v>0</v>
      </c>
      <c r="BL339" s="27">
        <v>0</v>
      </c>
      <c r="BM339" s="27">
        <v>0</v>
      </c>
      <c r="BN339" s="51">
        <v>0</v>
      </c>
      <c r="BP339" s="30">
        <v>0</v>
      </c>
      <c r="BQ339" s="20">
        <v>607906793.77693379</v>
      </c>
      <c r="BR339" s="51">
        <v>0</v>
      </c>
      <c r="BT339" s="30">
        <v>0</v>
      </c>
      <c r="BU339" s="51">
        <v>0</v>
      </c>
      <c r="BW339" s="221">
        <v>0</v>
      </c>
      <c r="BX339" s="222">
        <v>0</v>
      </c>
    </row>
    <row r="340" spans="6:76" x14ac:dyDescent="0.2">
      <c r="F340" s="151">
        <v>336</v>
      </c>
      <c r="G340" s="30">
        <v>0</v>
      </c>
      <c r="H340" s="28">
        <v>0</v>
      </c>
      <c r="I340" s="28">
        <v>0</v>
      </c>
      <c r="J340" s="28">
        <v>0</v>
      </c>
      <c r="K340" s="28">
        <v>0</v>
      </c>
      <c r="L340" s="28">
        <v>0</v>
      </c>
      <c r="M340" s="27">
        <v>0</v>
      </c>
      <c r="N340" s="27">
        <v>0</v>
      </c>
      <c r="O340" s="51">
        <v>0</v>
      </c>
      <c r="P340" s="5"/>
      <c r="Q340" s="30">
        <v>0</v>
      </c>
      <c r="R340" s="27">
        <v>0</v>
      </c>
      <c r="S340" s="27">
        <v>0</v>
      </c>
      <c r="T340" s="51">
        <v>0</v>
      </c>
      <c r="U340" s="5"/>
      <c r="V340" s="30">
        <v>0</v>
      </c>
      <c r="W340" s="51">
        <v>0</v>
      </c>
      <c r="Y340" s="30">
        <v>0</v>
      </c>
      <c r="Z340" s="27">
        <v>0</v>
      </c>
      <c r="AA340" s="27">
        <v>0</v>
      </c>
      <c r="AB340" s="51">
        <v>0</v>
      </c>
      <c r="AD340" s="30">
        <v>59015581676.916443</v>
      </c>
      <c r="AE340" s="27">
        <v>0</v>
      </c>
      <c r="AF340" s="27">
        <v>59015581676.916443</v>
      </c>
      <c r="AG340" s="51">
        <v>0</v>
      </c>
      <c r="AI340" s="30">
        <v>0</v>
      </c>
      <c r="AJ340" s="51">
        <v>0</v>
      </c>
      <c r="AL340" s="43">
        <v>0</v>
      </c>
      <c r="AM340" s="52">
        <v>0</v>
      </c>
      <c r="AN340" s="53">
        <v>0</v>
      </c>
      <c r="AO340" s="54">
        <v>0</v>
      </c>
      <c r="AQ340" s="30">
        <v>0</v>
      </c>
      <c r="AR340" s="27">
        <v>0</v>
      </c>
      <c r="AS340" s="27">
        <v>0</v>
      </c>
      <c r="AT340" s="51">
        <v>0</v>
      </c>
      <c r="AV340" s="30">
        <v>0</v>
      </c>
      <c r="AW340" s="27">
        <v>0</v>
      </c>
      <c r="AX340" s="27">
        <v>0</v>
      </c>
      <c r="AY340" s="51">
        <v>0</v>
      </c>
      <c r="BA340" s="30">
        <v>0</v>
      </c>
      <c r="BB340" s="27">
        <v>0</v>
      </c>
      <c r="BC340" s="27">
        <v>0</v>
      </c>
      <c r="BD340" s="51">
        <v>0</v>
      </c>
      <c r="BF340" s="30">
        <v>0</v>
      </c>
      <c r="BG340" s="27">
        <v>0</v>
      </c>
      <c r="BH340" s="27">
        <v>0</v>
      </c>
      <c r="BI340" s="51">
        <v>0</v>
      </c>
      <c r="BK340" s="30">
        <v>0</v>
      </c>
      <c r="BL340" s="27">
        <v>0</v>
      </c>
      <c r="BM340" s="27">
        <v>0</v>
      </c>
      <c r="BN340" s="51">
        <v>0</v>
      </c>
      <c r="BP340" s="30">
        <v>0</v>
      </c>
      <c r="BQ340" s="20">
        <v>607906793.77693379</v>
      </c>
      <c r="BR340" s="51">
        <v>0</v>
      </c>
      <c r="BT340" s="30">
        <v>0</v>
      </c>
      <c r="BU340" s="51">
        <v>0</v>
      </c>
      <c r="BW340" s="221">
        <v>0</v>
      </c>
      <c r="BX340" s="222">
        <v>0</v>
      </c>
    </row>
    <row r="341" spans="6:76" x14ac:dyDescent="0.2">
      <c r="F341" s="151">
        <v>337</v>
      </c>
      <c r="G341" s="30">
        <v>0</v>
      </c>
      <c r="H341" s="28">
        <v>0</v>
      </c>
      <c r="I341" s="28">
        <v>0</v>
      </c>
      <c r="J341" s="28">
        <v>0</v>
      </c>
      <c r="K341" s="28">
        <v>0</v>
      </c>
      <c r="L341" s="28">
        <v>0</v>
      </c>
      <c r="M341" s="27">
        <v>0</v>
      </c>
      <c r="N341" s="27">
        <v>0</v>
      </c>
      <c r="O341" s="51">
        <v>0</v>
      </c>
      <c r="P341" s="5"/>
      <c r="Q341" s="30">
        <v>0</v>
      </c>
      <c r="R341" s="27">
        <v>0</v>
      </c>
      <c r="S341" s="27">
        <v>0</v>
      </c>
      <c r="T341" s="51">
        <v>0</v>
      </c>
      <c r="U341" s="5"/>
      <c r="V341" s="30">
        <v>0</v>
      </c>
      <c r="W341" s="51">
        <v>0</v>
      </c>
      <c r="Y341" s="30">
        <v>0</v>
      </c>
      <c r="Z341" s="27">
        <v>0</v>
      </c>
      <c r="AA341" s="27">
        <v>0</v>
      </c>
      <c r="AB341" s="51">
        <v>0</v>
      </c>
      <c r="AD341" s="30">
        <v>60680662830.023964</v>
      </c>
      <c r="AE341" s="27">
        <v>0</v>
      </c>
      <c r="AF341" s="27">
        <v>60680662830.023964</v>
      </c>
      <c r="AG341" s="51">
        <v>0</v>
      </c>
      <c r="AI341" s="30">
        <v>0</v>
      </c>
      <c r="AJ341" s="51">
        <v>0</v>
      </c>
      <c r="AL341" s="43">
        <v>0</v>
      </c>
      <c r="AM341" s="52">
        <v>0</v>
      </c>
      <c r="AN341" s="53">
        <v>0</v>
      </c>
      <c r="AO341" s="54">
        <v>0</v>
      </c>
      <c r="AQ341" s="30">
        <v>0</v>
      </c>
      <c r="AR341" s="27">
        <v>0</v>
      </c>
      <c r="AS341" s="27">
        <v>0</v>
      </c>
      <c r="AT341" s="51">
        <v>0</v>
      </c>
      <c r="AV341" s="30">
        <v>0</v>
      </c>
      <c r="AW341" s="27">
        <v>0</v>
      </c>
      <c r="AX341" s="27">
        <v>0</v>
      </c>
      <c r="AY341" s="51">
        <v>0</v>
      </c>
      <c r="BA341" s="30">
        <v>0</v>
      </c>
      <c r="BB341" s="27">
        <v>0</v>
      </c>
      <c r="BC341" s="27">
        <v>0</v>
      </c>
      <c r="BD341" s="51">
        <v>0</v>
      </c>
      <c r="BF341" s="30">
        <v>0</v>
      </c>
      <c r="BG341" s="27">
        <v>0</v>
      </c>
      <c r="BH341" s="27">
        <v>0</v>
      </c>
      <c r="BI341" s="51">
        <v>0</v>
      </c>
      <c r="BK341" s="30">
        <v>0</v>
      </c>
      <c r="BL341" s="27">
        <v>0</v>
      </c>
      <c r="BM341" s="27">
        <v>0</v>
      </c>
      <c r="BN341" s="51">
        <v>0</v>
      </c>
      <c r="BP341" s="30">
        <v>0</v>
      </c>
      <c r="BQ341" s="20">
        <v>607906793.77693379</v>
      </c>
      <c r="BR341" s="51">
        <v>0</v>
      </c>
      <c r="BT341" s="30">
        <v>0</v>
      </c>
      <c r="BU341" s="51">
        <v>0</v>
      </c>
      <c r="BW341" s="221">
        <v>0</v>
      </c>
      <c r="BX341" s="222">
        <v>0</v>
      </c>
    </row>
    <row r="342" spans="6:76" x14ac:dyDescent="0.2">
      <c r="F342" s="151">
        <v>338</v>
      </c>
      <c r="G342" s="30">
        <v>0</v>
      </c>
      <c r="H342" s="28">
        <v>0</v>
      </c>
      <c r="I342" s="28">
        <v>0</v>
      </c>
      <c r="J342" s="28">
        <v>0</v>
      </c>
      <c r="K342" s="28">
        <v>0</v>
      </c>
      <c r="L342" s="28">
        <v>0</v>
      </c>
      <c r="M342" s="27">
        <v>0</v>
      </c>
      <c r="N342" s="27">
        <v>0</v>
      </c>
      <c r="O342" s="51">
        <v>0</v>
      </c>
      <c r="P342" s="5"/>
      <c r="Q342" s="30">
        <v>0</v>
      </c>
      <c r="R342" s="27">
        <v>0</v>
      </c>
      <c r="S342" s="27">
        <v>0</v>
      </c>
      <c r="T342" s="51">
        <v>0</v>
      </c>
      <c r="U342" s="5"/>
      <c r="V342" s="30">
        <v>0</v>
      </c>
      <c r="W342" s="51">
        <v>0</v>
      </c>
      <c r="Y342" s="30">
        <v>0</v>
      </c>
      <c r="Z342" s="27">
        <v>0</v>
      </c>
      <c r="AA342" s="27">
        <v>0</v>
      </c>
      <c r="AB342" s="51">
        <v>0</v>
      </c>
      <c r="AD342" s="30">
        <v>62392723021.000023</v>
      </c>
      <c r="AE342" s="27">
        <v>0</v>
      </c>
      <c r="AF342" s="27">
        <v>62392723021.000023</v>
      </c>
      <c r="AG342" s="51">
        <v>0</v>
      </c>
      <c r="AI342" s="30">
        <v>0</v>
      </c>
      <c r="AJ342" s="51">
        <v>0</v>
      </c>
      <c r="AL342" s="43">
        <v>0</v>
      </c>
      <c r="AM342" s="52">
        <v>0</v>
      </c>
      <c r="AN342" s="53">
        <v>0</v>
      </c>
      <c r="AO342" s="54">
        <v>0</v>
      </c>
      <c r="AQ342" s="30">
        <v>0</v>
      </c>
      <c r="AR342" s="27">
        <v>0</v>
      </c>
      <c r="AS342" s="27">
        <v>0</v>
      </c>
      <c r="AT342" s="51">
        <v>0</v>
      </c>
      <c r="AV342" s="30">
        <v>0</v>
      </c>
      <c r="AW342" s="27">
        <v>0</v>
      </c>
      <c r="AX342" s="27">
        <v>0</v>
      </c>
      <c r="AY342" s="51">
        <v>0</v>
      </c>
      <c r="BA342" s="30">
        <v>0</v>
      </c>
      <c r="BB342" s="27">
        <v>0</v>
      </c>
      <c r="BC342" s="27">
        <v>0</v>
      </c>
      <c r="BD342" s="51">
        <v>0</v>
      </c>
      <c r="BF342" s="30">
        <v>0</v>
      </c>
      <c r="BG342" s="27">
        <v>0</v>
      </c>
      <c r="BH342" s="27">
        <v>0</v>
      </c>
      <c r="BI342" s="51">
        <v>0</v>
      </c>
      <c r="BK342" s="30">
        <v>0</v>
      </c>
      <c r="BL342" s="27">
        <v>0</v>
      </c>
      <c r="BM342" s="27">
        <v>0</v>
      </c>
      <c r="BN342" s="51">
        <v>0</v>
      </c>
      <c r="BP342" s="30">
        <v>0</v>
      </c>
      <c r="BQ342" s="20">
        <v>607906793.77693379</v>
      </c>
      <c r="BR342" s="51">
        <v>0</v>
      </c>
      <c r="BT342" s="30">
        <v>0</v>
      </c>
      <c r="BU342" s="51">
        <v>0</v>
      </c>
      <c r="BW342" s="221">
        <v>0</v>
      </c>
      <c r="BX342" s="222">
        <v>0</v>
      </c>
    </row>
    <row r="343" spans="6:76" x14ac:dyDescent="0.2">
      <c r="F343" s="151">
        <v>339</v>
      </c>
      <c r="G343" s="30">
        <v>0</v>
      </c>
      <c r="H343" s="28">
        <v>0</v>
      </c>
      <c r="I343" s="28">
        <v>0</v>
      </c>
      <c r="J343" s="28">
        <v>0</v>
      </c>
      <c r="K343" s="28">
        <v>0</v>
      </c>
      <c r="L343" s="28">
        <v>0</v>
      </c>
      <c r="M343" s="27">
        <v>0</v>
      </c>
      <c r="N343" s="27">
        <v>0</v>
      </c>
      <c r="O343" s="51">
        <v>0</v>
      </c>
      <c r="P343" s="5"/>
      <c r="Q343" s="30">
        <v>0</v>
      </c>
      <c r="R343" s="27">
        <v>0</v>
      </c>
      <c r="S343" s="27">
        <v>0</v>
      </c>
      <c r="T343" s="51">
        <v>0</v>
      </c>
      <c r="U343" s="5"/>
      <c r="V343" s="30">
        <v>0</v>
      </c>
      <c r="W343" s="51">
        <v>0</v>
      </c>
      <c r="Y343" s="30">
        <v>0</v>
      </c>
      <c r="Z343" s="27">
        <v>0</v>
      </c>
      <c r="AA343" s="27">
        <v>0</v>
      </c>
      <c r="AB343" s="51">
        <v>0</v>
      </c>
      <c r="AD343" s="30">
        <v>64153087728.782959</v>
      </c>
      <c r="AE343" s="27">
        <v>0</v>
      </c>
      <c r="AF343" s="27">
        <v>64153087728.782959</v>
      </c>
      <c r="AG343" s="51">
        <v>0</v>
      </c>
      <c r="AI343" s="30">
        <v>0</v>
      </c>
      <c r="AJ343" s="51">
        <v>0</v>
      </c>
      <c r="AL343" s="43">
        <v>0</v>
      </c>
      <c r="AM343" s="52">
        <v>0</v>
      </c>
      <c r="AN343" s="53">
        <v>0</v>
      </c>
      <c r="AO343" s="54">
        <v>0</v>
      </c>
      <c r="AQ343" s="30">
        <v>0</v>
      </c>
      <c r="AR343" s="27">
        <v>0</v>
      </c>
      <c r="AS343" s="27">
        <v>0</v>
      </c>
      <c r="AT343" s="51">
        <v>0</v>
      </c>
      <c r="AV343" s="30">
        <v>0</v>
      </c>
      <c r="AW343" s="27">
        <v>0</v>
      </c>
      <c r="AX343" s="27">
        <v>0</v>
      </c>
      <c r="AY343" s="51">
        <v>0</v>
      </c>
      <c r="BA343" s="30">
        <v>0</v>
      </c>
      <c r="BB343" s="27">
        <v>0</v>
      </c>
      <c r="BC343" s="27">
        <v>0</v>
      </c>
      <c r="BD343" s="51">
        <v>0</v>
      </c>
      <c r="BF343" s="30">
        <v>0</v>
      </c>
      <c r="BG343" s="27">
        <v>0</v>
      </c>
      <c r="BH343" s="27">
        <v>0</v>
      </c>
      <c r="BI343" s="51">
        <v>0</v>
      </c>
      <c r="BK343" s="30">
        <v>0</v>
      </c>
      <c r="BL343" s="27">
        <v>0</v>
      </c>
      <c r="BM343" s="27">
        <v>0</v>
      </c>
      <c r="BN343" s="51">
        <v>0</v>
      </c>
      <c r="BP343" s="30">
        <v>0</v>
      </c>
      <c r="BQ343" s="20">
        <v>607906793.77693379</v>
      </c>
      <c r="BR343" s="51">
        <v>0</v>
      </c>
      <c r="BT343" s="30">
        <v>0</v>
      </c>
      <c r="BU343" s="51">
        <v>0</v>
      </c>
      <c r="BW343" s="221">
        <v>0</v>
      </c>
      <c r="BX343" s="222">
        <v>0</v>
      </c>
    </row>
    <row r="344" spans="6:76" x14ac:dyDescent="0.2">
      <c r="F344" s="151">
        <v>340</v>
      </c>
      <c r="G344" s="30">
        <v>0</v>
      </c>
      <c r="H344" s="28">
        <v>0</v>
      </c>
      <c r="I344" s="28">
        <v>0</v>
      </c>
      <c r="J344" s="28">
        <v>0</v>
      </c>
      <c r="K344" s="28">
        <v>0</v>
      </c>
      <c r="L344" s="28">
        <v>0</v>
      </c>
      <c r="M344" s="27">
        <v>0</v>
      </c>
      <c r="N344" s="27">
        <v>0</v>
      </c>
      <c r="O344" s="51">
        <v>0</v>
      </c>
      <c r="P344" s="5"/>
      <c r="Q344" s="30">
        <v>0</v>
      </c>
      <c r="R344" s="27">
        <v>0</v>
      </c>
      <c r="S344" s="27">
        <v>0</v>
      </c>
      <c r="T344" s="51">
        <v>0</v>
      </c>
      <c r="U344" s="5"/>
      <c r="V344" s="30">
        <v>0</v>
      </c>
      <c r="W344" s="51">
        <v>0</v>
      </c>
      <c r="Y344" s="30">
        <v>0</v>
      </c>
      <c r="Z344" s="27">
        <v>0</v>
      </c>
      <c r="AA344" s="27">
        <v>0</v>
      </c>
      <c r="AB344" s="51">
        <v>0</v>
      </c>
      <c r="AD344" s="30">
        <v>65963119829.722702</v>
      </c>
      <c r="AE344" s="27">
        <v>0</v>
      </c>
      <c r="AF344" s="27">
        <v>65963119829.722702</v>
      </c>
      <c r="AG344" s="51">
        <v>0</v>
      </c>
      <c r="AI344" s="30">
        <v>0</v>
      </c>
      <c r="AJ344" s="51">
        <v>0</v>
      </c>
      <c r="AL344" s="43">
        <v>0</v>
      </c>
      <c r="AM344" s="52">
        <v>0</v>
      </c>
      <c r="AN344" s="53">
        <v>0</v>
      </c>
      <c r="AO344" s="54">
        <v>0</v>
      </c>
      <c r="AQ344" s="30">
        <v>0</v>
      </c>
      <c r="AR344" s="27">
        <v>0</v>
      </c>
      <c r="AS344" s="27">
        <v>0</v>
      </c>
      <c r="AT344" s="51">
        <v>0</v>
      </c>
      <c r="AV344" s="30">
        <v>0</v>
      </c>
      <c r="AW344" s="27">
        <v>0</v>
      </c>
      <c r="AX344" s="27">
        <v>0</v>
      </c>
      <c r="AY344" s="51">
        <v>0</v>
      </c>
      <c r="BA344" s="30">
        <v>0</v>
      </c>
      <c r="BB344" s="27">
        <v>0</v>
      </c>
      <c r="BC344" s="27">
        <v>0</v>
      </c>
      <c r="BD344" s="51">
        <v>0</v>
      </c>
      <c r="BF344" s="30">
        <v>0</v>
      </c>
      <c r="BG344" s="27">
        <v>0</v>
      </c>
      <c r="BH344" s="27">
        <v>0</v>
      </c>
      <c r="BI344" s="51">
        <v>0</v>
      </c>
      <c r="BK344" s="30">
        <v>0</v>
      </c>
      <c r="BL344" s="27">
        <v>0</v>
      </c>
      <c r="BM344" s="27">
        <v>0</v>
      </c>
      <c r="BN344" s="51">
        <v>0</v>
      </c>
      <c r="BP344" s="30">
        <v>0</v>
      </c>
      <c r="BQ344" s="20">
        <v>607906793.77693379</v>
      </c>
      <c r="BR344" s="51">
        <v>0</v>
      </c>
      <c r="BT344" s="30">
        <v>0</v>
      </c>
      <c r="BU344" s="51">
        <v>0</v>
      </c>
      <c r="BW344" s="221">
        <v>0</v>
      </c>
      <c r="BX344" s="222">
        <v>0</v>
      </c>
    </row>
    <row r="345" spans="6:76" x14ac:dyDescent="0.2">
      <c r="F345" s="151">
        <v>341</v>
      </c>
      <c r="G345" s="30">
        <v>0</v>
      </c>
      <c r="H345" s="28">
        <v>0</v>
      </c>
      <c r="I345" s="28">
        <v>0</v>
      </c>
      <c r="J345" s="28">
        <v>0</v>
      </c>
      <c r="K345" s="28">
        <v>0</v>
      </c>
      <c r="L345" s="28">
        <v>0</v>
      </c>
      <c r="M345" s="27">
        <v>0</v>
      </c>
      <c r="N345" s="27">
        <v>0</v>
      </c>
      <c r="O345" s="51">
        <v>0</v>
      </c>
      <c r="P345" s="5"/>
      <c r="Q345" s="30">
        <v>0</v>
      </c>
      <c r="R345" s="27">
        <v>0</v>
      </c>
      <c r="S345" s="27">
        <v>0</v>
      </c>
      <c r="T345" s="51">
        <v>0</v>
      </c>
      <c r="U345" s="5"/>
      <c r="V345" s="30">
        <v>0</v>
      </c>
      <c r="W345" s="51">
        <v>0</v>
      </c>
      <c r="Y345" s="30">
        <v>0</v>
      </c>
      <c r="Z345" s="27">
        <v>0</v>
      </c>
      <c r="AA345" s="27">
        <v>0</v>
      </c>
      <c r="AB345" s="51">
        <v>0</v>
      </c>
      <c r="AD345" s="30">
        <v>67824220652.721199</v>
      </c>
      <c r="AE345" s="27">
        <v>0</v>
      </c>
      <c r="AF345" s="27">
        <v>67824220652.721199</v>
      </c>
      <c r="AG345" s="51">
        <v>0</v>
      </c>
      <c r="AI345" s="30">
        <v>0</v>
      </c>
      <c r="AJ345" s="51">
        <v>0</v>
      </c>
      <c r="AL345" s="43">
        <v>0</v>
      </c>
      <c r="AM345" s="52">
        <v>0</v>
      </c>
      <c r="AN345" s="53">
        <v>0</v>
      </c>
      <c r="AO345" s="54">
        <v>0</v>
      </c>
      <c r="AQ345" s="30">
        <v>0</v>
      </c>
      <c r="AR345" s="27">
        <v>0</v>
      </c>
      <c r="AS345" s="27">
        <v>0</v>
      </c>
      <c r="AT345" s="51">
        <v>0</v>
      </c>
      <c r="AV345" s="30">
        <v>0</v>
      </c>
      <c r="AW345" s="27">
        <v>0</v>
      </c>
      <c r="AX345" s="27">
        <v>0</v>
      </c>
      <c r="AY345" s="51">
        <v>0</v>
      </c>
      <c r="BA345" s="30">
        <v>0</v>
      </c>
      <c r="BB345" s="27">
        <v>0</v>
      </c>
      <c r="BC345" s="27">
        <v>0</v>
      </c>
      <c r="BD345" s="51">
        <v>0</v>
      </c>
      <c r="BF345" s="30">
        <v>0</v>
      </c>
      <c r="BG345" s="27">
        <v>0</v>
      </c>
      <c r="BH345" s="27">
        <v>0</v>
      </c>
      <c r="BI345" s="51">
        <v>0</v>
      </c>
      <c r="BK345" s="30">
        <v>0</v>
      </c>
      <c r="BL345" s="27">
        <v>0</v>
      </c>
      <c r="BM345" s="27">
        <v>0</v>
      </c>
      <c r="BN345" s="51">
        <v>0</v>
      </c>
      <c r="BP345" s="30">
        <v>0</v>
      </c>
      <c r="BQ345" s="20">
        <v>607906793.77693379</v>
      </c>
      <c r="BR345" s="51">
        <v>0</v>
      </c>
      <c r="BT345" s="30">
        <v>0</v>
      </c>
      <c r="BU345" s="51">
        <v>0</v>
      </c>
      <c r="BW345" s="221">
        <v>0</v>
      </c>
      <c r="BX345" s="222">
        <v>0</v>
      </c>
    </row>
    <row r="346" spans="6:76" x14ac:dyDescent="0.2">
      <c r="F346" s="151">
        <v>342</v>
      </c>
      <c r="G346" s="30">
        <v>0</v>
      </c>
      <c r="H346" s="28">
        <v>0</v>
      </c>
      <c r="I346" s="28">
        <v>0</v>
      </c>
      <c r="J346" s="28">
        <v>0</v>
      </c>
      <c r="K346" s="28">
        <v>0</v>
      </c>
      <c r="L346" s="28">
        <v>0</v>
      </c>
      <c r="M346" s="27">
        <v>0</v>
      </c>
      <c r="N346" s="27">
        <v>0</v>
      </c>
      <c r="O346" s="51">
        <v>0</v>
      </c>
      <c r="P346" s="5"/>
      <c r="Q346" s="30">
        <v>0</v>
      </c>
      <c r="R346" s="27">
        <v>0</v>
      </c>
      <c r="S346" s="27">
        <v>0</v>
      </c>
      <c r="T346" s="51">
        <v>0</v>
      </c>
      <c r="U346" s="5"/>
      <c r="V346" s="30">
        <v>0</v>
      </c>
      <c r="W346" s="51">
        <v>0</v>
      </c>
      <c r="Y346" s="30">
        <v>0</v>
      </c>
      <c r="Z346" s="27">
        <v>0</v>
      </c>
      <c r="AA346" s="27">
        <v>0</v>
      </c>
      <c r="AB346" s="51">
        <v>0</v>
      </c>
      <c r="AD346" s="30">
        <v>69737831064.142853</v>
      </c>
      <c r="AE346" s="27">
        <v>0</v>
      </c>
      <c r="AF346" s="27">
        <v>69737831064.142853</v>
      </c>
      <c r="AG346" s="51">
        <v>0</v>
      </c>
      <c r="AI346" s="30">
        <v>0</v>
      </c>
      <c r="AJ346" s="51">
        <v>0</v>
      </c>
      <c r="AL346" s="43">
        <v>0</v>
      </c>
      <c r="AM346" s="52">
        <v>0</v>
      </c>
      <c r="AN346" s="53">
        <v>0</v>
      </c>
      <c r="AO346" s="54">
        <v>0</v>
      </c>
      <c r="AQ346" s="30">
        <v>0</v>
      </c>
      <c r="AR346" s="27">
        <v>0</v>
      </c>
      <c r="AS346" s="27">
        <v>0</v>
      </c>
      <c r="AT346" s="51">
        <v>0</v>
      </c>
      <c r="AV346" s="30">
        <v>0</v>
      </c>
      <c r="AW346" s="27">
        <v>0</v>
      </c>
      <c r="AX346" s="27">
        <v>0</v>
      </c>
      <c r="AY346" s="51">
        <v>0</v>
      </c>
      <c r="BA346" s="30">
        <v>0</v>
      </c>
      <c r="BB346" s="27">
        <v>0</v>
      </c>
      <c r="BC346" s="27">
        <v>0</v>
      </c>
      <c r="BD346" s="51">
        <v>0</v>
      </c>
      <c r="BF346" s="30">
        <v>0</v>
      </c>
      <c r="BG346" s="27">
        <v>0</v>
      </c>
      <c r="BH346" s="27">
        <v>0</v>
      </c>
      <c r="BI346" s="51">
        <v>0</v>
      </c>
      <c r="BK346" s="30">
        <v>0</v>
      </c>
      <c r="BL346" s="27">
        <v>0</v>
      </c>
      <c r="BM346" s="27">
        <v>0</v>
      </c>
      <c r="BN346" s="51">
        <v>0</v>
      </c>
      <c r="BP346" s="30">
        <v>0</v>
      </c>
      <c r="BQ346" s="20">
        <v>607906793.77693379</v>
      </c>
      <c r="BR346" s="51">
        <v>0</v>
      </c>
      <c r="BT346" s="30">
        <v>0</v>
      </c>
      <c r="BU346" s="51">
        <v>0</v>
      </c>
      <c r="BW346" s="221">
        <v>0</v>
      </c>
      <c r="BX346" s="222">
        <v>0</v>
      </c>
    </row>
    <row r="347" spans="6:76" x14ac:dyDescent="0.2">
      <c r="F347" s="151">
        <v>343</v>
      </c>
      <c r="G347" s="30">
        <v>0</v>
      </c>
      <c r="H347" s="28">
        <v>0</v>
      </c>
      <c r="I347" s="28">
        <v>0</v>
      </c>
      <c r="J347" s="28">
        <v>0</v>
      </c>
      <c r="K347" s="28">
        <v>0</v>
      </c>
      <c r="L347" s="28">
        <v>0</v>
      </c>
      <c r="M347" s="27">
        <v>0</v>
      </c>
      <c r="N347" s="27">
        <v>0</v>
      </c>
      <c r="O347" s="51">
        <v>0</v>
      </c>
      <c r="P347" s="5"/>
      <c r="Q347" s="30">
        <v>0</v>
      </c>
      <c r="R347" s="27">
        <v>0</v>
      </c>
      <c r="S347" s="27">
        <v>0</v>
      </c>
      <c r="T347" s="51">
        <v>0</v>
      </c>
      <c r="U347" s="5"/>
      <c r="V347" s="30">
        <v>0</v>
      </c>
      <c r="W347" s="51">
        <v>0</v>
      </c>
      <c r="Y347" s="30">
        <v>0</v>
      </c>
      <c r="Z347" s="27">
        <v>0</v>
      </c>
      <c r="AA347" s="27">
        <v>0</v>
      </c>
      <c r="AB347" s="51">
        <v>0</v>
      </c>
      <c r="AD347" s="30">
        <v>71705432583.334854</v>
      </c>
      <c r="AE347" s="27">
        <v>0</v>
      </c>
      <c r="AF347" s="27">
        <v>71705432583.334854</v>
      </c>
      <c r="AG347" s="51">
        <v>0</v>
      </c>
      <c r="AI347" s="30">
        <v>0</v>
      </c>
      <c r="AJ347" s="51">
        <v>0</v>
      </c>
      <c r="AL347" s="43">
        <v>0</v>
      </c>
      <c r="AM347" s="52">
        <v>0</v>
      </c>
      <c r="AN347" s="53">
        <v>0</v>
      </c>
      <c r="AO347" s="54">
        <v>0</v>
      </c>
      <c r="AQ347" s="30">
        <v>0</v>
      </c>
      <c r="AR347" s="27">
        <v>0</v>
      </c>
      <c r="AS347" s="27">
        <v>0</v>
      </c>
      <c r="AT347" s="51">
        <v>0</v>
      </c>
      <c r="AV347" s="30">
        <v>0</v>
      </c>
      <c r="AW347" s="27">
        <v>0</v>
      </c>
      <c r="AX347" s="27">
        <v>0</v>
      </c>
      <c r="AY347" s="51">
        <v>0</v>
      </c>
      <c r="BA347" s="30">
        <v>0</v>
      </c>
      <c r="BB347" s="27">
        <v>0</v>
      </c>
      <c r="BC347" s="27">
        <v>0</v>
      </c>
      <c r="BD347" s="51">
        <v>0</v>
      </c>
      <c r="BF347" s="30">
        <v>0</v>
      </c>
      <c r="BG347" s="27">
        <v>0</v>
      </c>
      <c r="BH347" s="27">
        <v>0</v>
      </c>
      <c r="BI347" s="51">
        <v>0</v>
      </c>
      <c r="BK347" s="30">
        <v>0</v>
      </c>
      <c r="BL347" s="27">
        <v>0</v>
      </c>
      <c r="BM347" s="27">
        <v>0</v>
      </c>
      <c r="BN347" s="51">
        <v>0</v>
      </c>
      <c r="BP347" s="30">
        <v>0</v>
      </c>
      <c r="BQ347" s="20">
        <v>607906793.77693379</v>
      </c>
      <c r="BR347" s="51">
        <v>0</v>
      </c>
      <c r="BT347" s="30">
        <v>0</v>
      </c>
      <c r="BU347" s="51">
        <v>0</v>
      </c>
      <c r="BW347" s="221">
        <v>0</v>
      </c>
      <c r="BX347" s="222">
        <v>0</v>
      </c>
    </row>
    <row r="348" spans="6:76" x14ac:dyDescent="0.2">
      <c r="F348" s="151">
        <v>344</v>
      </c>
      <c r="G348" s="30">
        <v>0</v>
      </c>
      <c r="H348" s="28">
        <v>0</v>
      </c>
      <c r="I348" s="28">
        <v>0</v>
      </c>
      <c r="J348" s="28">
        <v>0</v>
      </c>
      <c r="K348" s="28">
        <v>0</v>
      </c>
      <c r="L348" s="28">
        <v>0</v>
      </c>
      <c r="M348" s="27">
        <v>0</v>
      </c>
      <c r="N348" s="27">
        <v>0</v>
      </c>
      <c r="O348" s="51">
        <v>0</v>
      </c>
      <c r="P348" s="5"/>
      <c r="Q348" s="30">
        <v>0</v>
      </c>
      <c r="R348" s="27">
        <v>0</v>
      </c>
      <c r="S348" s="27">
        <v>0</v>
      </c>
      <c r="T348" s="51">
        <v>0</v>
      </c>
      <c r="U348" s="5"/>
      <c r="V348" s="30">
        <v>0</v>
      </c>
      <c r="W348" s="51">
        <v>0</v>
      </c>
      <c r="Y348" s="30">
        <v>0</v>
      </c>
      <c r="Z348" s="27">
        <v>0</v>
      </c>
      <c r="AA348" s="27">
        <v>0</v>
      </c>
      <c r="AB348" s="51">
        <v>0</v>
      </c>
      <c r="AD348" s="30">
        <v>73728548529.621185</v>
      </c>
      <c r="AE348" s="27">
        <v>0</v>
      </c>
      <c r="AF348" s="27">
        <v>73728548529.621185</v>
      </c>
      <c r="AG348" s="51">
        <v>0</v>
      </c>
      <c r="AI348" s="30">
        <v>0</v>
      </c>
      <c r="AJ348" s="51">
        <v>0</v>
      </c>
      <c r="AL348" s="43">
        <v>0</v>
      </c>
      <c r="AM348" s="52">
        <v>0</v>
      </c>
      <c r="AN348" s="53">
        <v>0</v>
      </c>
      <c r="AO348" s="54">
        <v>0</v>
      </c>
      <c r="AQ348" s="30">
        <v>0</v>
      </c>
      <c r="AR348" s="27">
        <v>0</v>
      </c>
      <c r="AS348" s="27">
        <v>0</v>
      </c>
      <c r="AT348" s="51">
        <v>0</v>
      </c>
      <c r="AV348" s="30">
        <v>0</v>
      </c>
      <c r="AW348" s="27">
        <v>0</v>
      </c>
      <c r="AX348" s="27">
        <v>0</v>
      </c>
      <c r="AY348" s="51">
        <v>0</v>
      </c>
      <c r="BA348" s="30">
        <v>0</v>
      </c>
      <c r="BB348" s="27">
        <v>0</v>
      </c>
      <c r="BC348" s="27">
        <v>0</v>
      </c>
      <c r="BD348" s="51">
        <v>0</v>
      </c>
      <c r="BF348" s="30">
        <v>0</v>
      </c>
      <c r="BG348" s="27">
        <v>0</v>
      </c>
      <c r="BH348" s="27">
        <v>0</v>
      </c>
      <c r="BI348" s="51">
        <v>0</v>
      </c>
      <c r="BK348" s="30">
        <v>0</v>
      </c>
      <c r="BL348" s="27">
        <v>0</v>
      </c>
      <c r="BM348" s="27">
        <v>0</v>
      </c>
      <c r="BN348" s="51">
        <v>0</v>
      </c>
      <c r="BP348" s="30">
        <v>0</v>
      </c>
      <c r="BQ348" s="20">
        <v>607906793.77693379</v>
      </c>
      <c r="BR348" s="51">
        <v>0</v>
      </c>
      <c r="BT348" s="30">
        <v>0</v>
      </c>
      <c r="BU348" s="51">
        <v>0</v>
      </c>
      <c r="BW348" s="221">
        <v>0</v>
      </c>
      <c r="BX348" s="222">
        <v>0</v>
      </c>
    </row>
    <row r="349" spans="6:76" x14ac:dyDescent="0.2">
      <c r="F349" s="151">
        <v>345</v>
      </c>
      <c r="G349" s="30">
        <v>0</v>
      </c>
      <c r="H349" s="28">
        <v>0</v>
      </c>
      <c r="I349" s="28">
        <v>0</v>
      </c>
      <c r="J349" s="28">
        <v>0</v>
      </c>
      <c r="K349" s="28">
        <v>0</v>
      </c>
      <c r="L349" s="28">
        <v>0</v>
      </c>
      <c r="M349" s="27">
        <v>0</v>
      </c>
      <c r="N349" s="27">
        <v>0</v>
      </c>
      <c r="O349" s="51">
        <v>0</v>
      </c>
      <c r="P349" s="5"/>
      <c r="Q349" s="30">
        <v>0</v>
      </c>
      <c r="R349" s="27">
        <v>0</v>
      </c>
      <c r="S349" s="27">
        <v>0</v>
      </c>
      <c r="T349" s="51">
        <v>0</v>
      </c>
      <c r="U349" s="5"/>
      <c r="V349" s="30">
        <v>0</v>
      </c>
      <c r="W349" s="51">
        <v>0</v>
      </c>
      <c r="Y349" s="30">
        <v>0</v>
      </c>
      <c r="Z349" s="27">
        <v>0</v>
      </c>
      <c r="AA349" s="27">
        <v>0</v>
      </c>
      <c r="AB349" s="51">
        <v>0</v>
      </c>
      <c r="AD349" s="30">
        <v>75808745201.658112</v>
      </c>
      <c r="AE349" s="27">
        <v>0</v>
      </c>
      <c r="AF349" s="27">
        <v>75808745201.658112</v>
      </c>
      <c r="AG349" s="51">
        <v>0</v>
      </c>
      <c r="AI349" s="30">
        <v>0</v>
      </c>
      <c r="AJ349" s="51">
        <v>0</v>
      </c>
      <c r="AL349" s="43">
        <v>0</v>
      </c>
      <c r="AM349" s="52">
        <v>0</v>
      </c>
      <c r="AN349" s="53">
        <v>0</v>
      </c>
      <c r="AO349" s="54">
        <v>0</v>
      </c>
      <c r="AQ349" s="30">
        <v>0</v>
      </c>
      <c r="AR349" s="27">
        <v>0</v>
      </c>
      <c r="AS349" s="27">
        <v>0</v>
      </c>
      <c r="AT349" s="51">
        <v>0</v>
      </c>
      <c r="AV349" s="30">
        <v>0</v>
      </c>
      <c r="AW349" s="27">
        <v>0</v>
      </c>
      <c r="AX349" s="27">
        <v>0</v>
      </c>
      <c r="AY349" s="51">
        <v>0</v>
      </c>
      <c r="BA349" s="30">
        <v>0</v>
      </c>
      <c r="BB349" s="27">
        <v>0</v>
      </c>
      <c r="BC349" s="27">
        <v>0</v>
      </c>
      <c r="BD349" s="51">
        <v>0</v>
      </c>
      <c r="BF349" s="30">
        <v>0</v>
      </c>
      <c r="BG349" s="27">
        <v>0</v>
      </c>
      <c r="BH349" s="27">
        <v>0</v>
      </c>
      <c r="BI349" s="51">
        <v>0</v>
      </c>
      <c r="BK349" s="30">
        <v>0</v>
      </c>
      <c r="BL349" s="27">
        <v>0</v>
      </c>
      <c r="BM349" s="27">
        <v>0</v>
      </c>
      <c r="BN349" s="51">
        <v>0</v>
      </c>
      <c r="BP349" s="30">
        <v>0</v>
      </c>
      <c r="BQ349" s="20">
        <v>607906793.77693379</v>
      </c>
      <c r="BR349" s="51">
        <v>0</v>
      </c>
      <c r="BT349" s="30">
        <v>0</v>
      </c>
      <c r="BU349" s="51">
        <v>0</v>
      </c>
      <c r="BW349" s="221">
        <v>0</v>
      </c>
      <c r="BX349" s="222">
        <v>0</v>
      </c>
    </row>
    <row r="350" spans="6:76" x14ac:dyDescent="0.2">
      <c r="F350" s="151">
        <v>346</v>
      </c>
      <c r="G350" s="30">
        <v>0</v>
      </c>
      <c r="H350" s="28">
        <v>0</v>
      </c>
      <c r="I350" s="28">
        <v>0</v>
      </c>
      <c r="J350" s="28">
        <v>0</v>
      </c>
      <c r="K350" s="28">
        <v>0</v>
      </c>
      <c r="L350" s="28">
        <v>0</v>
      </c>
      <c r="M350" s="27">
        <v>0</v>
      </c>
      <c r="N350" s="27">
        <v>0</v>
      </c>
      <c r="O350" s="51">
        <v>0</v>
      </c>
      <c r="P350" s="5"/>
      <c r="Q350" s="30">
        <v>0</v>
      </c>
      <c r="R350" s="27">
        <v>0</v>
      </c>
      <c r="S350" s="27">
        <v>0</v>
      </c>
      <c r="T350" s="51">
        <v>0</v>
      </c>
      <c r="U350" s="5"/>
      <c r="V350" s="30">
        <v>0</v>
      </c>
      <c r="W350" s="51">
        <v>0</v>
      </c>
      <c r="Y350" s="30">
        <v>0</v>
      </c>
      <c r="Z350" s="27">
        <v>0</v>
      </c>
      <c r="AA350" s="27">
        <v>0</v>
      </c>
      <c r="AB350" s="51">
        <v>0</v>
      </c>
      <c r="AD350" s="30">
        <v>77947633090.064438</v>
      </c>
      <c r="AE350" s="27">
        <v>0</v>
      </c>
      <c r="AF350" s="27">
        <v>77947633090.064438</v>
      </c>
      <c r="AG350" s="51">
        <v>0</v>
      </c>
      <c r="AI350" s="30">
        <v>0</v>
      </c>
      <c r="AJ350" s="51">
        <v>0</v>
      </c>
      <c r="AL350" s="43">
        <v>0</v>
      </c>
      <c r="AM350" s="52">
        <v>0</v>
      </c>
      <c r="AN350" s="53">
        <v>0</v>
      </c>
      <c r="AO350" s="54">
        <v>0</v>
      </c>
      <c r="AQ350" s="30">
        <v>0</v>
      </c>
      <c r="AR350" s="27">
        <v>0</v>
      </c>
      <c r="AS350" s="27">
        <v>0</v>
      </c>
      <c r="AT350" s="51">
        <v>0</v>
      </c>
      <c r="AV350" s="30">
        <v>0</v>
      </c>
      <c r="AW350" s="27">
        <v>0</v>
      </c>
      <c r="AX350" s="27">
        <v>0</v>
      </c>
      <c r="AY350" s="51">
        <v>0</v>
      </c>
      <c r="BA350" s="30">
        <v>0</v>
      </c>
      <c r="BB350" s="27">
        <v>0</v>
      </c>
      <c r="BC350" s="27">
        <v>0</v>
      </c>
      <c r="BD350" s="51">
        <v>0</v>
      </c>
      <c r="BF350" s="30">
        <v>0</v>
      </c>
      <c r="BG350" s="27">
        <v>0</v>
      </c>
      <c r="BH350" s="27">
        <v>0</v>
      </c>
      <c r="BI350" s="51">
        <v>0</v>
      </c>
      <c r="BK350" s="30">
        <v>0</v>
      </c>
      <c r="BL350" s="27">
        <v>0</v>
      </c>
      <c r="BM350" s="27">
        <v>0</v>
      </c>
      <c r="BN350" s="51">
        <v>0</v>
      </c>
      <c r="BP350" s="30">
        <v>0</v>
      </c>
      <c r="BQ350" s="20">
        <v>607906793.77693379</v>
      </c>
      <c r="BR350" s="51">
        <v>0</v>
      </c>
      <c r="BT350" s="30">
        <v>0</v>
      </c>
      <c r="BU350" s="51">
        <v>0</v>
      </c>
      <c r="BW350" s="221">
        <v>0</v>
      </c>
      <c r="BX350" s="222">
        <v>0</v>
      </c>
    </row>
    <row r="351" spans="6:76" x14ac:dyDescent="0.2">
      <c r="F351" s="151">
        <v>347</v>
      </c>
      <c r="G351" s="30">
        <v>0</v>
      </c>
      <c r="H351" s="28">
        <v>0</v>
      </c>
      <c r="I351" s="28">
        <v>0</v>
      </c>
      <c r="J351" s="28">
        <v>0</v>
      </c>
      <c r="K351" s="28">
        <v>0</v>
      </c>
      <c r="L351" s="28">
        <v>0</v>
      </c>
      <c r="M351" s="27">
        <v>0</v>
      </c>
      <c r="N351" s="27">
        <v>0</v>
      </c>
      <c r="O351" s="51">
        <v>0</v>
      </c>
      <c r="P351" s="5"/>
      <c r="Q351" s="30">
        <v>0</v>
      </c>
      <c r="R351" s="27">
        <v>0</v>
      </c>
      <c r="S351" s="27">
        <v>0</v>
      </c>
      <c r="T351" s="51">
        <v>0</v>
      </c>
      <c r="U351" s="5"/>
      <c r="V351" s="30">
        <v>0</v>
      </c>
      <c r="W351" s="51">
        <v>0</v>
      </c>
      <c r="Y351" s="30">
        <v>0</v>
      </c>
      <c r="Z351" s="27">
        <v>0</v>
      </c>
      <c r="AA351" s="27">
        <v>0</v>
      </c>
      <c r="AB351" s="51">
        <v>0</v>
      </c>
      <c r="AD351" s="30">
        <v>80146868124.265121</v>
      </c>
      <c r="AE351" s="27">
        <v>0</v>
      </c>
      <c r="AF351" s="27">
        <v>80146868124.265121</v>
      </c>
      <c r="AG351" s="51">
        <v>0</v>
      </c>
      <c r="AI351" s="30">
        <v>0</v>
      </c>
      <c r="AJ351" s="51">
        <v>0</v>
      </c>
      <c r="AL351" s="43">
        <v>0</v>
      </c>
      <c r="AM351" s="52">
        <v>0</v>
      </c>
      <c r="AN351" s="53">
        <v>0</v>
      </c>
      <c r="AO351" s="54">
        <v>0</v>
      </c>
      <c r="AQ351" s="30">
        <v>0</v>
      </c>
      <c r="AR351" s="27">
        <v>0</v>
      </c>
      <c r="AS351" s="27">
        <v>0</v>
      </c>
      <c r="AT351" s="51">
        <v>0</v>
      </c>
      <c r="AV351" s="30">
        <v>0</v>
      </c>
      <c r="AW351" s="27">
        <v>0</v>
      </c>
      <c r="AX351" s="27">
        <v>0</v>
      </c>
      <c r="AY351" s="51">
        <v>0</v>
      </c>
      <c r="BA351" s="30">
        <v>0</v>
      </c>
      <c r="BB351" s="27">
        <v>0</v>
      </c>
      <c r="BC351" s="27">
        <v>0</v>
      </c>
      <c r="BD351" s="51">
        <v>0</v>
      </c>
      <c r="BF351" s="30">
        <v>0</v>
      </c>
      <c r="BG351" s="27">
        <v>0</v>
      </c>
      <c r="BH351" s="27">
        <v>0</v>
      </c>
      <c r="BI351" s="51">
        <v>0</v>
      </c>
      <c r="BK351" s="30">
        <v>0</v>
      </c>
      <c r="BL351" s="27">
        <v>0</v>
      </c>
      <c r="BM351" s="27">
        <v>0</v>
      </c>
      <c r="BN351" s="51">
        <v>0</v>
      </c>
      <c r="BP351" s="30">
        <v>0</v>
      </c>
      <c r="BQ351" s="20">
        <v>607906793.77693379</v>
      </c>
      <c r="BR351" s="51">
        <v>0</v>
      </c>
      <c r="BT351" s="30">
        <v>0</v>
      </c>
      <c r="BU351" s="51">
        <v>0</v>
      </c>
      <c r="BW351" s="221">
        <v>0</v>
      </c>
      <c r="BX351" s="222">
        <v>0</v>
      </c>
    </row>
    <row r="352" spans="6:76" x14ac:dyDescent="0.2">
      <c r="F352" s="151">
        <v>348</v>
      </c>
      <c r="G352" s="30">
        <v>0</v>
      </c>
      <c r="H352" s="28">
        <v>0</v>
      </c>
      <c r="I352" s="28">
        <v>0</v>
      </c>
      <c r="J352" s="28">
        <v>0</v>
      </c>
      <c r="K352" s="28">
        <v>0</v>
      </c>
      <c r="L352" s="28">
        <v>0</v>
      </c>
      <c r="M352" s="27">
        <v>0</v>
      </c>
      <c r="N352" s="27">
        <v>0</v>
      </c>
      <c r="O352" s="51">
        <v>0</v>
      </c>
      <c r="P352" s="5"/>
      <c r="Q352" s="30">
        <v>0</v>
      </c>
      <c r="R352" s="27">
        <v>0</v>
      </c>
      <c r="S352" s="27">
        <v>0</v>
      </c>
      <c r="T352" s="51">
        <v>0</v>
      </c>
      <c r="U352" s="5"/>
      <c r="V352" s="30">
        <v>0</v>
      </c>
      <c r="W352" s="51">
        <v>0</v>
      </c>
      <c r="Y352" s="30">
        <v>0</v>
      </c>
      <c r="Z352" s="27">
        <v>0</v>
      </c>
      <c r="AA352" s="27">
        <v>0</v>
      </c>
      <c r="AB352" s="51">
        <v>0</v>
      </c>
      <c r="AD352" s="30">
        <v>82408152954.513718</v>
      </c>
      <c r="AE352" s="27">
        <v>0</v>
      </c>
      <c r="AF352" s="27">
        <v>82408152954.513718</v>
      </c>
      <c r="AG352" s="51">
        <v>0</v>
      </c>
      <c r="AI352" s="30">
        <v>0</v>
      </c>
      <c r="AJ352" s="51">
        <v>0</v>
      </c>
      <c r="AL352" s="43">
        <v>0</v>
      </c>
      <c r="AM352" s="52">
        <v>0</v>
      </c>
      <c r="AN352" s="53">
        <v>0</v>
      </c>
      <c r="AO352" s="54">
        <v>0</v>
      </c>
      <c r="AQ352" s="30">
        <v>0</v>
      </c>
      <c r="AR352" s="27">
        <v>0</v>
      </c>
      <c r="AS352" s="27">
        <v>0</v>
      </c>
      <c r="AT352" s="51">
        <v>0</v>
      </c>
      <c r="AV352" s="30">
        <v>0</v>
      </c>
      <c r="AW352" s="27">
        <v>0</v>
      </c>
      <c r="AX352" s="27">
        <v>0</v>
      </c>
      <c r="AY352" s="51">
        <v>0</v>
      </c>
      <c r="BA352" s="30">
        <v>0</v>
      </c>
      <c r="BB352" s="27">
        <v>0</v>
      </c>
      <c r="BC352" s="27">
        <v>0</v>
      </c>
      <c r="BD352" s="51">
        <v>0</v>
      </c>
      <c r="BF352" s="30">
        <v>0</v>
      </c>
      <c r="BG352" s="27">
        <v>0</v>
      </c>
      <c r="BH352" s="27">
        <v>0</v>
      </c>
      <c r="BI352" s="51">
        <v>0</v>
      </c>
      <c r="BK352" s="30">
        <v>0</v>
      </c>
      <c r="BL352" s="27">
        <v>0</v>
      </c>
      <c r="BM352" s="27">
        <v>0</v>
      </c>
      <c r="BN352" s="51">
        <v>0</v>
      </c>
      <c r="BP352" s="30">
        <v>0</v>
      </c>
      <c r="BQ352" s="20">
        <v>607906793.77693379</v>
      </c>
      <c r="BR352" s="51">
        <v>0</v>
      </c>
      <c r="BT352" s="30">
        <v>0</v>
      </c>
      <c r="BU352" s="51">
        <v>0</v>
      </c>
      <c r="BW352" s="221">
        <v>0</v>
      </c>
      <c r="BX352" s="222">
        <v>0</v>
      </c>
    </row>
    <row r="353" spans="6:76" x14ac:dyDescent="0.2">
      <c r="F353" s="151">
        <v>349</v>
      </c>
      <c r="G353" s="30">
        <v>0</v>
      </c>
      <c r="H353" s="28">
        <v>0</v>
      </c>
      <c r="I353" s="28">
        <v>0</v>
      </c>
      <c r="J353" s="28">
        <v>0</v>
      </c>
      <c r="K353" s="28">
        <v>0</v>
      </c>
      <c r="L353" s="28">
        <v>0</v>
      </c>
      <c r="M353" s="27">
        <v>0</v>
      </c>
      <c r="N353" s="27">
        <v>0</v>
      </c>
      <c r="O353" s="51">
        <v>0</v>
      </c>
      <c r="P353" s="5"/>
      <c r="Q353" s="30">
        <v>0</v>
      </c>
      <c r="R353" s="27">
        <v>0</v>
      </c>
      <c r="S353" s="27">
        <v>0</v>
      </c>
      <c r="T353" s="51">
        <v>0</v>
      </c>
      <c r="U353" s="5"/>
      <c r="V353" s="30">
        <v>0</v>
      </c>
      <c r="W353" s="51">
        <v>0</v>
      </c>
      <c r="Y353" s="30">
        <v>0</v>
      </c>
      <c r="Z353" s="27">
        <v>0</v>
      </c>
      <c r="AA353" s="27">
        <v>0</v>
      </c>
      <c r="AB353" s="51">
        <v>0</v>
      </c>
      <c r="AD353" s="30">
        <v>84733238270.086121</v>
      </c>
      <c r="AE353" s="27">
        <v>0</v>
      </c>
      <c r="AF353" s="27">
        <v>84733238270.086121</v>
      </c>
      <c r="AG353" s="51">
        <v>0</v>
      </c>
      <c r="AI353" s="30">
        <v>0</v>
      </c>
      <c r="AJ353" s="51">
        <v>0</v>
      </c>
      <c r="AL353" s="43">
        <v>0</v>
      </c>
      <c r="AM353" s="52">
        <v>0</v>
      </c>
      <c r="AN353" s="53">
        <v>0</v>
      </c>
      <c r="AO353" s="54">
        <v>0</v>
      </c>
      <c r="AQ353" s="30">
        <v>0</v>
      </c>
      <c r="AR353" s="27">
        <v>0</v>
      </c>
      <c r="AS353" s="27">
        <v>0</v>
      </c>
      <c r="AT353" s="51">
        <v>0</v>
      </c>
      <c r="AV353" s="30">
        <v>0</v>
      </c>
      <c r="AW353" s="27">
        <v>0</v>
      </c>
      <c r="AX353" s="27">
        <v>0</v>
      </c>
      <c r="AY353" s="51">
        <v>0</v>
      </c>
      <c r="BA353" s="30">
        <v>0</v>
      </c>
      <c r="BB353" s="27">
        <v>0</v>
      </c>
      <c r="BC353" s="27">
        <v>0</v>
      </c>
      <c r="BD353" s="51">
        <v>0</v>
      </c>
      <c r="BF353" s="30">
        <v>0</v>
      </c>
      <c r="BG353" s="27">
        <v>0</v>
      </c>
      <c r="BH353" s="27">
        <v>0</v>
      </c>
      <c r="BI353" s="51">
        <v>0</v>
      </c>
      <c r="BK353" s="30">
        <v>0</v>
      </c>
      <c r="BL353" s="27">
        <v>0</v>
      </c>
      <c r="BM353" s="27">
        <v>0</v>
      </c>
      <c r="BN353" s="51">
        <v>0</v>
      </c>
      <c r="BP353" s="30">
        <v>0</v>
      </c>
      <c r="BQ353" s="20">
        <v>607906793.77693379</v>
      </c>
      <c r="BR353" s="51">
        <v>0</v>
      </c>
      <c r="BT353" s="30">
        <v>0</v>
      </c>
      <c r="BU353" s="51">
        <v>0</v>
      </c>
      <c r="BW353" s="221">
        <v>0</v>
      </c>
      <c r="BX353" s="222">
        <v>0</v>
      </c>
    </row>
    <row r="354" spans="6:76" x14ac:dyDescent="0.2">
      <c r="F354" s="151">
        <v>350</v>
      </c>
      <c r="G354" s="30">
        <v>0</v>
      </c>
      <c r="H354" s="28">
        <v>0</v>
      </c>
      <c r="I354" s="28">
        <v>0</v>
      </c>
      <c r="J354" s="28">
        <v>0</v>
      </c>
      <c r="K354" s="28">
        <v>0</v>
      </c>
      <c r="L354" s="28">
        <v>0</v>
      </c>
      <c r="M354" s="27">
        <v>0</v>
      </c>
      <c r="N354" s="27">
        <v>0</v>
      </c>
      <c r="O354" s="51">
        <v>0</v>
      </c>
      <c r="P354" s="5"/>
      <c r="Q354" s="30">
        <v>0</v>
      </c>
      <c r="R354" s="27">
        <v>0</v>
      </c>
      <c r="S354" s="27">
        <v>0</v>
      </c>
      <c r="T354" s="51">
        <v>0</v>
      </c>
      <c r="U354" s="5"/>
      <c r="V354" s="30">
        <v>0</v>
      </c>
      <c r="W354" s="51">
        <v>0</v>
      </c>
      <c r="Y354" s="30">
        <v>0</v>
      </c>
      <c r="Z354" s="27">
        <v>0</v>
      </c>
      <c r="AA354" s="27">
        <v>0</v>
      </c>
      <c r="AB354" s="51">
        <v>0</v>
      </c>
      <c r="AD354" s="30">
        <v>87123924154.666245</v>
      </c>
      <c r="AE354" s="27">
        <v>0</v>
      </c>
      <c r="AF354" s="27">
        <v>87123924154.666245</v>
      </c>
      <c r="AG354" s="51">
        <v>0</v>
      </c>
      <c r="AI354" s="30">
        <v>0</v>
      </c>
      <c r="AJ354" s="51">
        <v>0</v>
      </c>
      <c r="AL354" s="43">
        <v>0</v>
      </c>
      <c r="AM354" s="52">
        <v>0</v>
      </c>
      <c r="AN354" s="53">
        <v>0</v>
      </c>
      <c r="AO354" s="54">
        <v>0</v>
      </c>
      <c r="AQ354" s="30">
        <v>0</v>
      </c>
      <c r="AR354" s="27">
        <v>0</v>
      </c>
      <c r="AS354" s="27">
        <v>0</v>
      </c>
      <c r="AT354" s="51">
        <v>0</v>
      </c>
      <c r="AV354" s="30">
        <v>0</v>
      </c>
      <c r="AW354" s="27">
        <v>0</v>
      </c>
      <c r="AX354" s="27">
        <v>0</v>
      </c>
      <c r="AY354" s="51">
        <v>0</v>
      </c>
      <c r="BA354" s="30">
        <v>0</v>
      </c>
      <c r="BB354" s="27">
        <v>0</v>
      </c>
      <c r="BC354" s="27">
        <v>0</v>
      </c>
      <c r="BD354" s="51">
        <v>0</v>
      </c>
      <c r="BF354" s="30">
        <v>0</v>
      </c>
      <c r="BG354" s="27">
        <v>0</v>
      </c>
      <c r="BH354" s="27">
        <v>0</v>
      </c>
      <c r="BI354" s="51">
        <v>0</v>
      </c>
      <c r="BK354" s="30">
        <v>0</v>
      </c>
      <c r="BL354" s="27">
        <v>0</v>
      </c>
      <c r="BM354" s="27">
        <v>0</v>
      </c>
      <c r="BN354" s="51">
        <v>0</v>
      </c>
      <c r="BP354" s="30">
        <v>0</v>
      </c>
      <c r="BQ354" s="20">
        <v>607906793.77693379</v>
      </c>
      <c r="BR354" s="51">
        <v>0</v>
      </c>
      <c r="BT354" s="30">
        <v>0</v>
      </c>
      <c r="BU354" s="51">
        <v>0</v>
      </c>
      <c r="BW354" s="221">
        <v>0</v>
      </c>
      <c r="BX354" s="222">
        <v>0</v>
      </c>
    </row>
    <row r="355" spans="6:76" x14ac:dyDescent="0.2">
      <c r="F355" s="151">
        <v>351</v>
      </c>
      <c r="G355" s="30">
        <v>0</v>
      </c>
      <c r="H355" s="28">
        <v>0</v>
      </c>
      <c r="I355" s="28">
        <v>0</v>
      </c>
      <c r="J355" s="28">
        <v>0</v>
      </c>
      <c r="K355" s="28">
        <v>0</v>
      </c>
      <c r="L355" s="28">
        <v>0</v>
      </c>
      <c r="M355" s="27">
        <v>0</v>
      </c>
      <c r="N355" s="27">
        <v>0</v>
      </c>
      <c r="O355" s="51">
        <v>0</v>
      </c>
      <c r="P355" s="5"/>
      <c r="Q355" s="30">
        <v>0</v>
      </c>
      <c r="R355" s="27">
        <v>0</v>
      </c>
      <c r="S355" s="27">
        <v>0</v>
      </c>
      <c r="T355" s="51">
        <v>0</v>
      </c>
      <c r="U355" s="5"/>
      <c r="V355" s="30">
        <v>0</v>
      </c>
      <c r="W355" s="51">
        <v>0</v>
      </c>
      <c r="Y355" s="30">
        <v>0</v>
      </c>
      <c r="Z355" s="27">
        <v>0</v>
      </c>
      <c r="AA355" s="27">
        <v>0</v>
      </c>
      <c r="AB355" s="51">
        <v>0</v>
      </c>
      <c r="AD355" s="30">
        <v>89582061479.972763</v>
      </c>
      <c r="AE355" s="27">
        <v>0</v>
      </c>
      <c r="AF355" s="27">
        <v>89582061479.972763</v>
      </c>
      <c r="AG355" s="51">
        <v>0</v>
      </c>
      <c r="AI355" s="30">
        <v>0</v>
      </c>
      <c r="AJ355" s="51">
        <v>0</v>
      </c>
      <c r="AL355" s="43">
        <v>0</v>
      </c>
      <c r="AM355" s="52">
        <v>0</v>
      </c>
      <c r="AN355" s="53">
        <v>0</v>
      </c>
      <c r="AO355" s="54">
        <v>0</v>
      </c>
      <c r="AQ355" s="30">
        <v>0</v>
      </c>
      <c r="AR355" s="27">
        <v>0</v>
      </c>
      <c r="AS355" s="27">
        <v>0</v>
      </c>
      <c r="AT355" s="51">
        <v>0</v>
      </c>
      <c r="AV355" s="30">
        <v>0</v>
      </c>
      <c r="AW355" s="27">
        <v>0</v>
      </c>
      <c r="AX355" s="27">
        <v>0</v>
      </c>
      <c r="AY355" s="51">
        <v>0</v>
      </c>
      <c r="BA355" s="30">
        <v>0</v>
      </c>
      <c r="BB355" s="27">
        <v>0</v>
      </c>
      <c r="BC355" s="27">
        <v>0</v>
      </c>
      <c r="BD355" s="51">
        <v>0</v>
      </c>
      <c r="BF355" s="30">
        <v>0</v>
      </c>
      <c r="BG355" s="27">
        <v>0</v>
      </c>
      <c r="BH355" s="27">
        <v>0</v>
      </c>
      <c r="BI355" s="51">
        <v>0</v>
      </c>
      <c r="BK355" s="30">
        <v>0</v>
      </c>
      <c r="BL355" s="27">
        <v>0</v>
      </c>
      <c r="BM355" s="27">
        <v>0</v>
      </c>
      <c r="BN355" s="51">
        <v>0</v>
      </c>
      <c r="BP355" s="30">
        <v>0</v>
      </c>
      <c r="BQ355" s="20">
        <v>607906793.77693379</v>
      </c>
      <c r="BR355" s="51">
        <v>0</v>
      </c>
      <c r="BT355" s="30">
        <v>0</v>
      </c>
      <c r="BU355" s="51">
        <v>0</v>
      </c>
      <c r="BW355" s="221">
        <v>0</v>
      </c>
      <c r="BX355" s="222">
        <v>0</v>
      </c>
    </row>
    <row r="356" spans="6:76" x14ac:dyDescent="0.2">
      <c r="F356" s="151">
        <v>352</v>
      </c>
      <c r="G356" s="30">
        <v>0</v>
      </c>
      <c r="H356" s="28">
        <v>0</v>
      </c>
      <c r="I356" s="28">
        <v>0</v>
      </c>
      <c r="J356" s="28">
        <v>0</v>
      </c>
      <c r="K356" s="28">
        <v>0</v>
      </c>
      <c r="L356" s="28">
        <v>0</v>
      </c>
      <c r="M356" s="27">
        <v>0</v>
      </c>
      <c r="N356" s="27">
        <v>0</v>
      </c>
      <c r="O356" s="51">
        <v>0</v>
      </c>
      <c r="P356" s="5"/>
      <c r="Q356" s="30">
        <v>0</v>
      </c>
      <c r="R356" s="27">
        <v>0</v>
      </c>
      <c r="S356" s="27">
        <v>0</v>
      </c>
      <c r="T356" s="51">
        <v>0</v>
      </c>
      <c r="U356" s="5"/>
      <c r="V356" s="30">
        <v>0</v>
      </c>
      <c r="W356" s="51">
        <v>0</v>
      </c>
      <c r="Y356" s="30">
        <v>0</v>
      </c>
      <c r="Z356" s="27">
        <v>0</v>
      </c>
      <c r="AA356" s="27">
        <v>0</v>
      </c>
      <c r="AB356" s="51">
        <v>0</v>
      </c>
      <c r="AD356" s="30">
        <v>92109553338.706161</v>
      </c>
      <c r="AE356" s="27">
        <v>0</v>
      </c>
      <c r="AF356" s="27">
        <v>92109553338.706161</v>
      </c>
      <c r="AG356" s="51">
        <v>0</v>
      </c>
      <c r="AI356" s="30">
        <v>0</v>
      </c>
      <c r="AJ356" s="51">
        <v>0</v>
      </c>
      <c r="AL356" s="43">
        <v>0</v>
      </c>
      <c r="AM356" s="52">
        <v>0</v>
      </c>
      <c r="AN356" s="53">
        <v>0</v>
      </c>
      <c r="AO356" s="54">
        <v>0</v>
      </c>
      <c r="AQ356" s="30">
        <v>0</v>
      </c>
      <c r="AR356" s="27">
        <v>0</v>
      </c>
      <c r="AS356" s="27">
        <v>0</v>
      </c>
      <c r="AT356" s="51">
        <v>0</v>
      </c>
      <c r="AV356" s="30">
        <v>0</v>
      </c>
      <c r="AW356" s="27">
        <v>0</v>
      </c>
      <c r="AX356" s="27">
        <v>0</v>
      </c>
      <c r="AY356" s="51">
        <v>0</v>
      </c>
      <c r="BA356" s="30">
        <v>0</v>
      </c>
      <c r="BB356" s="27">
        <v>0</v>
      </c>
      <c r="BC356" s="27">
        <v>0</v>
      </c>
      <c r="BD356" s="51">
        <v>0</v>
      </c>
      <c r="BF356" s="30">
        <v>0</v>
      </c>
      <c r="BG356" s="27">
        <v>0</v>
      </c>
      <c r="BH356" s="27">
        <v>0</v>
      </c>
      <c r="BI356" s="51">
        <v>0</v>
      </c>
      <c r="BK356" s="30">
        <v>0</v>
      </c>
      <c r="BL356" s="27">
        <v>0</v>
      </c>
      <c r="BM356" s="27">
        <v>0</v>
      </c>
      <c r="BN356" s="51">
        <v>0</v>
      </c>
      <c r="BP356" s="30">
        <v>0</v>
      </c>
      <c r="BQ356" s="20">
        <v>607906793.77693379</v>
      </c>
      <c r="BR356" s="51">
        <v>0</v>
      </c>
      <c r="BT356" s="30">
        <v>0</v>
      </c>
      <c r="BU356" s="51">
        <v>0</v>
      </c>
      <c r="BW356" s="221">
        <v>0</v>
      </c>
      <c r="BX356" s="222">
        <v>0</v>
      </c>
    </row>
    <row r="357" spans="6:76" x14ac:dyDescent="0.2">
      <c r="F357" s="151">
        <v>353</v>
      </c>
      <c r="G357" s="30">
        <v>0</v>
      </c>
      <c r="H357" s="28">
        <v>0</v>
      </c>
      <c r="I357" s="28">
        <v>0</v>
      </c>
      <c r="J357" s="28">
        <v>0</v>
      </c>
      <c r="K357" s="28">
        <v>0</v>
      </c>
      <c r="L357" s="28">
        <v>0</v>
      </c>
      <c r="M357" s="27">
        <v>0</v>
      </c>
      <c r="N357" s="27">
        <v>0</v>
      </c>
      <c r="O357" s="51">
        <v>0</v>
      </c>
      <c r="P357" s="5"/>
      <c r="Q357" s="30">
        <v>0</v>
      </c>
      <c r="R357" s="27">
        <v>0</v>
      </c>
      <c r="S357" s="27">
        <v>0</v>
      </c>
      <c r="T357" s="51">
        <v>0</v>
      </c>
      <c r="U357" s="5"/>
      <c r="V357" s="30">
        <v>0</v>
      </c>
      <c r="W357" s="51">
        <v>0</v>
      </c>
      <c r="Y357" s="30">
        <v>0</v>
      </c>
      <c r="Z357" s="27">
        <v>0</v>
      </c>
      <c r="AA357" s="27">
        <v>0</v>
      </c>
      <c r="AB357" s="51">
        <v>0</v>
      </c>
      <c r="AD357" s="30">
        <v>94708356517.925201</v>
      </c>
      <c r="AE357" s="27">
        <v>0</v>
      </c>
      <c r="AF357" s="27">
        <v>94708356517.925201</v>
      </c>
      <c r="AG357" s="51">
        <v>0</v>
      </c>
      <c r="AI357" s="30">
        <v>0</v>
      </c>
      <c r="AJ357" s="51">
        <v>0</v>
      </c>
      <c r="AL357" s="43">
        <v>0</v>
      </c>
      <c r="AM357" s="52">
        <v>0</v>
      </c>
      <c r="AN357" s="53">
        <v>0</v>
      </c>
      <c r="AO357" s="54">
        <v>0</v>
      </c>
      <c r="AQ357" s="30">
        <v>0</v>
      </c>
      <c r="AR357" s="27">
        <v>0</v>
      </c>
      <c r="AS357" s="27">
        <v>0</v>
      </c>
      <c r="AT357" s="51">
        <v>0</v>
      </c>
      <c r="AV357" s="30">
        <v>0</v>
      </c>
      <c r="AW357" s="27">
        <v>0</v>
      </c>
      <c r="AX357" s="27">
        <v>0</v>
      </c>
      <c r="AY357" s="51">
        <v>0</v>
      </c>
      <c r="BA357" s="30">
        <v>0</v>
      </c>
      <c r="BB357" s="27">
        <v>0</v>
      </c>
      <c r="BC357" s="27">
        <v>0</v>
      </c>
      <c r="BD357" s="51">
        <v>0</v>
      </c>
      <c r="BF357" s="30">
        <v>0</v>
      </c>
      <c r="BG357" s="27">
        <v>0</v>
      </c>
      <c r="BH357" s="27">
        <v>0</v>
      </c>
      <c r="BI357" s="51">
        <v>0</v>
      </c>
      <c r="BK357" s="30">
        <v>0</v>
      </c>
      <c r="BL357" s="27">
        <v>0</v>
      </c>
      <c r="BM357" s="27">
        <v>0</v>
      </c>
      <c r="BN357" s="51">
        <v>0</v>
      </c>
      <c r="BP357" s="30">
        <v>0</v>
      </c>
      <c r="BQ357" s="20">
        <v>607906793.77693379</v>
      </c>
      <c r="BR357" s="51">
        <v>0</v>
      </c>
      <c r="BT357" s="30">
        <v>0</v>
      </c>
      <c r="BU357" s="51">
        <v>0</v>
      </c>
      <c r="BW357" s="221">
        <v>0</v>
      </c>
      <c r="BX357" s="222">
        <v>0</v>
      </c>
    </row>
    <row r="358" spans="6:76" x14ac:dyDescent="0.2">
      <c r="F358" s="151">
        <v>354</v>
      </c>
      <c r="G358" s="30">
        <v>0</v>
      </c>
      <c r="H358" s="28">
        <v>0</v>
      </c>
      <c r="I358" s="28">
        <v>0</v>
      </c>
      <c r="J358" s="28">
        <v>0</v>
      </c>
      <c r="K358" s="28">
        <v>0</v>
      </c>
      <c r="L358" s="28">
        <v>0</v>
      </c>
      <c r="M358" s="27">
        <v>0</v>
      </c>
      <c r="N358" s="27">
        <v>0</v>
      </c>
      <c r="O358" s="51">
        <v>0</v>
      </c>
      <c r="P358" s="5"/>
      <c r="Q358" s="30">
        <v>0</v>
      </c>
      <c r="R358" s="27">
        <v>0</v>
      </c>
      <c r="S358" s="27">
        <v>0</v>
      </c>
      <c r="T358" s="51">
        <v>0</v>
      </c>
      <c r="U358" s="5"/>
      <c r="V358" s="30">
        <v>0</v>
      </c>
      <c r="W358" s="51">
        <v>0</v>
      </c>
      <c r="Y358" s="30">
        <v>0</v>
      </c>
      <c r="Z358" s="27">
        <v>0</v>
      </c>
      <c r="AA358" s="27">
        <v>0</v>
      </c>
      <c r="AB358" s="51">
        <v>0</v>
      </c>
      <c r="AD358" s="30">
        <v>97380483013.993729</v>
      </c>
      <c r="AE358" s="27">
        <v>0</v>
      </c>
      <c r="AF358" s="27">
        <v>97380483013.993729</v>
      </c>
      <c r="AG358" s="51">
        <v>0</v>
      </c>
      <c r="AI358" s="30">
        <v>0</v>
      </c>
      <c r="AJ358" s="51">
        <v>0</v>
      </c>
      <c r="AL358" s="43">
        <v>0</v>
      </c>
      <c r="AM358" s="52">
        <v>0</v>
      </c>
      <c r="AN358" s="53">
        <v>0</v>
      </c>
      <c r="AO358" s="54">
        <v>0</v>
      </c>
      <c r="AQ358" s="30">
        <v>0</v>
      </c>
      <c r="AR358" s="27">
        <v>0</v>
      </c>
      <c r="AS358" s="27">
        <v>0</v>
      </c>
      <c r="AT358" s="51">
        <v>0</v>
      </c>
      <c r="AV358" s="30">
        <v>0</v>
      </c>
      <c r="AW358" s="27">
        <v>0</v>
      </c>
      <c r="AX358" s="27">
        <v>0</v>
      </c>
      <c r="AY358" s="51">
        <v>0</v>
      </c>
      <c r="BA358" s="30">
        <v>0</v>
      </c>
      <c r="BB358" s="27">
        <v>0</v>
      </c>
      <c r="BC358" s="27">
        <v>0</v>
      </c>
      <c r="BD358" s="51">
        <v>0</v>
      </c>
      <c r="BF358" s="30">
        <v>0</v>
      </c>
      <c r="BG358" s="27">
        <v>0</v>
      </c>
      <c r="BH358" s="27">
        <v>0</v>
      </c>
      <c r="BI358" s="51">
        <v>0</v>
      </c>
      <c r="BK358" s="30">
        <v>0</v>
      </c>
      <c r="BL358" s="27">
        <v>0</v>
      </c>
      <c r="BM358" s="27">
        <v>0</v>
      </c>
      <c r="BN358" s="51">
        <v>0</v>
      </c>
      <c r="BP358" s="30">
        <v>0</v>
      </c>
      <c r="BQ358" s="20">
        <v>607906793.77693379</v>
      </c>
      <c r="BR358" s="51">
        <v>0</v>
      </c>
      <c r="BT358" s="30">
        <v>0</v>
      </c>
      <c r="BU358" s="51">
        <v>0</v>
      </c>
      <c r="BW358" s="221">
        <v>0</v>
      </c>
      <c r="BX358" s="222">
        <v>0</v>
      </c>
    </row>
    <row r="359" spans="6:76" x14ac:dyDescent="0.2">
      <c r="F359" s="151">
        <v>355</v>
      </c>
      <c r="G359" s="30">
        <v>0</v>
      </c>
      <c r="H359" s="28">
        <v>0</v>
      </c>
      <c r="I359" s="28">
        <v>0</v>
      </c>
      <c r="J359" s="28">
        <v>0</v>
      </c>
      <c r="K359" s="28">
        <v>0</v>
      </c>
      <c r="L359" s="28">
        <v>0</v>
      </c>
      <c r="M359" s="27">
        <v>0</v>
      </c>
      <c r="N359" s="27">
        <v>0</v>
      </c>
      <c r="O359" s="51">
        <v>0</v>
      </c>
      <c r="P359" s="5"/>
      <c r="Q359" s="30">
        <v>0</v>
      </c>
      <c r="R359" s="27">
        <v>0</v>
      </c>
      <c r="S359" s="27">
        <v>0</v>
      </c>
      <c r="T359" s="51">
        <v>0</v>
      </c>
      <c r="U359" s="5"/>
      <c r="V359" s="30">
        <v>0</v>
      </c>
      <c r="W359" s="51">
        <v>0</v>
      </c>
      <c r="Y359" s="30">
        <v>0</v>
      </c>
      <c r="Z359" s="27">
        <v>0</v>
      </c>
      <c r="AA359" s="27">
        <v>0</v>
      </c>
      <c r="AB359" s="51">
        <v>0</v>
      </c>
      <c r="AD359" s="30">
        <v>100128001590.27052</v>
      </c>
      <c r="AE359" s="27">
        <v>0</v>
      </c>
      <c r="AF359" s="27">
        <v>100128001590.27052</v>
      </c>
      <c r="AG359" s="51">
        <v>0</v>
      </c>
      <c r="AI359" s="30">
        <v>0</v>
      </c>
      <c r="AJ359" s="51">
        <v>0</v>
      </c>
      <c r="AL359" s="43">
        <v>0</v>
      </c>
      <c r="AM359" s="52">
        <v>0</v>
      </c>
      <c r="AN359" s="53">
        <v>0</v>
      </c>
      <c r="AO359" s="54">
        <v>0</v>
      </c>
      <c r="AQ359" s="30">
        <v>0</v>
      </c>
      <c r="AR359" s="27">
        <v>0</v>
      </c>
      <c r="AS359" s="27">
        <v>0</v>
      </c>
      <c r="AT359" s="51">
        <v>0</v>
      </c>
      <c r="AV359" s="30">
        <v>0</v>
      </c>
      <c r="AW359" s="27">
        <v>0</v>
      </c>
      <c r="AX359" s="27">
        <v>0</v>
      </c>
      <c r="AY359" s="51">
        <v>0</v>
      </c>
      <c r="BA359" s="30">
        <v>0</v>
      </c>
      <c r="BB359" s="27">
        <v>0</v>
      </c>
      <c r="BC359" s="27">
        <v>0</v>
      </c>
      <c r="BD359" s="51">
        <v>0</v>
      </c>
      <c r="BF359" s="30">
        <v>0</v>
      </c>
      <c r="BG359" s="27">
        <v>0</v>
      </c>
      <c r="BH359" s="27">
        <v>0</v>
      </c>
      <c r="BI359" s="51">
        <v>0</v>
      </c>
      <c r="BK359" s="30">
        <v>0</v>
      </c>
      <c r="BL359" s="27">
        <v>0</v>
      </c>
      <c r="BM359" s="27">
        <v>0</v>
      </c>
      <c r="BN359" s="51">
        <v>0</v>
      </c>
      <c r="BP359" s="30">
        <v>0</v>
      </c>
      <c r="BQ359" s="20">
        <v>607906793.77693379</v>
      </c>
      <c r="BR359" s="51">
        <v>0</v>
      </c>
      <c r="BT359" s="30">
        <v>0</v>
      </c>
      <c r="BU359" s="51">
        <v>0</v>
      </c>
      <c r="BW359" s="221">
        <v>0</v>
      </c>
      <c r="BX359" s="222">
        <v>0</v>
      </c>
    </row>
    <row r="360" spans="6:76" x14ac:dyDescent="0.2">
      <c r="F360" s="151">
        <v>356</v>
      </c>
      <c r="G360" s="30">
        <v>0</v>
      </c>
      <c r="H360" s="28">
        <v>0</v>
      </c>
      <c r="I360" s="28">
        <v>0</v>
      </c>
      <c r="J360" s="28">
        <v>0</v>
      </c>
      <c r="K360" s="28">
        <v>0</v>
      </c>
      <c r="L360" s="28">
        <v>0</v>
      </c>
      <c r="M360" s="27">
        <v>0</v>
      </c>
      <c r="N360" s="27">
        <v>0</v>
      </c>
      <c r="O360" s="51">
        <v>0</v>
      </c>
      <c r="P360" s="5"/>
      <c r="Q360" s="30">
        <v>0</v>
      </c>
      <c r="R360" s="27">
        <v>0</v>
      </c>
      <c r="S360" s="27">
        <v>0</v>
      </c>
      <c r="T360" s="51">
        <v>0</v>
      </c>
      <c r="U360" s="5"/>
      <c r="V360" s="30">
        <v>0</v>
      </c>
      <c r="W360" s="51">
        <v>0</v>
      </c>
      <c r="Y360" s="30">
        <v>0</v>
      </c>
      <c r="Z360" s="27">
        <v>0</v>
      </c>
      <c r="AA360" s="27">
        <v>0</v>
      </c>
      <c r="AB360" s="51">
        <v>0</v>
      </c>
      <c r="AD360" s="30">
        <v>102953039378.7482</v>
      </c>
      <c r="AE360" s="27">
        <v>0</v>
      </c>
      <c r="AF360" s="27">
        <v>102953039378.7482</v>
      </c>
      <c r="AG360" s="51">
        <v>0</v>
      </c>
      <c r="AI360" s="30">
        <v>0</v>
      </c>
      <c r="AJ360" s="51">
        <v>0</v>
      </c>
      <c r="AL360" s="43">
        <v>0</v>
      </c>
      <c r="AM360" s="52">
        <v>0</v>
      </c>
      <c r="AN360" s="53">
        <v>0</v>
      </c>
      <c r="AO360" s="54">
        <v>0</v>
      </c>
      <c r="AQ360" s="30">
        <v>0</v>
      </c>
      <c r="AR360" s="27">
        <v>0</v>
      </c>
      <c r="AS360" s="27">
        <v>0</v>
      </c>
      <c r="AT360" s="51">
        <v>0</v>
      </c>
      <c r="AV360" s="30">
        <v>0</v>
      </c>
      <c r="AW360" s="27">
        <v>0</v>
      </c>
      <c r="AX360" s="27">
        <v>0</v>
      </c>
      <c r="AY360" s="51">
        <v>0</v>
      </c>
      <c r="BA360" s="30">
        <v>0</v>
      </c>
      <c r="BB360" s="27">
        <v>0</v>
      </c>
      <c r="BC360" s="27">
        <v>0</v>
      </c>
      <c r="BD360" s="51">
        <v>0</v>
      </c>
      <c r="BF360" s="30">
        <v>0</v>
      </c>
      <c r="BG360" s="27">
        <v>0</v>
      </c>
      <c r="BH360" s="27">
        <v>0</v>
      </c>
      <c r="BI360" s="51">
        <v>0</v>
      </c>
      <c r="BK360" s="30">
        <v>0</v>
      </c>
      <c r="BL360" s="27">
        <v>0</v>
      </c>
      <c r="BM360" s="27">
        <v>0</v>
      </c>
      <c r="BN360" s="51">
        <v>0</v>
      </c>
      <c r="BP360" s="30">
        <v>0</v>
      </c>
      <c r="BQ360" s="20">
        <v>607906793.77693379</v>
      </c>
      <c r="BR360" s="51">
        <v>0</v>
      </c>
      <c r="BT360" s="30">
        <v>0</v>
      </c>
      <c r="BU360" s="51">
        <v>0</v>
      </c>
      <c r="BW360" s="221">
        <v>0</v>
      </c>
      <c r="BX360" s="222">
        <v>0</v>
      </c>
    </row>
    <row r="361" spans="6:76" x14ac:dyDescent="0.2">
      <c r="F361" s="151">
        <v>357</v>
      </c>
      <c r="G361" s="30">
        <v>0</v>
      </c>
      <c r="H361" s="28">
        <v>0</v>
      </c>
      <c r="I361" s="28">
        <v>0</v>
      </c>
      <c r="J361" s="28">
        <v>0</v>
      </c>
      <c r="K361" s="28">
        <v>0</v>
      </c>
      <c r="L361" s="28">
        <v>0</v>
      </c>
      <c r="M361" s="27">
        <v>0</v>
      </c>
      <c r="N361" s="27">
        <v>0</v>
      </c>
      <c r="O361" s="51">
        <v>0</v>
      </c>
      <c r="P361" s="5"/>
      <c r="Q361" s="27">
        <v>0</v>
      </c>
      <c r="R361" s="27">
        <v>0</v>
      </c>
      <c r="S361" s="27">
        <v>0</v>
      </c>
      <c r="T361" s="27">
        <v>0</v>
      </c>
      <c r="U361" s="5"/>
      <c r="V361" s="20">
        <v>0</v>
      </c>
      <c r="W361" s="20">
        <v>0</v>
      </c>
      <c r="Y361" s="20">
        <v>0</v>
      </c>
      <c r="Z361" s="20">
        <v>0</v>
      </c>
      <c r="AA361" s="20">
        <v>0</v>
      </c>
      <c r="AB361" s="20">
        <v>0</v>
      </c>
      <c r="AD361" s="20">
        <v>105857783526.88123</v>
      </c>
      <c r="AE361" s="20">
        <v>0</v>
      </c>
      <c r="AF361" s="20">
        <v>105857783526.88123</v>
      </c>
      <c r="AG361" s="20">
        <v>0</v>
      </c>
      <c r="AI361" s="20">
        <v>0</v>
      </c>
      <c r="AJ361" s="20">
        <v>0</v>
      </c>
      <c r="AL361" s="53">
        <v>0</v>
      </c>
      <c r="AM361" s="53">
        <v>0</v>
      </c>
      <c r="AN361" s="53">
        <v>0</v>
      </c>
      <c r="AO361" s="53">
        <v>0</v>
      </c>
      <c r="AQ361" s="20">
        <v>0</v>
      </c>
      <c r="AR361" s="20">
        <v>0</v>
      </c>
      <c r="AS361" s="20">
        <v>0</v>
      </c>
      <c r="AT361" s="20">
        <v>0</v>
      </c>
      <c r="AV361" s="20">
        <v>0</v>
      </c>
      <c r="AW361" s="20">
        <v>0</v>
      </c>
      <c r="AX361" s="20">
        <v>0</v>
      </c>
      <c r="AY361" s="20">
        <v>0</v>
      </c>
      <c r="BA361" s="20">
        <v>0</v>
      </c>
      <c r="BB361" s="20">
        <v>0</v>
      </c>
      <c r="BC361" s="20">
        <v>0</v>
      </c>
      <c r="BD361" s="20">
        <v>0</v>
      </c>
      <c r="BF361" s="20">
        <v>0</v>
      </c>
      <c r="BG361" s="20">
        <v>0</v>
      </c>
      <c r="BH361" s="20">
        <v>0</v>
      </c>
      <c r="BI361" s="20">
        <v>0</v>
      </c>
      <c r="BK361" s="20">
        <v>0</v>
      </c>
      <c r="BL361" s="20">
        <v>0</v>
      </c>
      <c r="BM361" s="20">
        <v>0</v>
      </c>
      <c r="BN361" s="20">
        <v>0</v>
      </c>
      <c r="BP361" s="20">
        <v>0</v>
      </c>
      <c r="BQ361" s="20">
        <v>607906793.77693379</v>
      </c>
      <c r="BR361" s="20">
        <v>0</v>
      </c>
      <c r="BT361" s="30">
        <v>0</v>
      </c>
      <c r="BU361" s="51">
        <v>0</v>
      </c>
      <c r="BW361" s="221">
        <v>0</v>
      </c>
      <c r="BX361" s="222">
        <v>0</v>
      </c>
    </row>
    <row r="362" spans="6:76" x14ac:dyDescent="0.2">
      <c r="F362" s="151">
        <v>358</v>
      </c>
      <c r="G362" s="30">
        <v>0</v>
      </c>
      <c r="H362" s="28">
        <v>0</v>
      </c>
      <c r="I362" s="28">
        <v>0</v>
      </c>
      <c r="J362" s="28">
        <v>0</v>
      </c>
      <c r="K362" s="28">
        <v>0</v>
      </c>
      <c r="L362" s="28">
        <v>0</v>
      </c>
      <c r="M362" s="27">
        <v>0</v>
      </c>
      <c r="N362" s="27">
        <v>0</v>
      </c>
      <c r="O362" s="51">
        <v>0</v>
      </c>
      <c r="P362" s="5"/>
      <c r="Q362" s="27">
        <v>0</v>
      </c>
      <c r="R362" s="27">
        <v>0</v>
      </c>
      <c r="S362" s="27">
        <v>0</v>
      </c>
      <c r="T362" s="27">
        <v>0</v>
      </c>
      <c r="U362" s="5"/>
      <c r="V362" s="20">
        <v>0</v>
      </c>
      <c r="W362" s="20">
        <v>0</v>
      </c>
      <c r="Y362" s="20">
        <v>0</v>
      </c>
      <c r="Z362" s="20">
        <v>0</v>
      </c>
      <c r="AA362" s="20">
        <v>0</v>
      </c>
      <c r="AB362" s="20">
        <v>0</v>
      </c>
      <c r="AD362" s="20">
        <v>108844482890.87799</v>
      </c>
      <c r="AE362" s="20">
        <v>0</v>
      </c>
      <c r="AF362" s="20">
        <v>108844482890.87799</v>
      </c>
      <c r="AG362" s="20">
        <v>0</v>
      </c>
      <c r="AI362" s="20">
        <v>0</v>
      </c>
      <c r="AJ362" s="20">
        <v>0</v>
      </c>
      <c r="AL362" s="53">
        <v>0</v>
      </c>
      <c r="AM362" s="53">
        <v>0</v>
      </c>
      <c r="AN362" s="53">
        <v>0</v>
      </c>
      <c r="AO362" s="53">
        <v>0</v>
      </c>
      <c r="AQ362" s="20">
        <v>0</v>
      </c>
      <c r="AR362" s="20">
        <v>0</v>
      </c>
      <c r="AS362" s="20">
        <v>0</v>
      </c>
      <c r="AT362" s="20">
        <v>0</v>
      </c>
      <c r="AV362" s="20">
        <v>0</v>
      </c>
      <c r="AW362" s="20">
        <v>0</v>
      </c>
      <c r="AX362" s="20">
        <v>0</v>
      </c>
      <c r="AY362" s="20">
        <v>0</v>
      </c>
      <c r="BA362" s="20">
        <v>0</v>
      </c>
      <c r="BB362" s="20">
        <v>0</v>
      </c>
      <c r="BC362" s="20">
        <v>0</v>
      </c>
      <c r="BD362" s="20">
        <v>0</v>
      </c>
      <c r="BF362" s="20">
        <v>0</v>
      </c>
      <c r="BG362" s="20">
        <v>0</v>
      </c>
      <c r="BH362" s="20">
        <v>0</v>
      </c>
      <c r="BI362" s="20">
        <v>0</v>
      </c>
      <c r="BK362" s="20">
        <v>0</v>
      </c>
      <c r="BL362" s="20">
        <v>0</v>
      </c>
      <c r="BM362" s="20">
        <v>0</v>
      </c>
      <c r="BN362" s="20">
        <v>0</v>
      </c>
      <c r="BP362" s="20">
        <v>0</v>
      </c>
      <c r="BQ362" s="20">
        <v>607906793.77693379</v>
      </c>
      <c r="BR362" s="20">
        <v>0</v>
      </c>
      <c r="BT362" s="30">
        <v>0</v>
      </c>
      <c r="BU362" s="51">
        <v>0</v>
      </c>
      <c r="BW362" s="221">
        <v>0</v>
      </c>
      <c r="BX362" s="222">
        <v>0</v>
      </c>
    </row>
    <row r="363" spans="6:76" x14ac:dyDescent="0.2">
      <c r="F363" s="151">
        <v>359</v>
      </c>
      <c r="G363" s="30">
        <v>0</v>
      </c>
      <c r="H363" s="28">
        <v>0</v>
      </c>
      <c r="I363" s="28">
        <v>0</v>
      </c>
      <c r="J363" s="28">
        <v>0</v>
      </c>
      <c r="K363" s="28">
        <v>0</v>
      </c>
      <c r="L363" s="28">
        <v>0</v>
      </c>
      <c r="M363" s="27">
        <v>0</v>
      </c>
      <c r="N363" s="27">
        <v>0</v>
      </c>
      <c r="O363" s="51">
        <v>0</v>
      </c>
      <c r="P363" s="5"/>
      <c r="Q363" s="27">
        <v>0</v>
      </c>
      <c r="R363" s="27">
        <v>0</v>
      </c>
      <c r="S363" s="27">
        <v>0</v>
      </c>
      <c r="T363" s="27">
        <v>0</v>
      </c>
      <c r="U363" s="5"/>
      <c r="V363" s="20">
        <v>0</v>
      </c>
      <c r="W363" s="20">
        <v>0</v>
      </c>
      <c r="Y363" s="20">
        <v>0</v>
      </c>
      <c r="Z363" s="20">
        <v>0</v>
      </c>
      <c r="AA363" s="20">
        <v>0</v>
      </c>
      <c r="AB363" s="20">
        <v>0</v>
      </c>
      <c r="AD363" s="20">
        <v>111915449776.76779</v>
      </c>
      <c r="AE363" s="20">
        <v>0</v>
      </c>
      <c r="AF363" s="20">
        <v>111915449776.76779</v>
      </c>
      <c r="AG363" s="20">
        <v>0</v>
      </c>
      <c r="AI363" s="20">
        <v>0</v>
      </c>
      <c r="AJ363" s="20">
        <v>0</v>
      </c>
      <c r="AL363" s="53">
        <v>0</v>
      </c>
      <c r="AM363" s="53">
        <v>0</v>
      </c>
      <c r="AN363" s="53">
        <v>0</v>
      </c>
      <c r="AO363" s="53">
        <v>0</v>
      </c>
      <c r="AQ363" s="20">
        <v>0</v>
      </c>
      <c r="AR363" s="20">
        <v>0</v>
      </c>
      <c r="AS363" s="20">
        <v>0</v>
      </c>
      <c r="AT363" s="20">
        <v>0</v>
      </c>
      <c r="AV363" s="20">
        <v>0</v>
      </c>
      <c r="AW363" s="20">
        <v>0</v>
      </c>
      <c r="AX363" s="20">
        <v>0</v>
      </c>
      <c r="AY363" s="20">
        <v>0</v>
      </c>
      <c r="BA363" s="20">
        <v>0</v>
      </c>
      <c r="BB363" s="20">
        <v>0</v>
      </c>
      <c r="BC363" s="20">
        <v>0</v>
      </c>
      <c r="BD363" s="20">
        <v>0</v>
      </c>
      <c r="BF363" s="20">
        <v>0</v>
      </c>
      <c r="BG363" s="20">
        <v>0</v>
      </c>
      <c r="BH363" s="20">
        <v>0</v>
      </c>
      <c r="BI363" s="20">
        <v>0</v>
      </c>
      <c r="BK363" s="20">
        <v>0</v>
      </c>
      <c r="BL363" s="20">
        <v>0</v>
      </c>
      <c r="BM363" s="20">
        <v>0</v>
      </c>
      <c r="BN363" s="20">
        <v>0</v>
      </c>
      <c r="BP363" s="20">
        <v>0</v>
      </c>
      <c r="BQ363" s="20">
        <v>607906793.77693379</v>
      </c>
      <c r="BR363" s="20">
        <v>0</v>
      </c>
      <c r="BT363" s="30">
        <v>0</v>
      </c>
      <c r="BU363" s="51">
        <v>0</v>
      </c>
      <c r="BW363" s="221">
        <v>0</v>
      </c>
      <c r="BX363" s="222">
        <v>0</v>
      </c>
    </row>
    <row r="364" spans="6:76" x14ac:dyDescent="0.2">
      <c r="F364" s="151">
        <v>360</v>
      </c>
      <c r="G364" s="30">
        <v>0</v>
      </c>
      <c r="H364" s="28">
        <v>0</v>
      </c>
      <c r="I364" s="28">
        <v>0</v>
      </c>
      <c r="J364" s="28">
        <v>0</v>
      </c>
      <c r="K364" s="28">
        <v>0</v>
      </c>
      <c r="L364" s="28">
        <v>0</v>
      </c>
      <c r="M364" s="27">
        <v>0</v>
      </c>
      <c r="N364" s="27">
        <v>0</v>
      </c>
      <c r="O364" s="51">
        <v>0</v>
      </c>
      <c r="P364" s="5"/>
      <c r="Q364" s="27">
        <v>0</v>
      </c>
      <c r="R364" s="27">
        <v>0</v>
      </c>
      <c r="S364" s="27">
        <v>0</v>
      </c>
      <c r="T364" s="27">
        <v>0</v>
      </c>
      <c r="U364" s="5"/>
      <c r="V364" s="20">
        <v>0</v>
      </c>
      <c r="W364" s="20">
        <v>0</v>
      </c>
      <c r="Y364" s="20">
        <v>0</v>
      </c>
      <c r="Z364" s="20">
        <v>0</v>
      </c>
      <c r="AA364" s="20">
        <v>0</v>
      </c>
      <c r="AB364" s="20">
        <v>0</v>
      </c>
      <c r="AD364" s="20">
        <v>115073061730.59076</v>
      </c>
      <c r="AE364" s="20">
        <v>0</v>
      </c>
      <c r="AF364" s="20">
        <v>115073061730.59076</v>
      </c>
      <c r="AG364" s="20">
        <v>0</v>
      </c>
      <c r="AI364" s="20">
        <v>0</v>
      </c>
      <c r="AJ364" s="20">
        <v>0</v>
      </c>
      <c r="AL364" s="53">
        <v>0</v>
      </c>
      <c r="AM364" s="53">
        <v>0</v>
      </c>
      <c r="AN364" s="53">
        <v>0</v>
      </c>
      <c r="AO364" s="53">
        <v>0</v>
      </c>
      <c r="AQ364" s="20">
        <v>0</v>
      </c>
      <c r="AR364" s="20">
        <v>0</v>
      </c>
      <c r="AS364" s="20">
        <v>0</v>
      </c>
      <c r="AT364" s="20">
        <v>0</v>
      </c>
      <c r="AV364" s="20">
        <v>0</v>
      </c>
      <c r="AW364" s="20">
        <v>0</v>
      </c>
      <c r="AX364" s="20">
        <v>0</v>
      </c>
      <c r="AY364" s="20">
        <v>0</v>
      </c>
      <c r="BA364" s="20">
        <v>0</v>
      </c>
      <c r="BB364" s="20">
        <v>0</v>
      </c>
      <c r="BC364" s="20">
        <v>0</v>
      </c>
      <c r="BD364" s="20">
        <v>0</v>
      </c>
      <c r="BF364" s="20">
        <v>0</v>
      </c>
      <c r="BG364" s="20">
        <v>0</v>
      </c>
      <c r="BH364" s="20">
        <v>0</v>
      </c>
      <c r="BI364" s="20">
        <v>0</v>
      </c>
      <c r="BK364" s="20">
        <v>0</v>
      </c>
      <c r="BL364" s="20">
        <v>0</v>
      </c>
      <c r="BM364" s="20">
        <v>0</v>
      </c>
      <c r="BN364" s="20">
        <v>0</v>
      </c>
      <c r="BP364" s="20">
        <v>0</v>
      </c>
      <c r="BQ364" s="20">
        <v>607906793.77693379</v>
      </c>
      <c r="BR364" s="20">
        <v>0</v>
      </c>
      <c r="BT364" s="30">
        <v>0</v>
      </c>
      <c r="BU364" s="30">
        <v>0</v>
      </c>
      <c r="BW364" s="221">
        <v>0</v>
      </c>
      <c r="BX364" s="222">
        <v>0</v>
      </c>
    </row>
    <row r="365" spans="6:76" x14ac:dyDescent="0.2">
      <c r="BW365" s="3"/>
    </row>
  </sheetData>
  <mergeCells count="14">
    <mergeCell ref="BW1:BX1"/>
    <mergeCell ref="G1:O1"/>
    <mergeCell ref="Q1:T1"/>
    <mergeCell ref="V1:W1"/>
    <mergeCell ref="AV1:AY1"/>
    <mergeCell ref="BA1:BD1"/>
    <mergeCell ref="AQ1:AT1"/>
    <mergeCell ref="BT1:BU1"/>
    <mergeCell ref="BP1:BR1"/>
    <mergeCell ref="AL1:AO1"/>
    <mergeCell ref="Y1:AB1"/>
    <mergeCell ref="AD1:AG1"/>
    <mergeCell ref="BF1:BI1"/>
    <mergeCell ref="BK1:B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2</xdr:row>
                    <xdr:rowOff>25400</xdr:rowOff>
                  </from>
                  <to>
                    <xdr:col>4</xdr:col>
                    <xdr:colOff>736600</xdr:colOff>
                    <xdr:row>3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E1:H20"/>
  <sheetViews>
    <sheetView workbookViewId="0">
      <selection activeCell="C13" sqref="C13"/>
    </sheetView>
  </sheetViews>
  <sheetFormatPr baseColWidth="10" defaultColWidth="11.5" defaultRowHeight="15" x14ac:dyDescent="0.2"/>
  <cols>
    <col min="1" max="1" width="13.5" bestFit="1" customWidth="1"/>
  </cols>
  <sheetData>
    <row r="1" spans="5:8" x14ac:dyDescent="0.2">
      <c r="E1" s="74" t="s">
        <v>241</v>
      </c>
      <c r="F1" s="75"/>
      <c r="G1" s="76" t="s">
        <v>242</v>
      </c>
      <c r="H1" s="77"/>
    </row>
    <row r="2" spans="5:8" x14ac:dyDescent="0.2">
      <c r="E2" s="78" t="s">
        <v>243</v>
      </c>
      <c r="F2" s="79" t="s">
        <v>244</v>
      </c>
      <c r="G2" s="80" t="s">
        <v>245</v>
      </c>
      <c r="H2" s="81" t="s">
        <v>244</v>
      </c>
    </row>
    <row r="3" spans="5:8" x14ac:dyDescent="0.2">
      <c r="E3" s="82">
        <v>0</v>
      </c>
      <c r="F3" s="83" t="s">
        <v>212</v>
      </c>
      <c r="G3" s="84">
        <v>0</v>
      </c>
      <c r="H3" s="85" t="s">
        <v>212</v>
      </c>
    </row>
    <row r="4" spans="5:8" x14ac:dyDescent="0.2">
      <c r="E4" s="82">
        <v>1E-4</v>
      </c>
      <c r="F4" s="83" t="s">
        <v>246</v>
      </c>
      <c r="G4" s="84">
        <v>0.06</v>
      </c>
      <c r="H4" s="85" t="s">
        <v>247</v>
      </c>
    </row>
    <row r="5" spans="5:8" x14ac:dyDescent="0.2">
      <c r="E5" s="82">
        <v>2.5000000000000001E-4</v>
      </c>
      <c r="F5" s="83" t="s">
        <v>248</v>
      </c>
      <c r="G5" s="84">
        <v>0.67</v>
      </c>
      <c r="H5" s="85" t="s">
        <v>249</v>
      </c>
    </row>
    <row r="6" spans="5:8" x14ac:dyDescent="0.2">
      <c r="E6" s="82">
        <v>7.4999999999999997E-3</v>
      </c>
      <c r="F6" s="83" t="s">
        <v>250</v>
      </c>
      <c r="G6" s="84">
        <v>1.3</v>
      </c>
      <c r="H6" s="85" t="s">
        <v>251</v>
      </c>
    </row>
    <row r="7" spans="5:8" x14ac:dyDescent="0.2">
      <c r="E7" s="82">
        <v>1E-3</v>
      </c>
      <c r="F7" s="83" t="s">
        <v>252</v>
      </c>
      <c r="G7" s="84">
        <v>2.7</v>
      </c>
      <c r="H7" s="85" t="s">
        <v>253</v>
      </c>
    </row>
    <row r="8" spans="5:8" x14ac:dyDescent="0.2">
      <c r="E8" s="82">
        <v>2.5000000000000001E-3</v>
      </c>
      <c r="F8" s="83" t="s">
        <v>254</v>
      </c>
      <c r="G8" s="84">
        <v>5.2</v>
      </c>
      <c r="H8" s="85" t="s">
        <v>82</v>
      </c>
    </row>
    <row r="9" spans="5:8" x14ac:dyDescent="0.2">
      <c r="E9" s="82">
        <v>7.4999999999999997E-3</v>
      </c>
      <c r="F9" s="83" t="s">
        <v>255</v>
      </c>
      <c r="G9" s="84">
        <v>8.9</v>
      </c>
      <c r="H9" s="85" t="s">
        <v>256</v>
      </c>
    </row>
    <row r="10" spans="5:8" x14ac:dyDescent="0.2">
      <c r="E10" s="82">
        <v>0.1</v>
      </c>
      <c r="F10" s="83" t="s">
        <v>257</v>
      </c>
      <c r="G10" s="84">
        <v>13</v>
      </c>
      <c r="H10" s="85" t="s">
        <v>258</v>
      </c>
    </row>
    <row r="11" spans="5:8" x14ac:dyDescent="0.2">
      <c r="E11" s="82">
        <v>0.25</v>
      </c>
      <c r="F11" s="83" t="s">
        <v>215</v>
      </c>
      <c r="G11" s="84">
        <v>19</v>
      </c>
      <c r="H11" s="85" t="s">
        <v>83</v>
      </c>
    </row>
    <row r="12" spans="5:8" x14ac:dyDescent="0.2">
      <c r="E12" s="82">
        <v>0.75</v>
      </c>
      <c r="F12" s="83" t="s">
        <v>259</v>
      </c>
      <c r="G12" s="84">
        <v>27</v>
      </c>
      <c r="H12" s="85" t="s">
        <v>260</v>
      </c>
    </row>
    <row r="13" spans="5:8" x14ac:dyDescent="0.2">
      <c r="E13" s="82">
        <v>1</v>
      </c>
      <c r="F13" s="83" t="s">
        <v>261</v>
      </c>
      <c r="G13" s="84">
        <v>46</v>
      </c>
      <c r="H13" s="85" t="s">
        <v>262</v>
      </c>
    </row>
    <row r="14" spans="5:8" x14ac:dyDescent="0.2">
      <c r="E14" s="82">
        <v>2.5</v>
      </c>
      <c r="F14" s="83" t="s">
        <v>263</v>
      </c>
      <c r="G14" s="84">
        <v>72</v>
      </c>
      <c r="H14" s="85" t="s">
        <v>264</v>
      </c>
    </row>
    <row r="15" spans="5:8" x14ac:dyDescent="0.2">
      <c r="E15" s="82">
        <v>7.5</v>
      </c>
      <c r="F15" s="83" t="s">
        <v>265</v>
      </c>
      <c r="G15" s="84">
        <v>106</v>
      </c>
      <c r="H15" s="85" t="s">
        <v>266</v>
      </c>
    </row>
    <row r="16" spans="5:8" x14ac:dyDescent="0.2">
      <c r="E16" s="82">
        <v>10</v>
      </c>
      <c r="F16" s="83" t="s">
        <v>267</v>
      </c>
      <c r="G16" s="84">
        <v>143</v>
      </c>
      <c r="H16" s="85" t="s">
        <v>268</v>
      </c>
    </row>
    <row r="17" spans="5:8" x14ac:dyDescent="0.2">
      <c r="E17" s="82">
        <v>25</v>
      </c>
      <c r="F17" s="83" t="s">
        <v>269</v>
      </c>
      <c r="G17" s="84">
        <v>183</v>
      </c>
      <c r="H17" s="85" t="s">
        <v>270</v>
      </c>
    </row>
    <row r="18" spans="5:8" x14ac:dyDescent="0.2">
      <c r="E18" s="82">
        <v>75</v>
      </c>
      <c r="F18" s="83" t="s">
        <v>271</v>
      </c>
      <c r="G18" s="84">
        <v>231</v>
      </c>
      <c r="H18" s="85" t="s">
        <v>272</v>
      </c>
    </row>
    <row r="19" spans="5:8" x14ac:dyDescent="0.2">
      <c r="E19" s="82">
        <v>100</v>
      </c>
      <c r="F19" s="83" t="s">
        <v>273</v>
      </c>
      <c r="G19" s="84">
        <v>311</v>
      </c>
      <c r="H19" s="85" t="s">
        <v>274</v>
      </c>
    </row>
    <row r="20" spans="5:8" ht="16" thickBot="1" x14ac:dyDescent="0.25">
      <c r="E20" s="86" t="s">
        <v>227</v>
      </c>
      <c r="F20" s="87" t="s">
        <v>275</v>
      </c>
      <c r="G20" s="88">
        <v>2500</v>
      </c>
      <c r="H20" s="89" t="s">
        <v>276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B1:AJ364"/>
  <sheetViews>
    <sheetView topLeftCell="E1" workbookViewId="0">
      <selection activeCell="D75" sqref="A75:XFD75"/>
    </sheetView>
  </sheetViews>
  <sheetFormatPr baseColWidth="10" defaultColWidth="11.5" defaultRowHeight="15" x14ac:dyDescent="0.2"/>
  <cols>
    <col min="2" max="2" width="17.5" style="10" customWidth="1"/>
    <col min="3" max="3" width="17.5" style="11" customWidth="1"/>
    <col min="4" max="5" width="17.5" style="17" customWidth="1"/>
    <col min="6" max="6" width="25.1640625" style="17" customWidth="1"/>
    <col min="7" max="8" width="17.5" style="17" customWidth="1"/>
    <col min="9" max="17" width="3.5" style="2" bestFit="1" customWidth="1"/>
    <col min="18" max="33" width="4.5" style="2" bestFit="1" customWidth="1"/>
    <col min="34" max="34" width="12.5" style="2" customWidth="1"/>
    <col min="35" max="35" width="19" style="2" customWidth="1"/>
    <col min="36" max="36" width="32.1640625" style="2" customWidth="1"/>
  </cols>
  <sheetData>
    <row r="1" spans="2:36" s="16" customFormat="1" ht="25" thickBot="1" x14ac:dyDescent="0.35">
      <c r="B1" s="252" t="s">
        <v>72</v>
      </c>
      <c r="C1" s="253"/>
      <c r="D1" s="253"/>
      <c r="E1" s="253"/>
      <c r="F1" s="253"/>
      <c r="G1" s="253"/>
      <c r="H1" s="254"/>
      <c r="I1" s="252" t="s">
        <v>71</v>
      </c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4"/>
      <c r="AH1" s="101"/>
      <c r="AI1" s="101"/>
      <c r="AJ1" s="101"/>
    </row>
    <row r="2" spans="2:36" ht="20" thickTop="1" x14ac:dyDescent="0.25">
      <c r="B2" s="106" t="s">
        <v>5</v>
      </c>
      <c r="C2" s="107" t="s">
        <v>39</v>
      </c>
      <c r="D2" s="107" t="s">
        <v>37</v>
      </c>
      <c r="E2" s="107" t="s">
        <v>41</v>
      </c>
      <c r="F2" s="107" t="s">
        <v>13</v>
      </c>
      <c r="G2" s="107" t="s">
        <v>42</v>
      </c>
      <c r="H2" s="108" t="s">
        <v>40</v>
      </c>
      <c r="I2" s="109" t="s">
        <v>43</v>
      </c>
      <c r="J2" s="110" t="s">
        <v>44</v>
      </c>
      <c r="K2" s="110" t="s">
        <v>45</v>
      </c>
      <c r="L2" s="110" t="s">
        <v>46</v>
      </c>
      <c r="M2" s="110" t="s">
        <v>47</v>
      </c>
      <c r="N2" s="110" t="s">
        <v>48</v>
      </c>
      <c r="O2" s="110" t="s">
        <v>49</v>
      </c>
      <c r="P2" s="110" t="s">
        <v>50</v>
      </c>
      <c r="Q2" s="110" t="s">
        <v>51</v>
      </c>
      <c r="R2" s="110" t="s">
        <v>52</v>
      </c>
      <c r="S2" s="110" t="s">
        <v>53</v>
      </c>
      <c r="T2" s="110" t="s">
        <v>54</v>
      </c>
      <c r="U2" s="110" t="s">
        <v>55</v>
      </c>
      <c r="V2" s="110" t="s">
        <v>56</v>
      </c>
      <c r="W2" s="110" t="s">
        <v>57</v>
      </c>
      <c r="X2" s="110" t="s">
        <v>58</v>
      </c>
      <c r="Y2" s="110" t="s">
        <v>59</v>
      </c>
      <c r="Z2" s="110" t="s">
        <v>60</v>
      </c>
      <c r="AA2" s="110" t="s">
        <v>61</v>
      </c>
      <c r="AB2" s="110" t="s">
        <v>62</v>
      </c>
      <c r="AC2" s="110" t="s">
        <v>63</v>
      </c>
      <c r="AD2" s="110" t="s">
        <v>64</v>
      </c>
      <c r="AE2" s="110" t="s">
        <v>65</v>
      </c>
      <c r="AF2" s="110" t="s">
        <v>66</v>
      </c>
      <c r="AG2" s="111" t="s">
        <v>67</v>
      </c>
      <c r="AH2" s="4">
        <v>-1</v>
      </c>
      <c r="AI2" s="112"/>
    </row>
    <row r="3" spans="2:36" x14ac:dyDescent="0.2">
      <c r="B3" s="102"/>
      <c r="C3" s="103">
        <v>0</v>
      </c>
      <c r="D3" s="205">
        <v>0</v>
      </c>
      <c r="E3" s="205">
        <v>0</v>
      </c>
      <c r="F3" s="205">
        <v>0</v>
      </c>
      <c r="G3" s="205">
        <v>0</v>
      </c>
      <c r="H3" s="205">
        <v>0</v>
      </c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" t="s">
        <v>201</v>
      </c>
      <c r="AI3" s="2" t="s">
        <v>202</v>
      </c>
      <c r="AJ3" s="2" t="s">
        <v>203</v>
      </c>
    </row>
    <row r="4" spans="2:36" x14ac:dyDescent="0.2">
      <c r="B4" s="102"/>
      <c r="C4" s="103">
        <v>1</v>
      </c>
      <c r="D4" s="205">
        <v>7528500</v>
      </c>
      <c r="E4" s="205">
        <v>4050750</v>
      </c>
      <c r="F4" s="205">
        <v>0</v>
      </c>
      <c r="G4" s="205">
        <v>0</v>
      </c>
      <c r="H4" s="205">
        <v>975751.00919963513</v>
      </c>
      <c r="I4" s="206">
        <v>1</v>
      </c>
      <c r="J4" s="206">
        <v>1</v>
      </c>
      <c r="K4" s="206">
        <v>1</v>
      </c>
      <c r="L4" s="206">
        <v>1</v>
      </c>
      <c r="M4" s="206">
        <v>1</v>
      </c>
      <c r="N4" s="206">
        <v>1</v>
      </c>
      <c r="O4" s="206">
        <v>1</v>
      </c>
      <c r="P4" s="206">
        <v>1</v>
      </c>
      <c r="Q4" s="206">
        <v>1</v>
      </c>
      <c r="R4" s="206">
        <v>1</v>
      </c>
      <c r="S4" s="206">
        <v>1</v>
      </c>
      <c r="T4" s="206">
        <v>1</v>
      </c>
      <c r="U4" s="206">
        <v>1</v>
      </c>
      <c r="V4" s="206">
        <v>1</v>
      </c>
      <c r="W4" s="206">
        <v>1</v>
      </c>
      <c r="X4" s="206">
        <v>1</v>
      </c>
      <c r="Y4" s="206">
        <v>1</v>
      </c>
      <c r="Z4" s="206">
        <v>1</v>
      </c>
      <c r="AA4" s="206">
        <v>1</v>
      </c>
      <c r="AB4" s="206">
        <v>1</v>
      </c>
      <c r="AC4" s="206">
        <v>1</v>
      </c>
      <c r="AD4" s="206">
        <v>1</v>
      </c>
      <c r="AE4" s="206">
        <v>1</v>
      </c>
      <c r="AF4" s="206">
        <v>1</v>
      </c>
      <c r="AG4" s="206">
        <v>1</v>
      </c>
      <c r="AH4" s="2">
        <f t="shared" ref="AH4:AH67" si="0">FREQUENCY(I4:AG4,-1)</f>
        <v>0</v>
      </c>
      <c r="AI4" s="2">
        <f>COUNTBLANK(I4:AG4)</f>
        <v>0</v>
      </c>
      <c r="AJ4" s="2">
        <f>SUM(AH4:AI4)</f>
        <v>0</v>
      </c>
    </row>
    <row r="5" spans="2:36" x14ac:dyDescent="0.2">
      <c r="B5" s="102"/>
      <c r="C5" s="103">
        <v>2</v>
      </c>
      <c r="D5" s="205">
        <v>7528500</v>
      </c>
      <c r="E5" s="205">
        <v>4050750</v>
      </c>
      <c r="F5" s="205">
        <v>0</v>
      </c>
      <c r="G5" s="205">
        <v>0</v>
      </c>
      <c r="H5" s="205">
        <v>975751.00919963513</v>
      </c>
      <c r="I5" s="206">
        <v>1</v>
      </c>
      <c r="J5" s="206">
        <v>1</v>
      </c>
      <c r="K5" s="206">
        <v>1</v>
      </c>
      <c r="L5" s="206">
        <v>1</v>
      </c>
      <c r="M5" s="206">
        <v>1</v>
      </c>
      <c r="N5" s="206">
        <v>1</v>
      </c>
      <c r="O5" s="206">
        <v>1</v>
      </c>
      <c r="P5" s="206">
        <v>1</v>
      </c>
      <c r="Q5" s="206">
        <v>1</v>
      </c>
      <c r="R5" s="206">
        <v>1</v>
      </c>
      <c r="S5" s="206">
        <v>1</v>
      </c>
      <c r="T5" s="206">
        <v>1</v>
      </c>
      <c r="U5" s="206">
        <v>1</v>
      </c>
      <c r="V5" s="206">
        <v>1</v>
      </c>
      <c r="W5" s="206">
        <v>1</v>
      </c>
      <c r="X5" s="206">
        <v>1</v>
      </c>
      <c r="Y5" s="206">
        <v>1</v>
      </c>
      <c r="Z5" s="206">
        <v>1</v>
      </c>
      <c r="AA5" s="206">
        <v>1</v>
      </c>
      <c r="AB5" s="206">
        <v>1</v>
      </c>
      <c r="AC5" s="206">
        <v>1</v>
      </c>
      <c r="AD5" s="206">
        <v>1</v>
      </c>
      <c r="AE5" s="206">
        <v>1</v>
      </c>
      <c r="AF5" s="206">
        <v>1</v>
      </c>
      <c r="AG5" s="206">
        <v>1</v>
      </c>
      <c r="AH5" s="2">
        <f t="shared" si="0"/>
        <v>0</v>
      </c>
      <c r="AI5" s="2">
        <f t="shared" ref="AI5:AI68" si="1">COUNTBLANK(I5:AG5)</f>
        <v>0</v>
      </c>
      <c r="AJ5" s="2">
        <f t="shared" ref="AJ5:AJ68" si="2">SUM(AH5:AI5)</f>
        <v>0</v>
      </c>
    </row>
    <row r="6" spans="2:36" x14ac:dyDescent="0.2">
      <c r="B6" s="102"/>
      <c r="C6" s="103">
        <v>3</v>
      </c>
      <c r="D6" s="205">
        <v>7528500</v>
      </c>
      <c r="E6" s="205">
        <v>4050750</v>
      </c>
      <c r="F6" s="205">
        <v>0</v>
      </c>
      <c r="G6" s="205">
        <v>0</v>
      </c>
      <c r="H6" s="205">
        <v>975751.00919963513</v>
      </c>
      <c r="I6" s="206">
        <v>1</v>
      </c>
      <c r="J6" s="206">
        <v>1</v>
      </c>
      <c r="K6" s="206">
        <v>1</v>
      </c>
      <c r="L6" s="206">
        <v>1</v>
      </c>
      <c r="M6" s="206">
        <v>1</v>
      </c>
      <c r="N6" s="206">
        <v>1</v>
      </c>
      <c r="O6" s="206">
        <v>1</v>
      </c>
      <c r="P6" s="206">
        <v>1</v>
      </c>
      <c r="Q6" s="206">
        <v>1</v>
      </c>
      <c r="R6" s="206">
        <v>1</v>
      </c>
      <c r="S6" s="206">
        <v>1</v>
      </c>
      <c r="T6" s="206">
        <v>1</v>
      </c>
      <c r="U6" s="206">
        <v>1</v>
      </c>
      <c r="V6" s="206">
        <v>1</v>
      </c>
      <c r="W6" s="206">
        <v>1</v>
      </c>
      <c r="X6" s="206">
        <v>1</v>
      </c>
      <c r="Y6" s="206">
        <v>1</v>
      </c>
      <c r="Z6" s="206">
        <v>1</v>
      </c>
      <c r="AA6" s="206">
        <v>1</v>
      </c>
      <c r="AB6" s="206">
        <v>1</v>
      </c>
      <c r="AC6" s="206">
        <v>1</v>
      </c>
      <c r="AD6" s="206">
        <v>1</v>
      </c>
      <c r="AE6" s="206">
        <v>1</v>
      </c>
      <c r="AF6" s="206">
        <v>1</v>
      </c>
      <c r="AG6" s="206">
        <v>1</v>
      </c>
      <c r="AH6" s="2">
        <f t="shared" si="0"/>
        <v>0</v>
      </c>
      <c r="AI6" s="2">
        <f t="shared" si="1"/>
        <v>0</v>
      </c>
      <c r="AJ6" s="2">
        <f t="shared" si="2"/>
        <v>0</v>
      </c>
    </row>
    <row r="7" spans="2:36" x14ac:dyDescent="0.2">
      <c r="B7" s="102"/>
      <c r="C7" s="103">
        <v>4</v>
      </c>
      <c r="D7" s="205">
        <v>7260000</v>
      </c>
      <c r="E7" s="205">
        <v>3906750</v>
      </c>
      <c r="F7" s="205">
        <v>0</v>
      </c>
      <c r="G7" s="205">
        <v>0</v>
      </c>
      <c r="H7" s="205">
        <v>975751.00919963513</v>
      </c>
      <c r="I7" s="206">
        <v>1</v>
      </c>
      <c r="J7" s="206">
        <v>1</v>
      </c>
      <c r="K7" s="206">
        <v>1</v>
      </c>
      <c r="L7" s="206">
        <v>1</v>
      </c>
      <c r="M7" s="206">
        <v>1</v>
      </c>
      <c r="N7" s="206">
        <v>1</v>
      </c>
      <c r="O7" s="206">
        <v>1</v>
      </c>
      <c r="P7" s="206">
        <v>1</v>
      </c>
      <c r="Q7" s="206">
        <v>1</v>
      </c>
      <c r="R7" s="206">
        <v>1</v>
      </c>
      <c r="S7" s="206">
        <v>0</v>
      </c>
      <c r="T7" s="206">
        <v>1</v>
      </c>
      <c r="U7" s="206">
        <v>1</v>
      </c>
      <c r="V7" s="206">
        <v>1</v>
      </c>
      <c r="W7" s="206">
        <v>1</v>
      </c>
      <c r="X7" s="206">
        <v>1</v>
      </c>
      <c r="Y7" s="206">
        <v>1</v>
      </c>
      <c r="Z7" s="206">
        <v>1</v>
      </c>
      <c r="AA7" s="206">
        <v>1</v>
      </c>
      <c r="AB7" s="206">
        <v>1</v>
      </c>
      <c r="AC7" s="206">
        <v>1</v>
      </c>
      <c r="AD7" s="206">
        <v>1</v>
      </c>
      <c r="AE7" s="206">
        <v>1</v>
      </c>
      <c r="AF7" s="206">
        <v>1</v>
      </c>
      <c r="AG7" s="206">
        <v>1</v>
      </c>
      <c r="AH7" s="2">
        <f t="shared" si="0"/>
        <v>0</v>
      </c>
      <c r="AI7" s="2">
        <f t="shared" si="1"/>
        <v>0</v>
      </c>
      <c r="AJ7" s="2">
        <f t="shared" si="2"/>
        <v>0</v>
      </c>
    </row>
    <row r="8" spans="2:36" x14ac:dyDescent="0.2">
      <c r="B8" s="102"/>
      <c r="C8" s="103">
        <v>5</v>
      </c>
      <c r="D8" s="205">
        <v>7535995.8953541368</v>
      </c>
      <c r="E8" s="205">
        <v>4058091.8730075406</v>
      </c>
      <c r="F8" s="205">
        <v>0</v>
      </c>
      <c r="G8" s="205">
        <v>0</v>
      </c>
      <c r="H8" s="205">
        <v>975751.00919963513</v>
      </c>
      <c r="I8" s="206">
        <v>1</v>
      </c>
      <c r="J8" s="206">
        <v>1</v>
      </c>
      <c r="K8" s="206">
        <v>1</v>
      </c>
      <c r="L8" s="206">
        <v>1</v>
      </c>
      <c r="M8" s="206">
        <v>1</v>
      </c>
      <c r="N8" s="206">
        <v>1</v>
      </c>
      <c r="O8" s="206">
        <v>1</v>
      </c>
      <c r="P8" s="206">
        <v>1</v>
      </c>
      <c r="Q8" s="206">
        <v>1</v>
      </c>
      <c r="R8" s="206">
        <v>1</v>
      </c>
      <c r="S8" s="206">
        <v>2</v>
      </c>
      <c r="T8" s="206">
        <v>1</v>
      </c>
      <c r="U8" s="206">
        <v>1</v>
      </c>
      <c r="V8" s="206">
        <v>1</v>
      </c>
      <c r="W8" s="206">
        <v>1</v>
      </c>
      <c r="X8" s="206">
        <v>1</v>
      </c>
      <c r="Y8" s="206">
        <v>1</v>
      </c>
      <c r="Z8" s="206">
        <v>1</v>
      </c>
      <c r="AA8" s="206">
        <v>1</v>
      </c>
      <c r="AB8" s="206">
        <v>1</v>
      </c>
      <c r="AC8" s="206">
        <v>1</v>
      </c>
      <c r="AD8" s="206">
        <v>1</v>
      </c>
      <c r="AE8" s="206">
        <v>1</v>
      </c>
      <c r="AF8" s="206">
        <v>1</v>
      </c>
      <c r="AG8" s="206">
        <v>1</v>
      </c>
      <c r="AH8" s="2">
        <f t="shared" si="0"/>
        <v>0</v>
      </c>
      <c r="AI8" s="2">
        <f t="shared" si="1"/>
        <v>0</v>
      </c>
      <c r="AJ8" s="2">
        <f t="shared" si="2"/>
        <v>0</v>
      </c>
    </row>
    <row r="9" spans="2:36" x14ac:dyDescent="0.2">
      <c r="B9" s="102"/>
      <c r="C9" s="103">
        <v>6</v>
      </c>
      <c r="D9" s="205">
        <v>7506000</v>
      </c>
      <c r="E9" s="205">
        <v>4041643.6755457325</v>
      </c>
      <c r="F9" s="205">
        <v>0</v>
      </c>
      <c r="G9" s="205">
        <v>0</v>
      </c>
      <c r="H9" s="205">
        <v>975751.00919963513</v>
      </c>
      <c r="I9" s="206">
        <v>1</v>
      </c>
      <c r="J9" s="206">
        <v>1</v>
      </c>
      <c r="K9" s="206">
        <v>1</v>
      </c>
      <c r="L9" s="206">
        <v>1</v>
      </c>
      <c r="M9" s="206">
        <v>1</v>
      </c>
      <c r="N9" s="206">
        <v>1</v>
      </c>
      <c r="O9" s="206">
        <v>1</v>
      </c>
      <c r="P9" s="206">
        <v>1</v>
      </c>
      <c r="Q9" s="206">
        <v>1</v>
      </c>
      <c r="R9" s="206">
        <v>1</v>
      </c>
      <c r="S9" s="206">
        <v>2</v>
      </c>
      <c r="T9" s="206">
        <v>1</v>
      </c>
      <c r="U9" s="206">
        <v>1</v>
      </c>
      <c r="V9" s="206">
        <v>1</v>
      </c>
      <c r="W9" s="206">
        <v>1</v>
      </c>
      <c r="X9" s="206">
        <v>1</v>
      </c>
      <c r="Y9" s="206">
        <v>1</v>
      </c>
      <c r="Z9" s="206">
        <v>1</v>
      </c>
      <c r="AA9" s="206">
        <v>1</v>
      </c>
      <c r="AB9" s="206">
        <v>1</v>
      </c>
      <c r="AC9" s="206">
        <v>1</v>
      </c>
      <c r="AD9" s="206">
        <v>1</v>
      </c>
      <c r="AE9" s="206">
        <v>1</v>
      </c>
      <c r="AF9" s="206">
        <v>1</v>
      </c>
      <c r="AG9" s="206">
        <v>1</v>
      </c>
      <c r="AH9" s="2">
        <f t="shared" si="0"/>
        <v>0</v>
      </c>
      <c r="AI9" s="2">
        <f t="shared" si="1"/>
        <v>0</v>
      </c>
      <c r="AJ9" s="2">
        <f t="shared" si="2"/>
        <v>0</v>
      </c>
    </row>
    <row r="10" spans="2:36" x14ac:dyDescent="0.2">
      <c r="B10" s="102"/>
      <c r="C10" s="103">
        <v>7</v>
      </c>
      <c r="D10" s="205">
        <v>7506000</v>
      </c>
      <c r="E10" s="205">
        <v>4041643.6755457325</v>
      </c>
      <c r="F10" s="205">
        <v>0</v>
      </c>
      <c r="G10" s="205">
        <v>0</v>
      </c>
      <c r="H10" s="205">
        <v>975751.00919963513</v>
      </c>
      <c r="I10" s="206">
        <v>1</v>
      </c>
      <c r="J10" s="206">
        <v>1</v>
      </c>
      <c r="K10" s="206">
        <v>1</v>
      </c>
      <c r="L10" s="206">
        <v>1</v>
      </c>
      <c r="M10" s="206">
        <v>1</v>
      </c>
      <c r="N10" s="206">
        <v>1</v>
      </c>
      <c r="O10" s="206">
        <v>1</v>
      </c>
      <c r="P10" s="206">
        <v>1</v>
      </c>
      <c r="Q10" s="206">
        <v>1</v>
      </c>
      <c r="R10" s="206">
        <v>1</v>
      </c>
      <c r="S10" s="206">
        <v>2</v>
      </c>
      <c r="T10" s="206">
        <v>1</v>
      </c>
      <c r="U10" s="206">
        <v>1</v>
      </c>
      <c r="V10" s="206">
        <v>1</v>
      </c>
      <c r="W10" s="206">
        <v>1</v>
      </c>
      <c r="X10" s="206">
        <v>1</v>
      </c>
      <c r="Y10" s="206">
        <v>1</v>
      </c>
      <c r="Z10" s="206">
        <v>1</v>
      </c>
      <c r="AA10" s="206">
        <v>1</v>
      </c>
      <c r="AB10" s="206">
        <v>1</v>
      </c>
      <c r="AC10" s="206">
        <v>1</v>
      </c>
      <c r="AD10" s="206">
        <v>1</v>
      </c>
      <c r="AE10" s="206">
        <v>1</v>
      </c>
      <c r="AF10" s="206">
        <v>1</v>
      </c>
      <c r="AG10" s="206">
        <v>1</v>
      </c>
      <c r="AH10" s="2">
        <f t="shared" si="0"/>
        <v>0</v>
      </c>
      <c r="AI10" s="2">
        <f t="shared" si="1"/>
        <v>0</v>
      </c>
      <c r="AJ10" s="2">
        <f t="shared" si="2"/>
        <v>0</v>
      </c>
    </row>
    <row r="11" spans="2:36" x14ac:dyDescent="0.2">
      <c r="B11" s="102"/>
      <c r="C11" s="103">
        <v>8</v>
      </c>
      <c r="D11" s="205">
        <v>7506000</v>
      </c>
      <c r="E11" s="205">
        <v>4041643.6755457325</v>
      </c>
      <c r="F11" s="205">
        <v>0</v>
      </c>
      <c r="G11" s="205">
        <v>0</v>
      </c>
      <c r="H11" s="205">
        <v>975751.00919963513</v>
      </c>
      <c r="I11" s="206">
        <v>1</v>
      </c>
      <c r="J11" s="206">
        <v>1</v>
      </c>
      <c r="K11" s="206">
        <v>1</v>
      </c>
      <c r="L11" s="206">
        <v>1</v>
      </c>
      <c r="M11" s="206">
        <v>1</v>
      </c>
      <c r="N11" s="206">
        <v>1</v>
      </c>
      <c r="O11" s="206">
        <v>1</v>
      </c>
      <c r="P11" s="206">
        <v>1</v>
      </c>
      <c r="Q11" s="206">
        <v>1</v>
      </c>
      <c r="R11" s="206">
        <v>1</v>
      </c>
      <c r="S11" s="206">
        <v>2</v>
      </c>
      <c r="T11" s="206">
        <v>1</v>
      </c>
      <c r="U11" s="206">
        <v>1</v>
      </c>
      <c r="V11" s="206">
        <v>1</v>
      </c>
      <c r="W11" s="206">
        <v>1</v>
      </c>
      <c r="X11" s="206">
        <v>1</v>
      </c>
      <c r="Y11" s="206">
        <v>1</v>
      </c>
      <c r="Z11" s="206">
        <v>1</v>
      </c>
      <c r="AA11" s="206">
        <v>1</v>
      </c>
      <c r="AB11" s="206">
        <v>1</v>
      </c>
      <c r="AC11" s="206">
        <v>1</v>
      </c>
      <c r="AD11" s="206">
        <v>1</v>
      </c>
      <c r="AE11" s="206">
        <v>1</v>
      </c>
      <c r="AF11" s="206">
        <v>1</v>
      </c>
      <c r="AG11" s="206">
        <v>1</v>
      </c>
      <c r="AH11" s="2">
        <f t="shared" si="0"/>
        <v>0</v>
      </c>
      <c r="AI11" s="2">
        <f t="shared" si="1"/>
        <v>0</v>
      </c>
      <c r="AJ11" s="2">
        <f t="shared" si="2"/>
        <v>0</v>
      </c>
    </row>
    <row r="12" spans="2:36" x14ac:dyDescent="0.2">
      <c r="B12" s="102"/>
      <c r="C12" s="103">
        <v>9</v>
      </c>
      <c r="D12" s="205">
        <v>7153500</v>
      </c>
      <c r="E12" s="205">
        <v>3873643.6755457325</v>
      </c>
      <c r="F12" s="205">
        <v>0</v>
      </c>
      <c r="G12" s="205">
        <v>0</v>
      </c>
      <c r="H12" s="205">
        <v>975751.00919963513</v>
      </c>
      <c r="I12" s="206">
        <v>1</v>
      </c>
      <c r="J12" s="206">
        <v>1</v>
      </c>
      <c r="K12" s="206">
        <v>1</v>
      </c>
      <c r="L12" s="206">
        <v>1</v>
      </c>
      <c r="M12" s="206">
        <v>1</v>
      </c>
      <c r="N12" s="206">
        <v>1</v>
      </c>
      <c r="O12" s="206">
        <v>0</v>
      </c>
      <c r="P12" s="206">
        <v>1</v>
      </c>
      <c r="Q12" s="206">
        <v>1</v>
      </c>
      <c r="R12" s="206">
        <v>1</v>
      </c>
      <c r="S12" s="206">
        <v>2</v>
      </c>
      <c r="T12" s="206">
        <v>1</v>
      </c>
      <c r="U12" s="206">
        <v>1</v>
      </c>
      <c r="V12" s="206">
        <v>1</v>
      </c>
      <c r="W12" s="206">
        <v>1</v>
      </c>
      <c r="X12" s="206">
        <v>1</v>
      </c>
      <c r="Y12" s="206">
        <v>1</v>
      </c>
      <c r="Z12" s="206">
        <v>1</v>
      </c>
      <c r="AA12" s="206">
        <v>1</v>
      </c>
      <c r="AB12" s="206">
        <v>1</v>
      </c>
      <c r="AC12" s="206">
        <v>1</v>
      </c>
      <c r="AD12" s="206">
        <v>1</v>
      </c>
      <c r="AE12" s="206">
        <v>1</v>
      </c>
      <c r="AF12" s="206">
        <v>1</v>
      </c>
      <c r="AG12" s="206">
        <v>1</v>
      </c>
      <c r="AH12" s="2">
        <f t="shared" si="0"/>
        <v>0</v>
      </c>
      <c r="AI12" s="2">
        <f t="shared" si="1"/>
        <v>0</v>
      </c>
      <c r="AJ12" s="2">
        <f t="shared" si="2"/>
        <v>0</v>
      </c>
    </row>
    <row r="13" spans="2:36" x14ac:dyDescent="0.2">
      <c r="B13" s="102"/>
      <c r="C13" s="103">
        <v>10</v>
      </c>
      <c r="D13" s="205">
        <v>6633000</v>
      </c>
      <c r="E13" s="205">
        <v>3570750</v>
      </c>
      <c r="F13" s="205">
        <v>0</v>
      </c>
      <c r="G13" s="205">
        <v>0</v>
      </c>
      <c r="H13" s="205">
        <v>975751.00919963513</v>
      </c>
      <c r="I13" s="206">
        <v>1</v>
      </c>
      <c r="J13" s="206">
        <v>1</v>
      </c>
      <c r="K13" s="206">
        <v>1</v>
      </c>
      <c r="L13" s="206">
        <v>1</v>
      </c>
      <c r="M13" s="206">
        <v>1</v>
      </c>
      <c r="N13" s="206">
        <v>1</v>
      </c>
      <c r="O13" s="206">
        <v>0</v>
      </c>
      <c r="P13" s="206">
        <v>1</v>
      </c>
      <c r="Q13" s="206">
        <v>1</v>
      </c>
      <c r="R13" s="206">
        <v>1</v>
      </c>
      <c r="S13" s="206">
        <v>0</v>
      </c>
      <c r="T13" s="206">
        <v>1</v>
      </c>
      <c r="U13" s="206">
        <v>0</v>
      </c>
      <c r="V13" s="206">
        <v>1</v>
      </c>
      <c r="W13" s="206">
        <v>1</v>
      </c>
      <c r="X13" s="206">
        <v>1</v>
      </c>
      <c r="Y13" s="206">
        <v>1</v>
      </c>
      <c r="Z13" s="206">
        <v>1</v>
      </c>
      <c r="AA13" s="206">
        <v>1</v>
      </c>
      <c r="AB13" s="206">
        <v>1</v>
      </c>
      <c r="AC13" s="206">
        <v>1</v>
      </c>
      <c r="AD13" s="206">
        <v>1</v>
      </c>
      <c r="AE13" s="206">
        <v>1</v>
      </c>
      <c r="AF13" s="206">
        <v>1</v>
      </c>
      <c r="AG13" s="206">
        <v>1</v>
      </c>
      <c r="AH13" s="2">
        <f t="shared" si="0"/>
        <v>0</v>
      </c>
      <c r="AI13" s="2">
        <f t="shared" si="1"/>
        <v>0</v>
      </c>
      <c r="AJ13" s="2">
        <f t="shared" si="2"/>
        <v>0</v>
      </c>
    </row>
    <row r="14" spans="2:36" x14ac:dyDescent="0.2">
      <c r="B14" s="102"/>
      <c r="C14" s="103">
        <v>11</v>
      </c>
      <c r="D14" s="205">
        <v>6377680.4515669262</v>
      </c>
      <c r="E14" s="205">
        <v>3407025.1853440143</v>
      </c>
      <c r="F14" s="205">
        <v>0</v>
      </c>
      <c r="G14" s="205">
        <v>0</v>
      </c>
      <c r="H14" s="205">
        <v>975751.00919963513</v>
      </c>
      <c r="I14" s="206">
        <v>1</v>
      </c>
      <c r="J14" s="206">
        <v>1</v>
      </c>
      <c r="K14" s="206">
        <v>1</v>
      </c>
      <c r="L14" s="206">
        <v>1</v>
      </c>
      <c r="M14" s="206">
        <v>1</v>
      </c>
      <c r="N14" s="206">
        <v>1</v>
      </c>
      <c r="O14" s="206">
        <v>2</v>
      </c>
      <c r="P14" s="206">
        <v>1</v>
      </c>
      <c r="Q14" s="206">
        <v>1</v>
      </c>
      <c r="R14" s="206">
        <v>1</v>
      </c>
      <c r="S14" s="206">
        <v>0</v>
      </c>
      <c r="T14" s="206">
        <v>1</v>
      </c>
      <c r="U14" s="206">
        <v>0</v>
      </c>
      <c r="V14" s="206">
        <v>1</v>
      </c>
      <c r="W14" s="206">
        <v>1</v>
      </c>
      <c r="X14" s="206">
        <v>1</v>
      </c>
      <c r="Y14" s="206">
        <v>1</v>
      </c>
      <c r="Z14" s="206">
        <v>1</v>
      </c>
      <c r="AA14" s="206">
        <v>1</v>
      </c>
      <c r="AB14" s="206">
        <v>1</v>
      </c>
      <c r="AC14" s="206">
        <v>1</v>
      </c>
      <c r="AD14" s="206">
        <v>1</v>
      </c>
      <c r="AE14" s="206">
        <v>0</v>
      </c>
      <c r="AF14" s="206">
        <v>1</v>
      </c>
      <c r="AG14" s="206">
        <v>0</v>
      </c>
      <c r="AH14" s="2">
        <f t="shared" si="0"/>
        <v>0</v>
      </c>
      <c r="AI14" s="2">
        <f t="shared" si="1"/>
        <v>0</v>
      </c>
      <c r="AJ14" s="2">
        <f t="shared" si="2"/>
        <v>0</v>
      </c>
    </row>
    <row r="15" spans="2:36" x14ac:dyDescent="0.2">
      <c r="B15" s="102"/>
      <c r="C15" s="103">
        <v>12</v>
      </c>
      <c r="D15" s="205">
        <v>6891145.3053779704</v>
      </c>
      <c r="E15" s="205">
        <v>3688296.0900219195</v>
      </c>
      <c r="F15" s="205">
        <v>0</v>
      </c>
      <c r="G15" s="205">
        <v>0</v>
      </c>
      <c r="H15" s="205">
        <v>975751.00919963513</v>
      </c>
      <c r="I15" s="206">
        <v>1</v>
      </c>
      <c r="J15" s="206">
        <v>1</v>
      </c>
      <c r="K15" s="206">
        <v>1</v>
      </c>
      <c r="L15" s="206">
        <v>1</v>
      </c>
      <c r="M15" s="206">
        <v>1</v>
      </c>
      <c r="N15" s="206">
        <v>1</v>
      </c>
      <c r="O15" s="206">
        <v>2</v>
      </c>
      <c r="P15" s="206">
        <v>1</v>
      </c>
      <c r="Q15" s="206">
        <v>1</v>
      </c>
      <c r="R15" s="206">
        <v>1</v>
      </c>
      <c r="S15" s="206">
        <v>3</v>
      </c>
      <c r="T15" s="206">
        <v>1</v>
      </c>
      <c r="U15" s="206">
        <v>2</v>
      </c>
      <c r="V15" s="206">
        <v>1</v>
      </c>
      <c r="W15" s="206">
        <v>1</v>
      </c>
      <c r="X15" s="206">
        <v>1</v>
      </c>
      <c r="Y15" s="206">
        <v>1</v>
      </c>
      <c r="Z15" s="206">
        <v>1</v>
      </c>
      <c r="AA15" s="206">
        <v>1</v>
      </c>
      <c r="AB15" s="206">
        <v>1</v>
      </c>
      <c r="AC15" s="206">
        <v>1</v>
      </c>
      <c r="AD15" s="206">
        <v>1</v>
      </c>
      <c r="AE15" s="206">
        <v>0</v>
      </c>
      <c r="AF15" s="206">
        <v>1</v>
      </c>
      <c r="AG15" s="206">
        <v>0</v>
      </c>
      <c r="AH15" s="2">
        <f t="shared" si="0"/>
        <v>0</v>
      </c>
      <c r="AI15" s="2">
        <f t="shared" si="1"/>
        <v>0</v>
      </c>
      <c r="AJ15" s="2">
        <f t="shared" si="2"/>
        <v>0</v>
      </c>
    </row>
    <row r="16" spans="2:36" x14ac:dyDescent="0.2">
      <c r="B16" s="102"/>
      <c r="C16" s="103">
        <v>13</v>
      </c>
      <c r="D16" s="205">
        <v>7276648.318869153</v>
      </c>
      <c r="E16" s="205">
        <v>3897214.915234969</v>
      </c>
      <c r="F16" s="205">
        <v>0</v>
      </c>
      <c r="G16" s="205">
        <v>0</v>
      </c>
      <c r="H16" s="205">
        <v>932481.77843040437</v>
      </c>
      <c r="I16" s="206">
        <v>1</v>
      </c>
      <c r="J16" s="206">
        <v>1</v>
      </c>
      <c r="K16" s="206">
        <v>1</v>
      </c>
      <c r="L16" s="206">
        <v>1</v>
      </c>
      <c r="M16" s="206">
        <v>1</v>
      </c>
      <c r="N16" s="206">
        <v>1</v>
      </c>
      <c r="O16" s="206">
        <v>2</v>
      </c>
      <c r="P16" s="206">
        <v>1</v>
      </c>
      <c r="Q16" s="206">
        <v>1</v>
      </c>
      <c r="R16" s="206">
        <v>1</v>
      </c>
      <c r="S16" s="206">
        <v>3</v>
      </c>
      <c r="T16" s="206">
        <v>1</v>
      </c>
      <c r="U16" s="206">
        <v>2</v>
      </c>
      <c r="V16" s="206">
        <v>1</v>
      </c>
      <c r="W16" s="206">
        <v>1</v>
      </c>
      <c r="X16" s="206">
        <v>1</v>
      </c>
      <c r="Y16" s="206">
        <v>1</v>
      </c>
      <c r="Z16" s="206">
        <v>1</v>
      </c>
      <c r="AA16" s="206">
        <v>1</v>
      </c>
      <c r="AB16" s="206">
        <v>1</v>
      </c>
      <c r="AC16" s="206">
        <v>1</v>
      </c>
      <c r="AD16" s="206">
        <v>1</v>
      </c>
      <c r="AE16" s="206">
        <v>2</v>
      </c>
      <c r="AF16" s="206">
        <v>1</v>
      </c>
      <c r="AG16" s="206">
        <v>2</v>
      </c>
      <c r="AH16" s="2">
        <f t="shared" si="0"/>
        <v>0</v>
      </c>
      <c r="AI16" s="2">
        <f t="shared" si="1"/>
        <v>0</v>
      </c>
      <c r="AJ16" s="2">
        <f t="shared" si="2"/>
        <v>0</v>
      </c>
    </row>
    <row r="17" spans="2:36" x14ac:dyDescent="0.2">
      <c r="B17" s="102"/>
      <c r="C17" s="103">
        <v>14</v>
      </c>
      <c r="D17" s="205">
        <v>6939000</v>
      </c>
      <c r="E17" s="205">
        <v>3720170.9565368718</v>
      </c>
      <c r="F17" s="205">
        <v>0</v>
      </c>
      <c r="G17" s="205">
        <v>0</v>
      </c>
      <c r="H17" s="205">
        <v>932481.77843040437</v>
      </c>
      <c r="I17" s="206">
        <v>1</v>
      </c>
      <c r="J17" s="206">
        <v>1</v>
      </c>
      <c r="K17" s="206">
        <v>1</v>
      </c>
      <c r="L17" s="206">
        <v>1</v>
      </c>
      <c r="M17" s="206">
        <v>1</v>
      </c>
      <c r="N17" s="206">
        <v>1</v>
      </c>
      <c r="O17" s="206">
        <v>2</v>
      </c>
      <c r="P17" s="206">
        <v>1</v>
      </c>
      <c r="Q17" s="206">
        <v>1</v>
      </c>
      <c r="R17" s="206">
        <v>1</v>
      </c>
      <c r="S17" s="206">
        <v>3</v>
      </c>
      <c r="T17" s="206">
        <v>1</v>
      </c>
      <c r="U17" s="206">
        <v>2</v>
      </c>
      <c r="V17" s="206">
        <v>1</v>
      </c>
      <c r="W17" s="206">
        <v>0</v>
      </c>
      <c r="X17" s="206">
        <v>1</v>
      </c>
      <c r="Y17" s="206">
        <v>1</v>
      </c>
      <c r="Z17" s="206">
        <v>1</v>
      </c>
      <c r="AA17" s="206">
        <v>1</v>
      </c>
      <c r="AB17" s="206">
        <v>1</v>
      </c>
      <c r="AC17" s="206">
        <v>1</v>
      </c>
      <c r="AD17" s="206">
        <v>1</v>
      </c>
      <c r="AE17" s="206">
        <v>2</v>
      </c>
      <c r="AF17" s="206">
        <v>1</v>
      </c>
      <c r="AG17" s="206">
        <v>2</v>
      </c>
      <c r="AH17" s="2">
        <f t="shared" si="0"/>
        <v>0</v>
      </c>
      <c r="AI17" s="2">
        <f t="shared" si="1"/>
        <v>0</v>
      </c>
      <c r="AJ17" s="2">
        <f t="shared" si="2"/>
        <v>0</v>
      </c>
    </row>
    <row r="18" spans="2:36" x14ac:dyDescent="0.2">
      <c r="B18" s="102"/>
      <c r="C18" s="103">
        <v>15</v>
      </c>
      <c r="D18" s="205">
        <v>6669000</v>
      </c>
      <c r="E18" s="205">
        <v>3570269.4019259475</v>
      </c>
      <c r="F18" s="205">
        <v>0</v>
      </c>
      <c r="G18" s="205">
        <v>0</v>
      </c>
      <c r="H18" s="205">
        <v>932481.77843040437</v>
      </c>
      <c r="I18" s="206">
        <v>1</v>
      </c>
      <c r="J18" s="206">
        <v>1</v>
      </c>
      <c r="K18" s="206">
        <v>1</v>
      </c>
      <c r="L18" s="206">
        <v>1</v>
      </c>
      <c r="M18" s="206">
        <v>1</v>
      </c>
      <c r="N18" s="206">
        <v>1</v>
      </c>
      <c r="O18" s="206">
        <v>2</v>
      </c>
      <c r="P18" s="206">
        <v>1</v>
      </c>
      <c r="Q18" s="206">
        <v>1</v>
      </c>
      <c r="R18" s="206">
        <v>1</v>
      </c>
      <c r="S18" s="206">
        <v>3</v>
      </c>
      <c r="T18" s="206">
        <v>1</v>
      </c>
      <c r="U18" s="206">
        <v>0</v>
      </c>
      <c r="V18" s="206">
        <v>1</v>
      </c>
      <c r="W18" s="206">
        <v>0</v>
      </c>
      <c r="X18" s="206">
        <v>1</v>
      </c>
      <c r="Y18" s="206">
        <v>1</v>
      </c>
      <c r="Z18" s="206">
        <v>1</v>
      </c>
      <c r="AA18" s="206">
        <v>1</v>
      </c>
      <c r="AB18" s="206">
        <v>1</v>
      </c>
      <c r="AC18" s="206">
        <v>1</v>
      </c>
      <c r="AD18" s="206">
        <v>1</v>
      </c>
      <c r="AE18" s="206">
        <v>2</v>
      </c>
      <c r="AF18" s="206">
        <v>1</v>
      </c>
      <c r="AG18" s="206">
        <v>2</v>
      </c>
      <c r="AH18" s="2">
        <f t="shared" si="0"/>
        <v>0</v>
      </c>
      <c r="AI18" s="2">
        <f t="shared" si="1"/>
        <v>0</v>
      </c>
      <c r="AJ18" s="2">
        <f t="shared" si="2"/>
        <v>0</v>
      </c>
    </row>
    <row r="19" spans="2:36" x14ac:dyDescent="0.2">
      <c r="B19" s="102"/>
      <c r="C19" s="103">
        <v>16</v>
      </c>
      <c r="D19" s="205">
        <v>6689663.2816482848</v>
      </c>
      <c r="E19" s="205">
        <v>3575983.0251808148</v>
      </c>
      <c r="F19" s="205">
        <v>0</v>
      </c>
      <c r="G19" s="205">
        <v>0</v>
      </c>
      <c r="H19" s="205">
        <v>932481.77843040437</v>
      </c>
      <c r="I19" s="206">
        <v>1</v>
      </c>
      <c r="J19" s="206">
        <v>1</v>
      </c>
      <c r="K19" s="206">
        <v>1</v>
      </c>
      <c r="L19" s="206">
        <v>1</v>
      </c>
      <c r="M19" s="206">
        <v>1</v>
      </c>
      <c r="N19" s="206">
        <v>1</v>
      </c>
      <c r="O19" s="206">
        <v>2</v>
      </c>
      <c r="P19" s="206">
        <v>1</v>
      </c>
      <c r="Q19" s="206">
        <v>1</v>
      </c>
      <c r="R19" s="206">
        <v>1</v>
      </c>
      <c r="S19" s="206">
        <v>0</v>
      </c>
      <c r="T19" s="206">
        <v>1</v>
      </c>
      <c r="U19" s="206">
        <v>0</v>
      </c>
      <c r="V19" s="206">
        <v>1</v>
      </c>
      <c r="W19" s="206">
        <v>2</v>
      </c>
      <c r="X19" s="206">
        <v>1</v>
      </c>
      <c r="Y19" s="206">
        <v>1</v>
      </c>
      <c r="Z19" s="206">
        <v>1</v>
      </c>
      <c r="AA19" s="206">
        <v>1</v>
      </c>
      <c r="AB19" s="206">
        <v>1</v>
      </c>
      <c r="AC19" s="206">
        <v>1</v>
      </c>
      <c r="AD19" s="206">
        <v>1</v>
      </c>
      <c r="AE19" s="206">
        <v>2</v>
      </c>
      <c r="AF19" s="206">
        <v>1</v>
      </c>
      <c r="AG19" s="206">
        <v>2</v>
      </c>
      <c r="AH19" s="2">
        <f t="shared" si="0"/>
        <v>0</v>
      </c>
      <c r="AI19" s="2">
        <f t="shared" si="1"/>
        <v>0</v>
      </c>
      <c r="AJ19" s="2">
        <f t="shared" si="2"/>
        <v>0</v>
      </c>
    </row>
    <row r="20" spans="2:36" x14ac:dyDescent="0.2">
      <c r="B20" s="102"/>
      <c r="C20" s="103">
        <v>17</v>
      </c>
      <c r="D20" s="205">
        <v>6657714.004703477</v>
      </c>
      <c r="E20" s="205">
        <v>3562951.7736288966</v>
      </c>
      <c r="F20" s="205">
        <v>0</v>
      </c>
      <c r="G20" s="205">
        <v>0</v>
      </c>
      <c r="H20" s="205">
        <v>932481.77843040437</v>
      </c>
      <c r="I20" s="206">
        <v>1</v>
      </c>
      <c r="J20" s="206">
        <v>1</v>
      </c>
      <c r="K20" s="206">
        <v>1</v>
      </c>
      <c r="L20" s="206">
        <v>0</v>
      </c>
      <c r="M20" s="206">
        <v>1</v>
      </c>
      <c r="N20" s="206">
        <v>1</v>
      </c>
      <c r="O20" s="206">
        <v>2</v>
      </c>
      <c r="P20" s="206">
        <v>1</v>
      </c>
      <c r="Q20" s="206">
        <v>1</v>
      </c>
      <c r="R20" s="206">
        <v>1</v>
      </c>
      <c r="S20" s="206">
        <v>0</v>
      </c>
      <c r="T20" s="206">
        <v>1</v>
      </c>
      <c r="U20" s="206">
        <v>3</v>
      </c>
      <c r="V20" s="206">
        <v>1</v>
      </c>
      <c r="W20" s="206">
        <v>2</v>
      </c>
      <c r="X20" s="206">
        <v>1</v>
      </c>
      <c r="Y20" s="206">
        <v>1</v>
      </c>
      <c r="Z20" s="206">
        <v>1</v>
      </c>
      <c r="AA20" s="206">
        <v>1</v>
      </c>
      <c r="AB20" s="206">
        <v>1</v>
      </c>
      <c r="AC20" s="206">
        <v>1</v>
      </c>
      <c r="AD20" s="206">
        <v>1</v>
      </c>
      <c r="AE20" s="206">
        <v>2</v>
      </c>
      <c r="AF20" s="206">
        <v>1</v>
      </c>
      <c r="AG20" s="206">
        <v>2</v>
      </c>
      <c r="AH20" s="2">
        <f t="shared" si="0"/>
        <v>0</v>
      </c>
      <c r="AI20" s="2">
        <f t="shared" si="1"/>
        <v>0</v>
      </c>
      <c r="AJ20" s="2">
        <f t="shared" si="2"/>
        <v>0</v>
      </c>
    </row>
    <row r="21" spans="2:36" x14ac:dyDescent="0.2">
      <c r="B21" s="102"/>
      <c r="C21" s="103">
        <v>18</v>
      </c>
      <c r="D21" s="205">
        <v>6393000</v>
      </c>
      <c r="E21" s="205">
        <v>3418746.3363084313</v>
      </c>
      <c r="F21" s="205">
        <v>0</v>
      </c>
      <c r="G21" s="205">
        <v>0</v>
      </c>
      <c r="H21" s="205">
        <v>932481.77843040437</v>
      </c>
      <c r="I21" s="206">
        <v>1</v>
      </c>
      <c r="J21" s="206">
        <v>1</v>
      </c>
      <c r="K21" s="206">
        <v>1</v>
      </c>
      <c r="L21" s="206">
        <v>0</v>
      </c>
      <c r="M21" s="206">
        <v>1</v>
      </c>
      <c r="N21" s="206">
        <v>1</v>
      </c>
      <c r="O21" s="206">
        <v>0</v>
      </c>
      <c r="P21" s="206">
        <v>1</v>
      </c>
      <c r="Q21" s="206">
        <v>1</v>
      </c>
      <c r="R21" s="206">
        <v>1</v>
      </c>
      <c r="S21" s="206">
        <v>0</v>
      </c>
      <c r="T21" s="206">
        <v>1</v>
      </c>
      <c r="U21" s="206">
        <v>3</v>
      </c>
      <c r="V21" s="206">
        <v>1</v>
      </c>
      <c r="W21" s="206">
        <v>2</v>
      </c>
      <c r="X21" s="206">
        <v>1</v>
      </c>
      <c r="Y21" s="206">
        <v>1</v>
      </c>
      <c r="Z21" s="206">
        <v>1</v>
      </c>
      <c r="AA21" s="206">
        <v>1</v>
      </c>
      <c r="AB21" s="206">
        <v>1</v>
      </c>
      <c r="AC21" s="206">
        <v>1</v>
      </c>
      <c r="AD21" s="206">
        <v>1</v>
      </c>
      <c r="AE21" s="206">
        <v>2</v>
      </c>
      <c r="AF21" s="206">
        <v>1</v>
      </c>
      <c r="AG21" s="206">
        <v>2</v>
      </c>
      <c r="AH21" s="2">
        <f t="shared" si="0"/>
        <v>0</v>
      </c>
      <c r="AI21" s="2">
        <f t="shared" si="1"/>
        <v>0</v>
      </c>
      <c r="AJ21" s="2">
        <f t="shared" si="2"/>
        <v>0</v>
      </c>
    </row>
    <row r="22" spans="2:36" x14ac:dyDescent="0.2">
      <c r="B22" s="102"/>
      <c r="C22" s="103">
        <v>19</v>
      </c>
      <c r="D22" s="205">
        <v>6174036.9093872998</v>
      </c>
      <c r="E22" s="205">
        <v>3309022.2190832202</v>
      </c>
      <c r="F22" s="205">
        <v>0</v>
      </c>
      <c r="G22" s="205">
        <v>0</v>
      </c>
      <c r="H22" s="205">
        <v>975751.00919963513</v>
      </c>
      <c r="I22" s="206">
        <v>1</v>
      </c>
      <c r="J22" s="206">
        <v>1</v>
      </c>
      <c r="K22" s="206">
        <v>1</v>
      </c>
      <c r="L22" s="206">
        <v>2</v>
      </c>
      <c r="M22" s="206">
        <v>1</v>
      </c>
      <c r="N22" s="206">
        <v>1</v>
      </c>
      <c r="O22" s="206">
        <v>0</v>
      </c>
      <c r="P22" s="206">
        <v>1</v>
      </c>
      <c r="Q22" s="206">
        <v>0</v>
      </c>
      <c r="R22" s="206">
        <v>1</v>
      </c>
      <c r="S22" s="206">
        <v>4</v>
      </c>
      <c r="T22" s="206">
        <v>1</v>
      </c>
      <c r="U22" s="206">
        <v>0</v>
      </c>
      <c r="V22" s="206">
        <v>1</v>
      </c>
      <c r="W22" s="206">
        <v>2</v>
      </c>
      <c r="X22" s="206">
        <v>1</v>
      </c>
      <c r="Y22" s="206">
        <v>1</v>
      </c>
      <c r="Z22" s="206">
        <v>1</v>
      </c>
      <c r="AA22" s="206">
        <v>1</v>
      </c>
      <c r="AB22" s="206">
        <v>1</v>
      </c>
      <c r="AC22" s="206">
        <v>1</v>
      </c>
      <c r="AD22" s="206">
        <v>1</v>
      </c>
      <c r="AE22" s="206">
        <v>0</v>
      </c>
      <c r="AF22" s="206">
        <v>1</v>
      </c>
      <c r="AG22" s="206">
        <v>0</v>
      </c>
      <c r="AH22" s="2">
        <f t="shared" si="0"/>
        <v>0</v>
      </c>
      <c r="AI22" s="2">
        <f t="shared" si="1"/>
        <v>0</v>
      </c>
      <c r="AJ22" s="2">
        <f t="shared" si="2"/>
        <v>0</v>
      </c>
    </row>
    <row r="23" spans="2:36" x14ac:dyDescent="0.2">
      <c r="B23" s="102"/>
      <c r="C23" s="103">
        <v>20</v>
      </c>
      <c r="D23" s="205">
        <v>6871095.1066877376</v>
      </c>
      <c r="E23" s="205">
        <v>3685493.1375618083</v>
      </c>
      <c r="F23" s="205">
        <v>0</v>
      </c>
      <c r="G23" s="205">
        <v>0</v>
      </c>
      <c r="H23" s="205">
        <v>932481.77843040437</v>
      </c>
      <c r="I23" s="206">
        <v>1</v>
      </c>
      <c r="J23" s="206">
        <v>1</v>
      </c>
      <c r="K23" s="206">
        <v>1</v>
      </c>
      <c r="L23" s="206">
        <v>2</v>
      </c>
      <c r="M23" s="206">
        <v>1</v>
      </c>
      <c r="N23" s="206">
        <v>1</v>
      </c>
      <c r="O23" s="206">
        <v>3</v>
      </c>
      <c r="P23" s="206">
        <v>1</v>
      </c>
      <c r="Q23" s="206">
        <v>2</v>
      </c>
      <c r="R23" s="206">
        <v>1</v>
      </c>
      <c r="S23" s="206">
        <v>4</v>
      </c>
      <c r="T23" s="206">
        <v>1</v>
      </c>
      <c r="U23" s="206">
        <v>0</v>
      </c>
      <c r="V23" s="206">
        <v>1</v>
      </c>
      <c r="W23" s="206">
        <v>2</v>
      </c>
      <c r="X23" s="206">
        <v>1</v>
      </c>
      <c r="Y23" s="206">
        <v>1</v>
      </c>
      <c r="Z23" s="206">
        <v>1</v>
      </c>
      <c r="AA23" s="206">
        <v>1</v>
      </c>
      <c r="AB23" s="206">
        <v>1</v>
      </c>
      <c r="AC23" s="206">
        <v>1</v>
      </c>
      <c r="AD23" s="206">
        <v>1</v>
      </c>
      <c r="AE23" s="206">
        <v>0</v>
      </c>
      <c r="AF23" s="206">
        <v>1</v>
      </c>
      <c r="AG23" s="206">
        <v>3</v>
      </c>
      <c r="AH23" s="2">
        <f t="shared" si="0"/>
        <v>0</v>
      </c>
      <c r="AI23" s="2">
        <f t="shared" si="1"/>
        <v>0</v>
      </c>
      <c r="AJ23" s="2">
        <f t="shared" si="2"/>
        <v>0</v>
      </c>
    </row>
    <row r="24" spans="2:36" x14ac:dyDescent="0.2">
      <c r="B24" s="102"/>
      <c r="C24" s="103">
        <v>21</v>
      </c>
      <c r="D24" s="205">
        <v>6728800.3421214279</v>
      </c>
      <c r="E24" s="205">
        <v>3618439.1511626281</v>
      </c>
      <c r="F24" s="205">
        <v>0</v>
      </c>
      <c r="G24" s="205">
        <v>0</v>
      </c>
      <c r="H24" s="205">
        <v>932481.77843040437</v>
      </c>
      <c r="I24" s="206">
        <v>1</v>
      </c>
      <c r="J24" s="206">
        <v>1</v>
      </c>
      <c r="K24" s="206">
        <v>0</v>
      </c>
      <c r="L24" s="206">
        <v>2</v>
      </c>
      <c r="M24" s="206">
        <v>1</v>
      </c>
      <c r="N24" s="206">
        <v>1</v>
      </c>
      <c r="O24" s="206">
        <v>3</v>
      </c>
      <c r="P24" s="206">
        <v>1</v>
      </c>
      <c r="Q24" s="206">
        <v>2</v>
      </c>
      <c r="R24" s="206">
        <v>1</v>
      </c>
      <c r="S24" s="206">
        <v>4</v>
      </c>
      <c r="T24" s="206">
        <v>1</v>
      </c>
      <c r="U24" s="206">
        <v>4</v>
      </c>
      <c r="V24" s="206">
        <v>1</v>
      </c>
      <c r="W24" s="206">
        <v>2</v>
      </c>
      <c r="X24" s="206">
        <v>1</v>
      </c>
      <c r="Y24" s="206">
        <v>1</v>
      </c>
      <c r="Z24" s="206">
        <v>1</v>
      </c>
      <c r="AA24" s="206">
        <v>1</v>
      </c>
      <c r="AB24" s="206">
        <v>1</v>
      </c>
      <c r="AC24" s="206">
        <v>1</v>
      </c>
      <c r="AD24" s="206">
        <v>1</v>
      </c>
      <c r="AE24" s="206">
        <v>0</v>
      </c>
      <c r="AF24" s="206">
        <v>1</v>
      </c>
      <c r="AG24" s="206">
        <v>3</v>
      </c>
      <c r="AH24" s="2">
        <f t="shared" si="0"/>
        <v>0</v>
      </c>
      <c r="AI24" s="2">
        <f t="shared" si="1"/>
        <v>0</v>
      </c>
      <c r="AJ24" s="2">
        <f t="shared" si="2"/>
        <v>0</v>
      </c>
    </row>
    <row r="25" spans="2:36" x14ac:dyDescent="0.2">
      <c r="B25" s="102"/>
      <c r="C25" s="103">
        <v>22</v>
      </c>
      <c r="D25" s="205">
        <v>7082550.7607473508</v>
      </c>
      <c r="E25" s="205">
        <v>3829988.3032984841</v>
      </c>
      <c r="F25" s="205">
        <v>0</v>
      </c>
      <c r="G25" s="205">
        <v>0</v>
      </c>
      <c r="H25" s="205">
        <v>932481.77843040437</v>
      </c>
      <c r="I25" s="206">
        <v>1</v>
      </c>
      <c r="J25" s="206">
        <v>1</v>
      </c>
      <c r="K25" s="206">
        <v>2</v>
      </c>
      <c r="L25" s="206">
        <v>2</v>
      </c>
      <c r="M25" s="206">
        <v>1</v>
      </c>
      <c r="N25" s="206">
        <v>1</v>
      </c>
      <c r="O25" s="206">
        <v>3</v>
      </c>
      <c r="P25" s="206">
        <v>1</v>
      </c>
      <c r="Q25" s="206">
        <v>2</v>
      </c>
      <c r="R25" s="206">
        <v>1</v>
      </c>
      <c r="S25" s="206">
        <v>4</v>
      </c>
      <c r="T25" s="206">
        <v>1</v>
      </c>
      <c r="U25" s="206">
        <v>4</v>
      </c>
      <c r="V25" s="206">
        <v>1</v>
      </c>
      <c r="W25" s="206">
        <v>0</v>
      </c>
      <c r="X25" s="206">
        <v>1</v>
      </c>
      <c r="Y25" s="206">
        <v>1</v>
      </c>
      <c r="Z25" s="206">
        <v>1</v>
      </c>
      <c r="AA25" s="206">
        <v>1</v>
      </c>
      <c r="AB25" s="206">
        <v>1</v>
      </c>
      <c r="AC25" s="206">
        <v>1</v>
      </c>
      <c r="AD25" s="206">
        <v>1</v>
      </c>
      <c r="AE25" s="206">
        <v>3</v>
      </c>
      <c r="AF25" s="206">
        <v>1</v>
      </c>
      <c r="AG25" s="206">
        <v>3</v>
      </c>
      <c r="AH25" s="2">
        <f t="shared" si="0"/>
        <v>0</v>
      </c>
      <c r="AI25" s="2">
        <f t="shared" si="1"/>
        <v>0</v>
      </c>
      <c r="AJ25" s="2">
        <f t="shared" si="2"/>
        <v>0</v>
      </c>
    </row>
    <row r="26" spans="2:36" x14ac:dyDescent="0.2">
      <c r="B26" s="102"/>
      <c r="C26" s="103">
        <v>23</v>
      </c>
      <c r="D26" s="205">
        <v>6109500</v>
      </c>
      <c r="E26" s="205">
        <v>3275771.8175143776</v>
      </c>
      <c r="F26" s="205">
        <v>0</v>
      </c>
      <c r="G26" s="205">
        <v>0</v>
      </c>
      <c r="H26" s="205">
        <v>932481.77843040437</v>
      </c>
      <c r="I26" s="206">
        <v>1</v>
      </c>
      <c r="J26" s="206">
        <v>1</v>
      </c>
      <c r="K26" s="206">
        <v>2</v>
      </c>
      <c r="L26" s="206">
        <v>2</v>
      </c>
      <c r="M26" s="206">
        <v>1</v>
      </c>
      <c r="N26" s="206">
        <v>1</v>
      </c>
      <c r="O26" s="206">
        <v>3</v>
      </c>
      <c r="P26" s="206">
        <v>0</v>
      </c>
      <c r="Q26" s="206">
        <v>2</v>
      </c>
      <c r="R26" s="206">
        <v>1</v>
      </c>
      <c r="S26" s="206">
        <v>4</v>
      </c>
      <c r="T26" s="206">
        <v>1</v>
      </c>
      <c r="U26" s="206">
        <v>4</v>
      </c>
      <c r="V26" s="206">
        <v>1</v>
      </c>
      <c r="W26" s="206">
        <v>0</v>
      </c>
      <c r="X26" s="206">
        <v>0</v>
      </c>
      <c r="Y26" s="206">
        <v>1</v>
      </c>
      <c r="Z26" s="206">
        <v>1</v>
      </c>
      <c r="AA26" s="206">
        <v>1</v>
      </c>
      <c r="AB26" s="206">
        <v>1</v>
      </c>
      <c r="AC26" s="206">
        <v>1</v>
      </c>
      <c r="AD26" s="206">
        <v>0</v>
      </c>
      <c r="AE26" s="206">
        <v>3</v>
      </c>
      <c r="AF26" s="206">
        <v>1</v>
      </c>
      <c r="AG26" s="206">
        <v>3</v>
      </c>
      <c r="AH26" s="2">
        <f t="shared" si="0"/>
        <v>0</v>
      </c>
      <c r="AI26" s="2">
        <f t="shared" si="1"/>
        <v>0</v>
      </c>
      <c r="AJ26" s="2">
        <f t="shared" si="2"/>
        <v>0</v>
      </c>
    </row>
    <row r="27" spans="2:36" x14ac:dyDescent="0.2">
      <c r="B27" s="102"/>
      <c r="C27" s="103">
        <v>24</v>
      </c>
      <c r="D27" s="205">
        <v>6064374.0002278062</v>
      </c>
      <c r="E27" s="205">
        <v>3277138.0925392238</v>
      </c>
      <c r="F27" s="205">
        <v>0</v>
      </c>
      <c r="G27" s="205">
        <v>25422072.990669567</v>
      </c>
      <c r="H27" s="205">
        <v>859504.19558440044</v>
      </c>
      <c r="I27" s="206">
        <v>-1</v>
      </c>
      <c r="J27" s="206">
        <v>1</v>
      </c>
      <c r="K27" s="206">
        <v>2</v>
      </c>
      <c r="L27" s="206">
        <v>2</v>
      </c>
      <c r="M27" s="206">
        <v>1</v>
      </c>
      <c r="N27" s="206">
        <v>1</v>
      </c>
      <c r="O27" s="206">
        <v>3</v>
      </c>
      <c r="P27" s="206">
        <v>0</v>
      </c>
      <c r="Q27" s="206">
        <v>2</v>
      </c>
      <c r="R27" s="206">
        <v>-1</v>
      </c>
      <c r="S27" s="206">
        <v>4</v>
      </c>
      <c r="T27" s="206">
        <v>1</v>
      </c>
      <c r="U27" s="206">
        <v>4</v>
      </c>
      <c r="V27" s="206">
        <v>1</v>
      </c>
      <c r="W27" s="206">
        <v>3</v>
      </c>
      <c r="X27" s="206">
        <v>0</v>
      </c>
      <c r="Y27" s="206">
        <v>1</v>
      </c>
      <c r="Z27" s="206">
        <v>1</v>
      </c>
      <c r="AA27" s="206">
        <v>1</v>
      </c>
      <c r="AB27" s="206">
        <v>1</v>
      </c>
      <c r="AC27" s="206">
        <v>1</v>
      </c>
      <c r="AD27" s="206">
        <v>2</v>
      </c>
      <c r="AE27" s="206">
        <v>3</v>
      </c>
      <c r="AF27" s="206">
        <v>1</v>
      </c>
      <c r="AG27" s="206">
        <v>3</v>
      </c>
      <c r="AH27" s="2">
        <f t="shared" si="0"/>
        <v>2</v>
      </c>
      <c r="AI27" s="2">
        <f t="shared" si="1"/>
        <v>0</v>
      </c>
      <c r="AJ27" s="2">
        <f t="shared" si="2"/>
        <v>2</v>
      </c>
    </row>
    <row r="28" spans="2:36" x14ac:dyDescent="0.2">
      <c r="B28" s="102"/>
      <c r="C28" s="103">
        <v>25</v>
      </c>
      <c r="D28" s="205">
        <v>6335390.9435778335</v>
      </c>
      <c r="E28" s="205">
        <v>3444865.3609882076</v>
      </c>
      <c r="F28" s="205">
        <v>0</v>
      </c>
      <c r="G28" s="205">
        <v>0</v>
      </c>
      <c r="H28" s="205">
        <v>859504.19558440044</v>
      </c>
      <c r="I28" s="206">
        <v>-1</v>
      </c>
      <c r="J28" s="206">
        <v>1</v>
      </c>
      <c r="K28" s="206">
        <v>2</v>
      </c>
      <c r="L28" s="206">
        <v>0</v>
      </c>
      <c r="M28" s="206">
        <v>1</v>
      </c>
      <c r="N28" s="206">
        <v>1</v>
      </c>
      <c r="O28" s="206">
        <v>3</v>
      </c>
      <c r="P28" s="206">
        <v>2</v>
      </c>
      <c r="Q28" s="206">
        <v>2</v>
      </c>
      <c r="R28" s="206">
        <v>-1</v>
      </c>
      <c r="S28" s="206">
        <v>4</v>
      </c>
      <c r="T28" s="206">
        <v>1</v>
      </c>
      <c r="U28" s="206">
        <v>4</v>
      </c>
      <c r="V28" s="206">
        <v>1</v>
      </c>
      <c r="W28" s="206">
        <v>3</v>
      </c>
      <c r="X28" s="206">
        <v>2</v>
      </c>
      <c r="Y28" s="206">
        <v>1</v>
      </c>
      <c r="Z28" s="206">
        <v>1</v>
      </c>
      <c r="AA28" s="206">
        <v>1</v>
      </c>
      <c r="AB28" s="206">
        <v>1</v>
      </c>
      <c r="AC28" s="206">
        <v>1</v>
      </c>
      <c r="AD28" s="206">
        <v>2</v>
      </c>
      <c r="AE28" s="206">
        <v>3</v>
      </c>
      <c r="AF28" s="206">
        <v>1</v>
      </c>
      <c r="AG28" s="206">
        <v>3</v>
      </c>
      <c r="AH28" s="2">
        <f t="shared" si="0"/>
        <v>2</v>
      </c>
      <c r="AI28" s="2">
        <f t="shared" si="1"/>
        <v>0</v>
      </c>
      <c r="AJ28" s="2">
        <f t="shared" si="2"/>
        <v>2</v>
      </c>
    </row>
    <row r="29" spans="2:36" x14ac:dyDescent="0.2">
      <c r="B29" s="102"/>
      <c r="C29" s="103">
        <v>26</v>
      </c>
      <c r="D29" s="205">
        <v>5833985.6308639571</v>
      </c>
      <c r="E29" s="205">
        <v>3177727.2816650197</v>
      </c>
      <c r="F29" s="205">
        <v>0</v>
      </c>
      <c r="G29" s="205">
        <v>0</v>
      </c>
      <c r="H29" s="205">
        <v>902773.42635363119</v>
      </c>
      <c r="I29" s="206">
        <v>-1</v>
      </c>
      <c r="J29" s="206">
        <v>1</v>
      </c>
      <c r="K29" s="206">
        <v>2</v>
      </c>
      <c r="L29" s="206">
        <v>3</v>
      </c>
      <c r="M29" s="206">
        <v>1</v>
      </c>
      <c r="N29" s="206">
        <v>1</v>
      </c>
      <c r="O29" s="206">
        <v>0</v>
      </c>
      <c r="P29" s="206">
        <v>2</v>
      </c>
      <c r="Q29" s="206">
        <v>2</v>
      </c>
      <c r="R29" s="206">
        <v>-1</v>
      </c>
      <c r="S29" s="206">
        <v>0</v>
      </c>
      <c r="T29" s="206">
        <v>1</v>
      </c>
      <c r="U29" s="206">
        <v>4</v>
      </c>
      <c r="V29" s="206">
        <v>0</v>
      </c>
      <c r="W29" s="206">
        <v>3</v>
      </c>
      <c r="X29" s="206">
        <v>2</v>
      </c>
      <c r="Y29" s="206">
        <v>1</v>
      </c>
      <c r="Z29" s="206">
        <v>1</v>
      </c>
      <c r="AA29" s="206">
        <v>1</v>
      </c>
      <c r="AB29" s="206">
        <v>1</v>
      </c>
      <c r="AC29" s="206">
        <v>1</v>
      </c>
      <c r="AD29" s="206">
        <v>2</v>
      </c>
      <c r="AE29" s="206">
        <v>3</v>
      </c>
      <c r="AF29" s="206">
        <v>1</v>
      </c>
      <c r="AG29" s="206">
        <v>0</v>
      </c>
      <c r="AH29" s="2">
        <f t="shared" si="0"/>
        <v>2</v>
      </c>
      <c r="AI29" s="2">
        <f t="shared" si="1"/>
        <v>0</v>
      </c>
      <c r="AJ29" s="2">
        <f t="shared" si="2"/>
        <v>2</v>
      </c>
    </row>
    <row r="30" spans="2:36" x14ac:dyDescent="0.2">
      <c r="B30" s="102"/>
      <c r="C30" s="103">
        <v>27</v>
      </c>
      <c r="D30" s="205">
        <v>5800299.0573191494</v>
      </c>
      <c r="E30" s="205">
        <v>3143311.74377588</v>
      </c>
      <c r="F30" s="205">
        <v>0</v>
      </c>
      <c r="G30" s="205">
        <v>0</v>
      </c>
      <c r="H30" s="205">
        <v>859504.19558440044</v>
      </c>
      <c r="I30" s="206">
        <v>-1</v>
      </c>
      <c r="J30" s="206">
        <v>1</v>
      </c>
      <c r="K30" s="206">
        <v>0</v>
      </c>
      <c r="L30" s="206">
        <v>3</v>
      </c>
      <c r="M30" s="206">
        <v>1</v>
      </c>
      <c r="N30" s="206">
        <v>1</v>
      </c>
      <c r="O30" s="206">
        <v>4</v>
      </c>
      <c r="P30" s="206">
        <v>2</v>
      </c>
      <c r="Q30" s="206">
        <v>2</v>
      </c>
      <c r="R30" s="206">
        <v>-1</v>
      </c>
      <c r="S30" s="206">
        <v>0</v>
      </c>
      <c r="T30" s="206">
        <v>1</v>
      </c>
      <c r="U30" s="206">
        <v>4</v>
      </c>
      <c r="V30" s="206">
        <v>0</v>
      </c>
      <c r="W30" s="206">
        <v>3</v>
      </c>
      <c r="X30" s="206">
        <v>2</v>
      </c>
      <c r="Y30" s="206">
        <v>1</v>
      </c>
      <c r="Z30" s="206">
        <v>1</v>
      </c>
      <c r="AA30" s="206">
        <v>1</v>
      </c>
      <c r="AB30" s="206">
        <v>1</v>
      </c>
      <c r="AC30" s="206">
        <v>1</v>
      </c>
      <c r="AD30" s="206">
        <v>2</v>
      </c>
      <c r="AE30" s="206">
        <v>3</v>
      </c>
      <c r="AF30" s="206">
        <v>1</v>
      </c>
      <c r="AG30" s="206">
        <v>4</v>
      </c>
      <c r="AH30" s="2">
        <f t="shared" si="0"/>
        <v>2</v>
      </c>
      <c r="AI30" s="2">
        <f t="shared" si="1"/>
        <v>0</v>
      </c>
      <c r="AJ30" s="2">
        <f t="shared" si="2"/>
        <v>2</v>
      </c>
    </row>
    <row r="31" spans="2:36" x14ac:dyDescent="0.2">
      <c r="B31" s="102"/>
      <c r="C31" s="103">
        <v>28</v>
      </c>
      <c r="D31" s="205">
        <v>5730662.5986328144</v>
      </c>
      <c r="E31" s="205">
        <v>3132821.1804131521</v>
      </c>
      <c r="F31" s="205">
        <v>0</v>
      </c>
      <c r="G31" s="205">
        <v>0</v>
      </c>
      <c r="H31" s="205">
        <v>859504.19558440044</v>
      </c>
      <c r="I31" s="206">
        <v>-1</v>
      </c>
      <c r="J31" s="206">
        <v>1</v>
      </c>
      <c r="K31" s="206">
        <v>0</v>
      </c>
      <c r="L31" s="206">
        <v>3</v>
      </c>
      <c r="M31" s="206">
        <v>1</v>
      </c>
      <c r="N31" s="206">
        <v>1</v>
      </c>
      <c r="O31" s="206">
        <v>0</v>
      </c>
      <c r="P31" s="206">
        <v>2</v>
      </c>
      <c r="Q31" s="206">
        <v>2</v>
      </c>
      <c r="R31" s="206">
        <v>-1</v>
      </c>
      <c r="S31" s="206">
        <v>5</v>
      </c>
      <c r="T31" s="206">
        <v>1</v>
      </c>
      <c r="U31" s="206">
        <v>4</v>
      </c>
      <c r="V31" s="206">
        <v>0</v>
      </c>
      <c r="W31" s="206">
        <v>3</v>
      </c>
      <c r="X31" s="206">
        <v>2</v>
      </c>
      <c r="Y31" s="206">
        <v>1</v>
      </c>
      <c r="Z31" s="206">
        <v>1</v>
      </c>
      <c r="AA31" s="206">
        <v>1</v>
      </c>
      <c r="AB31" s="206">
        <v>1</v>
      </c>
      <c r="AC31" s="206">
        <v>1</v>
      </c>
      <c r="AD31" s="206">
        <v>2</v>
      </c>
      <c r="AE31" s="206">
        <v>3</v>
      </c>
      <c r="AF31" s="206">
        <v>1</v>
      </c>
      <c r="AG31" s="206">
        <v>4</v>
      </c>
      <c r="AH31" s="2">
        <f t="shared" si="0"/>
        <v>2</v>
      </c>
      <c r="AI31" s="2">
        <f t="shared" si="1"/>
        <v>0</v>
      </c>
      <c r="AJ31" s="2">
        <f t="shared" si="2"/>
        <v>2</v>
      </c>
    </row>
    <row r="32" spans="2:36" x14ac:dyDescent="0.2">
      <c r="B32" s="102"/>
      <c r="C32" s="103">
        <v>29</v>
      </c>
      <c r="D32" s="205">
        <v>6269856.4196118582</v>
      </c>
      <c r="E32" s="205">
        <v>3411069.4285022919</v>
      </c>
      <c r="F32" s="205">
        <v>0</v>
      </c>
      <c r="G32" s="205">
        <v>0</v>
      </c>
      <c r="H32" s="205">
        <v>859504.19558440044</v>
      </c>
      <c r="I32" s="206">
        <v>-1</v>
      </c>
      <c r="J32" s="206">
        <v>1</v>
      </c>
      <c r="K32" s="206">
        <v>3</v>
      </c>
      <c r="L32" s="206">
        <v>3</v>
      </c>
      <c r="M32" s="206">
        <v>1</v>
      </c>
      <c r="N32" s="206">
        <v>1</v>
      </c>
      <c r="O32" s="206">
        <v>5</v>
      </c>
      <c r="P32" s="206">
        <v>2</v>
      </c>
      <c r="Q32" s="206">
        <v>2</v>
      </c>
      <c r="R32" s="206">
        <v>-1</v>
      </c>
      <c r="S32" s="206">
        <v>5</v>
      </c>
      <c r="T32" s="206">
        <v>1</v>
      </c>
      <c r="U32" s="206">
        <v>4</v>
      </c>
      <c r="V32" s="206">
        <v>2</v>
      </c>
      <c r="W32" s="206">
        <v>3</v>
      </c>
      <c r="X32" s="206">
        <v>2</v>
      </c>
      <c r="Y32" s="206">
        <v>1</v>
      </c>
      <c r="Z32" s="206">
        <v>1</v>
      </c>
      <c r="AA32" s="206">
        <v>1</v>
      </c>
      <c r="AB32" s="206">
        <v>1</v>
      </c>
      <c r="AC32" s="206">
        <v>1</v>
      </c>
      <c r="AD32" s="206">
        <v>2</v>
      </c>
      <c r="AE32" s="206">
        <v>0</v>
      </c>
      <c r="AF32" s="206">
        <v>1</v>
      </c>
      <c r="AG32" s="206">
        <v>4</v>
      </c>
      <c r="AH32" s="2">
        <f t="shared" si="0"/>
        <v>2</v>
      </c>
      <c r="AI32" s="2">
        <f t="shared" si="1"/>
        <v>0</v>
      </c>
      <c r="AJ32" s="2">
        <f t="shared" si="2"/>
        <v>2</v>
      </c>
    </row>
    <row r="33" spans="2:36" x14ac:dyDescent="0.2">
      <c r="B33" s="102"/>
      <c r="C33" s="103">
        <v>30</v>
      </c>
      <c r="D33" s="205">
        <v>6420000</v>
      </c>
      <c r="E33" s="205">
        <v>3490672.7327310476</v>
      </c>
      <c r="F33" s="205">
        <v>0</v>
      </c>
      <c r="G33" s="205">
        <v>0</v>
      </c>
      <c r="H33" s="205">
        <v>859504.19558440044</v>
      </c>
      <c r="I33" s="206">
        <v>-1</v>
      </c>
      <c r="J33" s="206">
        <v>1</v>
      </c>
      <c r="K33" s="206">
        <v>3</v>
      </c>
      <c r="L33" s="206">
        <v>3</v>
      </c>
      <c r="M33" s="206">
        <v>1</v>
      </c>
      <c r="N33" s="206">
        <v>1</v>
      </c>
      <c r="O33" s="206">
        <v>5</v>
      </c>
      <c r="P33" s="206">
        <v>2</v>
      </c>
      <c r="Q33" s="206">
        <v>2</v>
      </c>
      <c r="R33" s="206">
        <v>-1</v>
      </c>
      <c r="S33" s="206">
        <v>5</v>
      </c>
      <c r="T33" s="206">
        <v>1</v>
      </c>
      <c r="U33" s="206">
        <v>4</v>
      </c>
      <c r="V33" s="206">
        <v>2</v>
      </c>
      <c r="W33" s="206">
        <v>3</v>
      </c>
      <c r="X33" s="206">
        <v>2</v>
      </c>
      <c r="Y33" s="206">
        <v>1</v>
      </c>
      <c r="Z33" s="206">
        <v>1</v>
      </c>
      <c r="AA33" s="206">
        <v>1</v>
      </c>
      <c r="AB33" s="206">
        <v>1</v>
      </c>
      <c r="AC33" s="206">
        <v>1</v>
      </c>
      <c r="AD33" s="206">
        <v>2</v>
      </c>
      <c r="AE33" s="206">
        <v>0</v>
      </c>
      <c r="AF33" s="206">
        <v>1</v>
      </c>
      <c r="AG33" s="206">
        <v>4</v>
      </c>
      <c r="AH33" s="2">
        <f t="shared" si="0"/>
        <v>2</v>
      </c>
      <c r="AI33" s="2">
        <f t="shared" si="1"/>
        <v>0</v>
      </c>
      <c r="AJ33" s="2">
        <f t="shared" si="2"/>
        <v>2</v>
      </c>
    </row>
    <row r="34" spans="2:36" x14ac:dyDescent="0.2">
      <c r="B34" s="102"/>
      <c r="C34" s="103">
        <v>31</v>
      </c>
      <c r="D34" s="205">
        <v>5481522.128357783</v>
      </c>
      <c r="E34" s="205">
        <v>2975005.7353038527</v>
      </c>
      <c r="F34" s="205">
        <v>0</v>
      </c>
      <c r="G34" s="205">
        <v>0</v>
      </c>
      <c r="H34" s="205">
        <v>859504.19558440044</v>
      </c>
      <c r="I34" s="206">
        <v>-1</v>
      </c>
      <c r="J34" s="206">
        <v>1</v>
      </c>
      <c r="K34" s="206">
        <v>3</v>
      </c>
      <c r="L34" s="206">
        <v>0</v>
      </c>
      <c r="M34" s="206">
        <v>1</v>
      </c>
      <c r="N34" s="206">
        <v>1</v>
      </c>
      <c r="O34" s="206">
        <v>0</v>
      </c>
      <c r="P34" s="206">
        <v>2</v>
      </c>
      <c r="Q34" s="206">
        <v>2</v>
      </c>
      <c r="R34" s="206">
        <v>-1</v>
      </c>
      <c r="S34" s="206">
        <v>5</v>
      </c>
      <c r="T34" s="206">
        <v>1</v>
      </c>
      <c r="U34" s="206">
        <v>4</v>
      </c>
      <c r="V34" s="206">
        <v>2</v>
      </c>
      <c r="W34" s="206">
        <v>0</v>
      </c>
      <c r="X34" s="206">
        <v>0</v>
      </c>
      <c r="Y34" s="206">
        <v>1</v>
      </c>
      <c r="Z34" s="206">
        <v>1</v>
      </c>
      <c r="AA34" s="206">
        <v>1</v>
      </c>
      <c r="AB34" s="206">
        <v>1</v>
      </c>
      <c r="AC34" s="206">
        <v>1</v>
      </c>
      <c r="AD34" s="206">
        <v>2</v>
      </c>
      <c r="AE34" s="206">
        <v>4</v>
      </c>
      <c r="AF34" s="206">
        <v>1</v>
      </c>
      <c r="AG34" s="206">
        <v>4</v>
      </c>
      <c r="AH34" s="2">
        <f t="shared" si="0"/>
        <v>2</v>
      </c>
      <c r="AI34" s="2">
        <f t="shared" si="1"/>
        <v>0</v>
      </c>
      <c r="AJ34" s="2">
        <f t="shared" si="2"/>
        <v>2</v>
      </c>
    </row>
    <row r="35" spans="2:36" x14ac:dyDescent="0.2">
      <c r="B35" s="102"/>
      <c r="C35" s="103">
        <v>32</v>
      </c>
      <c r="D35" s="205">
        <v>4860000</v>
      </c>
      <c r="E35" s="205">
        <v>2628359.1455082963</v>
      </c>
      <c r="F35" s="205">
        <v>0</v>
      </c>
      <c r="G35" s="205">
        <v>0</v>
      </c>
      <c r="H35" s="205">
        <v>859504.19558440044</v>
      </c>
      <c r="I35" s="206">
        <v>-1</v>
      </c>
      <c r="J35" s="206">
        <v>1</v>
      </c>
      <c r="K35" s="206">
        <v>3</v>
      </c>
      <c r="L35" s="206">
        <v>0</v>
      </c>
      <c r="M35" s="206">
        <v>1</v>
      </c>
      <c r="N35" s="206">
        <v>1</v>
      </c>
      <c r="O35" s="206">
        <v>0</v>
      </c>
      <c r="P35" s="206">
        <v>0</v>
      </c>
      <c r="Q35" s="206">
        <v>0</v>
      </c>
      <c r="R35" s="206">
        <v>-1</v>
      </c>
      <c r="S35" s="206">
        <v>5</v>
      </c>
      <c r="T35" s="206">
        <v>1</v>
      </c>
      <c r="U35" s="206">
        <v>4</v>
      </c>
      <c r="V35" s="206">
        <v>2</v>
      </c>
      <c r="W35" s="206">
        <v>0</v>
      </c>
      <c r="X35" s="206">
        <v>0</v>
      </c>
      <c r="Y35" s="206">
        <v>1</v>
      </c>
      <c r="Z35" s="206">
        <v>1</v>
      </c>
      <c r="AA35" s="206">
        <v>1</v>
      </c>
      <c r="AB35" s="206">
        <v>1</v>
      </c>
      <c r="AC35" s="206">
        <v>1</v>
      </c>
      <c r="AD35" s="206">
        <v>2</v>
      </c>
      <c r="AE35" s="206">
        <v>4</v>
      </c>
      <c r="AF35" s="206">
        <v>1</v>
      </c>
      <c r="AG35" s="206">
        <v>4</v>
      </c>
      <c r="AH35" s="2">
        <f t="shared" si="0"/>
        <v>2</v>
      </c>
      <c r="AI35" s="2">
        <f t="shared" si="1"/>
        <v>0</v>
      </c>
      <c r="AJ35" s="2">
        <f t="shared" si="2"/>
        <v>2</v>
      </c>
    </row>
    <row r="36" spans="2:36" x14ac:dyDescent="0.2">
      <c r="B36" s="102"/>
      <c r="C36" s="103">
        <v>33</v>
      </c>
      <c r="D36" s="205">
        <v>4580855.1040939307</v>
      </c>
      <c r="E36" s="205">
        <v>2476549.9414754547</v>
      </c>
      <c r="F36" s="205">
        <v>0</v>
      </c>
      <c r="G36" s="205">
        <v>0</v>
      </c>
      <c r="H36" s="205">
        <v>902773.42635363119</v>
      </c>
      <c r="I36" s="206">
        <v>-1</v>
      </c>
      <c r="J36" s="206">
        <v>1</v>
      </c>
      <c r="K36" s="206">
        <v>3</v>
      </c>
      <c r="L36" s="206">
        <v>0</v>
      </c>
      <c r="M36" s="206">
        <v>1</v>
      </c>
      <c r="N36" s="206">
        <v>1</v>
      </c>
      <c r="O36" s="206">
        <v>0</v>
      </c>
      <c r="P36" s="206">
        <v>0</v>
      </c>
      <c r="Q36" s="206">
        <v>0</v>
      </c>
      <c r="R36" s="206">
        <v>-1</v>
      </c>
      <c r="S36" s="206">
        <v>5</v>
      </c>
      <c r="T36" s="206">
        <v>1</v>
      </c>
      <c r="U36" s="206">
        <v>0</v>
      </c>
      <c r="V36" s="206">
        <v>0</v>
      </c>
      <c r="W36" s="206">
        <v>4</v>
      </c>
      <c r="X36" s="206">
        <v>0</v>
      </c>
      <c r="Y36" s="206">
        <v>1</v>
      </c>
      <c r="Z36" s="206">
        <v>1</v>
      </c>
      <c r="AA36" s="206">
        <v>1</v>
      </c>
      <c r="AB36" s="206">
        <v>1</v>
      </c>
      <c r="AC36" s="206">
        <v>1</v>
      </c>
      <c r="AD36" s="206">
        <v>2</v>
      </c>
      <c r="AE36" s="206">
        <v>4</v>
      </c>
      <c r="AF36" s="206">
        <v>1</v>
      </c>
      <c r="AG36" s="206">
        <v>0</v>
      </c>
      <c r="AH36" s="2">
        <f t="shared" si="0"/>
        <v>2</v>
      </c>
      <c r="AI36" s="2">
        <f t="shared" si="1"/>
        <v>0</v>
      </c>
      <c r="AJ36" s="2">
        <f t="shared" si="2"/>
        <v>2</v>
      </c>
    </row>
    <row r="37" spans="2:36" x14ac:dyDescent="0.2">
      <c r="B37" s="102"/>
      <c r="C37" s="103">
        <v>34</v>
      </c>
      <c r="D37" s="205">
        <v>5456266.5560204424</v>
      </c>
      <c r="E37" s="205">
        <v>2961761.153525685</v>
      </c>
      <c r="F37" s="205">
        <v>0</v>
      </c>
      <c r="G37" s="205">
        <v>0</v>
      </c>
      <c r="H37" s="205">
        <v>902773.42635363119</v>
      </c>
      <c r="I37" s="206">
        <v>-1</v>
      </c>
      <c r="J37" s="206">
        <v>1</v>
      </c>
      <c r="K37" s="206">
        <v>0</v>
      </c>
      <c r="L37" s="206">
        <v>4</v>
      </c>
      <c r="M37" s="206">
        <v>1</v>
      </c>
      <c r="N37" s="206">
        <v>1</v>
      </c>
      <c r="O37" s="206">
        <v>6</v>
      </c>
      <c r="P37" s="206">
        <v>0</v>
      </c>
      <c r="Q37" s="206">
        <v>0</v>
      </c>
      <c r="R37" s="206">
        <v>-1</v>
      </c>
      <c r="S37" s="206">
        <v>5</v>
      </c>
      <c r="T37" s="206">
        <v>1</v>
      </c>
      <c r="U37" s="206">
        <v>5</v>
      </c>
      <c r="V37" s="206">
        <v>0</v>
      </c>
      <c r="W37" s="206">
        <v>4</v>
      </c>
      <c r="X37" s="206">
        <v>3</v>
      </c>
      <c r="Y37" s="206">
        <v>1</v>
      </c>
      <c r="Z37" s="206">
        <v>1</v>
      </c>
      <c r="AA37" s="206">
        <v>1</v>
      </c>
      <c r="AB37" s="206">
        <v>1</v>
      </c>
      <c r="AC37" s="206">
        <v>1</v>
      </c>
      <c r="AD37" s="206">
        <v>2</v>
      </c>
      <c r="AE37" s="206">
        <v>4</v>
      </c>
      <c r="AF37" s="206">
        <v>1</v>
      </c>
      <c r="AG37" s="206">
        <v>0</v>
      </c>
      <c r="AH37" s="2">
        <f t="shared" si="0"/>
        <v>2</v>
      </c>
      <c r="AI37" s="2">
        <f t="shared" si="1"/>
        <v>0</v>
      </c>
      <c r="AJ37" s="2">
        <f t="shared" si="2"/>
        <v>2</v>
      </c>
    </row>
    <row r="38" spans="2:36" x14ac:dyDescent="0.2">
      <c r="B38" s="102"/>
      <c r="C38" s="103">
        <v>35</v>
      </c>
      <c r="D38" s="205">
        <v>4900231.2611884922</v>
      </c>
      <c r="E38" s="205">
        <v>2642548.4696714915</v>
      </c>
      <c r="F38" s="205">
        <v>0</v>
      </c>
      <c r="G38" s="205">
        <v>0</v>
      </c>
      <c r="H38" s="205">
        <v>859504.19558440044</v>
      </c>
      <c r="I38" s="206">
        <v>-1</v>
      </c>
      <c r="J38" s="206">
        <v>1</v>
      </c>
      <c r="K38" s="206">
        <v>0</v>
      </c>
      <c r="L38" s="206">
        <v>4</v>
      </c>
      <c r="M38" s="206">
        <v>0</v>
      </c>
      <c r="N38" s="206">
        <v>1</v>
      </c>
      <c r="O38" s="206">
        <v>6</v>
      </c>
      <c r="P38" s="206">
        <v>3</v>
      </c>
      <c r="Q38" s="206">
        <v>3</v>
      </c>
      <c r="R38" s="206">
        <v>-1</v>
      </c>
      <c r="S38" s="206">
        <v>5</v>
      </c>
      <c r="T38" s="206">
        <v>1</v>
      </c>
      <c r="U38" s="206">
        <v>5</v>
      </c>
      <c r="V38" s="206">
        <v>0</v>
      </c>
      <c r="W38" s="206">
        <v>4</v>
      </c>
      <c r="X38" s="206">
        <v>3</v>
      </c>
      <c r="Y38" s="206">
        <v>0</v>
      </c>
      <c r="Z38" s="206">
        <v>0</v>
      </c>
      <c r="AA38" s="206">
        <v>1</v>
      </c>
      <c r="AB38" s="206">
        <v>0</v>
      </c>
      <c r="AC38" s="206">
        <v>1</v>
      </c>
      <c r="AD38" s="206">
        <v>2</v>
      </c>
      <c r="AE38" s="206">
        <v>4</v>
      </c>
      <c r="AF38" s="206">
        <v>1</v>
      </c>
      <c r="AG38" s="206">
        <v>5</v>
      </c>
      <c r="AH38" s="2">
        <f t="shared" si="0"/>
        <v>2</v>
      </c>
      <c r="AI38" s="2">
        <f t="shared" si="1"/>
        <v>0</v>
      </c>
      <c r="AJ38" s="2">
        <f t="shared" si="2"/>
        <v>2</v>
      </c>
    </row>
    <row r="39" spans="2:36" x14ac:dyDescent="0.2">
      <c r="B39" s="102"/>
      <c r="C39" s="103">
        <v>36</v>
      </c>
      <c r="D39" s="205">
        <v>4939311.6519932058</v>
      </c>
      <c r="E39" s="205">
        <v>2712393.0592225711</v>
      </c>
      <c r="F39" s="205">
        <v>0</v>
      </c>
      <c r="G39" s="205">
        <v>0</v>
      </c>
      <c r="H39" s="205">
        <v>902773.42635363119</v>
      </c>
      <c r="I39" s="206">
        <v>-1</v>
      </c>
      <c r="J39" s="206">
        <v>1</v>
      </c>
      <c r="K39" s="206">
        <v>4</v>
      </c>
      <c r="L39" s="206">
        <v>4</v>
      </c>
      <c r="M39" s="206">
        <v>0</v>
      </c>
      <c r="N39" s="206">
        <v>1</v>
      </c>
      <c r="O39" s="206">
        <v>6</v>
      </c>
      <c r="P39" s="206">
        <v>3</v>
      </c>
      <c r="Q39" s="206">
        <v>3</v>
      </c>
      <c r="R39" s="206">
        <v>-1</v>
      </c>
      <c r="S39" s="206">
        <v>0</v>
      </c>
      <c r="T39" s="206">
        <v>1</v>
      </c>
      <c r="U39" s="206">
        <v>5</v>
      </c>
      <c r="V39" s="206">
        <v>3</v>
      </c>
      <c r="W39" s="206">
        <v>4</v>
      </c>
      <c r="X39" s="206">
        <v>0</v>
      </c>
      <c r="Y39" s="206">
        <v>2</v>
      </c>
      <c r="Z39" s="206">
        <v>0</v>
      </c>
      <c r="AA39" s="206">
        <v>1</v>
      </c>
      <c r="AB39" s="206">
        <v>0</v>
      </c>
      <c r="AC39" s="206">
        <v>1</v>
      </c>
      <c r="AD39" s="206">
        <v>0</v>
      </c>
      <c r="AE39" s="206">
        <v>4</v>
      </c>
      <c r="AF39" s="206">
        <v>1</v>
      </c>
      <c r="AG39" s="206">
        <v>0</v>
      </c>
      <c r="AH39" s="2">
        <f t="shared" si="0"/>
        <v>2</v>
      </c>
      <c r="AI39" s="2">
        <f t="shared" si="1"/>
        <v>0</v>
      </c>
      <c r="AJ39" s="2">
        <f t="shared" si="2"/>
        <v>2</v>
      </c>
    </row>
    <row r="40" spans="2:36" x14ac:dyDescent="0.2">
      <c r="B40" s="102"/>
      <c r="C40" s="103">
        <v>37</v>
      </c>
      <c r="D40" s="205">
        <v>4840964.8345764568</v>
      </c>
      <c r="E40" s="205">
        <v>2639663.8156792666</v>
      </c>
      <c r="F40" s="205">
        <v>0</v>
      </c>
      <c r="G40" s="205">
        <v>0</v>
      </c>
      <c r="H40" s="205">
        <v>902773.42635363119</v>
      </c>
      <c r="I40" s="206">
        <v>-1</v>
      </c>
      <c r="J40" s="206">
        <v>1</v>
      </c>
      <c r="K40" s="206">
        <v>4</v>
      </c>
      <c r="L40" s="206">
        <v>4</v>
      </c>
      <c r="M40" s="206">
        <v>0</v>
      </c>
      <c r="N40" s="206">
        <v>1</v>
      </c>
      <c r="O40" s="206">
        <v>6</v>
      </c>
      <c r="P40" s="206">
        <v>3</v>
      </c>
      <c r="Q40" s="206">
        <v>3</v>
      </c>
      <c r="R40" s="206">
        <v>-1</v>
      </c>
      <c r="S40" s="206">
        <v>0</v>
      </c>
      <c r="T40" s="206">
        <v>1</v>
      </c>
      <c r="U40" s="206">
        <v>5</v>
      </c>
      <c r="V40" s="206">
        <v>3</v>
      </c>
      <c r="W40" s="206">
        <v>4</v>
      </c>
      <c r="X40" s="206">
        <v>4</v>
      </c>
      <c r="Y40" s="206">
        <v>2</v>
      </c>
      <c r="Z40" s="206">
        <v>0</v>
      </c>
      <c r="AA40" s="206">
        <v>1</v>
      </c>
      <c r="AB40" s="206">
        <v>0</v>
      </c>
      <c r="AC40" s="206">
        <v>1</v>
      </c>
      <c r="AD40" s="206">
        <v>0</v>
      </c>
      <c r="AE40" s="206">
        <v>0</v>
      </c>
      <c r="AF40" s="206">
        <v>1</v>
      </c>
      <c r="AG40" s="206">
        <v>0</v>
      </c>
      <c r="AH40" s="2">
        <f t="shared" si="0"/>
        <v>2</v>
      </c>
      <c r="AI40" s="2">
        <f t="shared" si="1"/>
        <v>0</v>
      </c>
      <c r="AJ40" s="2">
        <f t="shared" si="2"/>
        <v>2</v>
      </c>
    </row>
    <row r="41" spans="2:36" x14ac:dyDescent="0.2">
      <c r="B41" s="102"/>
      <c r="C41" s="103">
        <v>38</v>
      </c>
      <c r="D41" s="205">
        <v>5884683.6714438992</v>
      </c>
      <c r="E41" s="205">
        <v>3209322.4664640683</v>
      </c>
      <c r="F41" s="205">
        <v>0</v>
      </c>
      <c r="G41" s="205">
        <v>0</v>
      </c>
      <c r="H41" s="205">
        <v>902773.42635363119</v>
      </c>
      <c r="I41" s="206">
        <v>-1</v>
      </c>
      <c r="J41" s="206">
        <v>1</v>
      </c>
      <c r="K41" s="206">
        <v>4</v>
      </c>
      <c r="L41" s="206">
        <v>4</v>
      </c>
      <c r="M41" s="206">
        <v>2</v>
      </c>
      <c r="N41" s="206">
        <v>1</v>
      </c>
      <c r="O41" s="206">
        <v>6</v>
      </c>
      <c r="P41" s="206">
        <v>3</v>
      </c>
      <c r="Q41" s="206">
        <v>3</v>
      </c>
      <c r="R41" s="206">
        <v>-1</v>
      </c>
      <c r="S41" s="206">
        <v>6</v>
      </c>
      <c r="T41" s="206">
        <v>1</v>
      </c>
      <c r="U41" s="206">
        <v>5</v>
      </c>
      <c r="V41" s="206">
        <v>3</v>
      </c>
      <c r="W41" s="206">
        <v>0</v>
      </c>
      <c r="X41" s="206">
        <v>4</v>
      </c>
      <c r="Y41" s="206">
        <v>2</v>
      </c>
      <c r="Z41" s="206">
        <v>2</v>
      </c>
      <c r="AA41" s="206">
        <v>1</v>
      </c>
      <c r="AB41" s="206">
        <v>2</v>
      </c>
      <c r="AC41" s="206">
        <v>1</v>
      </c>
      <c r="AD41" s="206">
        <v>3</v>
      </c>
      <c r="AE41" s="206">
        <v>0</v>
      </c>
      <c r="AF41" s="206">
        <v>1</v>
      </c>
      <c r="AG41" s="206">
        <v>0</v>
      </c>
      <c r="AH41" s="2">
        <f t="shared" si="0"/>
        <v>2</v>
      </c>
      <c r="AI41" s="2">
        <f t="shared" si="1"/>
        <v>0</v>
      </c>
      <c r="AJ41" s="2">
        <f t="shared" si="2"/>
        <v>2</v>
      </c>
    </row>
    <row r="42" spans="2:36" x14ac:dyDescent="0.2">
      <c r="B42" s="102"/>
      <c r="C42" s="103">
        <v>39</v>
      </c>
      <c r="D42" s="205">
        <v>6333444.2795528993</v>
      </c>
      <c r="E42" s="205">
        <v>3414280.4112086403</v>
      </c>
      <c r="F42" s="205">
        <v>0</v>
      </c>
      <c r="G42" s="205">
        <v>0</v>
      </c>
      <c r="H42" s="205">
        <v>859504.19558440044</v>
      </c>
      <c r="I42" s="206">
        <v>-1</v>
      </c>
      <c r="J42" s="206">
        <v>1</v>
      </c>
      <c r="K42" s="206">
        <v>4</v>
      </c>
      <c r="L42" s="206">
        <v>4</v>
      </c>
      <c r="M42" s="206">
        <v>2</v>
      </c>
      <c r="N42" s="206">
        <v>1</v>
      </c>
      <c r="O42" s="206">
        <v>6</v>
      </c>
      <c r="P42" s="206">
        <v>3</v>
      </c>
      <c r="Q42" s="206">
        <v>3</v>
      </c>
      <c r="R42" s="206">
        <v>-1</v>
      </c>
      <c r="S42" s="206">
        <v>6</v>
      </c>
      <c r="T42" s="206">
        <v>1</v>
      </c>
      <c r="U42" s="206">
        <v>5</v>
      </c>
      <c r="V42" s="206">
        <v>3</v>
      </c>
      <c r="W42" s="206">
        <v>0</v>
      </c>
      <c r="X42" s="206">
        <v>4</v>
      </c>
      <c r="Y42" s="206">
        <v>2</v>
      </c>
      <c r="Z42" s="206">
        <v>2</v>
      </c>
      <c r="AA42" s="206">
        <v>1</v>
      </c>
      <c r="AB42" s="206">
        <v>2</v>
      </c>
      <c r="AC42" s="206">
        <v>1</v>
      </c>
      <c r="AD42" s="206">
        <v>3</v>
      </c>
      <c r="AE42" s="206">
        <v>5</v>
      </c>
      <c r="AF42" s="206">
        <v>1</v>
      </c>
      <c r="AG42" s="206">
        <v>6</v>
      </c>
      <c r="AH42" s="2">
        <f t="shared" si="0"/>
        <v>2</v>
      </c>
      <c r="AI42" s="2">
        <f t="shared" si="1"/>
        <v>0</v>
      </c>
      <c r="AJ42" s="2">
        <f t="shared" si="2"/>
        <v>2</v>
      </c>
    </row>
    <row r="43" spans="2:36" x14ac:dyDescent="0.2">
      <c r="B43" s="102"/>
      <c r="C43" s="103">
        <v>40</v>
      </c>
      <c r="D43" s="205">
        <v>6768046.8801314803</v>
      </c>
      <c r="E43" s="205">
        <v>3697544.3223207104</v>
      </c>
      <c r="F43" s="205">
        <v>0</v>
      </c>
      <c r="G43" s="205">
        <v>0</v>
      </c>
      <c r="H43" s="205">
        <v>859504.19558440044</v>
      </c>
      <c r="I43" s="206">
        <v>-1</v>
      </c>
      <c r="J43" s="206">
        <v>1</v>
      </c>
      <c r="K43" s="206">
        <v>4</v>
      </c>
      <c r="L43" s="206">
        <v>4</v>
      </c>
      <c r="M43" s="206">
        <v>2</v>
      </c>
      <c r="N43" s="206">
        <v>1</v>
      </c>
      <c r="O43" s="206">
        <v>6</v>
      </c>
      <c r="P43" s="206">
        <v>3</v>
      </c>
      <c r="Q43" s="206">
        <v>3</v>
      </c>
      <c r="R43" s="206">
        <v>-1</v>
      </c>
      <c r="S43" s="206">
        <v>6</v>
      </c>
      <c r="T43" s="206">
        <v>1</v>
      </c>
      <c r="U43" s="206">
        <v>5</v>
      </c>
      <c r="V43" s="206">
        <v>3</v>
      </c>
      <c r="W43" s="206">
        <v>5</v>
      </c>
      <c r="X43" s="206">
        <v>4</v>
      </c>
      <c r="Y43" s="206">
        <v>2</v>
      </c>
      <c r="Z43" s="206">
        <v>2</v>
      </c>
      <c r="AA43" s="206">
        <v>1</v>
      </c>
      <c r="AB43" s="206">
        <v>2</v>
      </c>
      <c r="AC43" s="206">
        <v>1</v>
      </c>
      <c r="AD43" s="206">
        <v>3</v>
      </c>
      <c r="AE43" s="206">
        <v>5</v>
      </c>
      <c r="AF43" s="206">
        <v>1</v>
      </c>
      <c r="AG43" s="206">
        <v>6</v>
      </c>
      <c r="AH43" s="2">
        <f t="shared" si="0"/>
        <v>2</v>
      </c>
      <c r="AI43" s="2">
        <f t="shared" si="1"/>
        <v>0</v>
      </c>
      <c r="AJ43" s="2">
        <f t="shared" si="2"/>
        <v>2</v>
      </c>
    </row>
    <row r="44" spans="2:36" x14ac:dyDescent="0.2">
      <c r="B44" s="102"/>
      <c r="C44" s="103">
        <v>41</v>
      </c>
      <c r="D44" s="205">
        <v>5632500</v>
      </c>
      <c r="E44" s="205">
        <v>3031682.3991759438</v>
      </c>
      <c r="F44" s="205">
        <v>0</v>
      </c>
      <c r="G44" s="205">
        <v>0</v>
      </c>
      <c r="H44" s="205">
        <v>859504.19558440044</v>
      </c>
      <c r="I44" s="206">
        <v>-1</v>
      </c>
      <c r="J44" s="206">
        <v>1</v>
      </c>
      <c r="K44" s="206">
        <v>4</v>
      </c>
      <c r="L44" s="206">
        <v>0</v>
      </c>
      <c r="M44" s="206">
        <v>2</v>
      </c>
      <c r="N44" s="206">
        <v>1</v>
      </c>
      <c r="O44" s="206">
        <v>0</v>
      </c>
      <c r="P44" s="206">
        <v>3</v>
      </c>
      <c r="Q44" s="206">
        <v>0</v>
      </c>
      <c r="R44" s="206">
        <v>-1</v>
      </c>
      <c r="S44" s="206">
        <v>6</v>
      </c>
      <c r="T44" s="206">
        <v>1</v>
      </c>
      <c r="U44" s="206">
        <v>5</v>
      </c>
      <c r="V44" s="206">
        <v>3</v>
      </c>
      <c r="W44" s="206">
        <v>5</v>
      </c>
      <c r="X44" s="206">
        <v>4</v>
      </c>
      <c r="Y44" s="206">
        <v>2</v>
      </c>
      <c r="Z44" s="206">
        <v>2</v>
      </c>
      <c r="AA44" s="206">
        <v>1</v>
      </c>
      <c r="AB44" s="206">
        <v>2</v>
      </c>
      <c r="AC44" s="206">
        <v>1</v>
      </c>
      <c r="AD44" s="206">
        <v>3</v>
      </c>
      <c r="AE44" s="206">
        <v>5</v>
      </c>
      <c r="AF44" s="206">
        <v>1</v>
      </c>
      <c r="AG44" s="206">
        <v>6</v>
      </c>
      <c r="AH44" s="2">
        <f t="shared" si="0"/>
        <v>2</v>
      </c>
      <c r="AI44" s="2">
        <f t="shared" si="1"/>
        <v>0</v>
      </c>
      <c r="AJ44" s="2">
        <f t="shared" si="2"/>
        <v>2</v>
      </c>
    </row>
    <row r="45" spans="2:36" x14ac:dyDescent="0.2">
      <c r="B45" s="102"/>
      <c r="C45" s="103">
        <v>42</v>
      </c>
      <c r="D45" s="205">
        <v>5347500</v>
      </c>
      <c r="E45" s="205">
        <v>2876439.4522022563</v>
      </c>
      <c r="F45" s="205">
        <v>0</v>
      </c>
      <c r="G45" s="205">
        <v>0</v>
      </c>
      <c r="H45" s="205">
        <v>902773.42635363119</v>
      </c>
      <c r="I45" s="206">
        <v>-1</v>
      </c>
      <c r="J45" s="206">
        <v>1</v>
      </c>
      <c r="K45" s="206">
        <v>4</v>
      </c>
      <c r="L45" s="206">
        <v>0</v>
      </c>
      <c r="M45" s="206">
        <v>2</v>
      </c>
      <c r="N45" s="206">
        <v>1</v>
      </c>
      <c r="O45" s="206">
        <v>0</v>
      </c>
      <c r="P45" s="206">
        <v>3</v>
      </c>
      <c r="Q45" s="206">
        <v>0</v>
      </c>
      <c r="R45" s="206">
        <v>-1</v>
      </c>
      <c r="S45" s="206">
        <v>6</v>
      </c>
      <c r="T45" s="206">
        <v>1</v>
      </c>
      <c r="U45" s="206">
        <v>5</v>
      </c>
      <c r="V45" s="206">
        <v>3</v>
      </c>
      <c r="W45" s="206">
        <v>5</v>
      </c>
      <c r="X45" s="206">
        <v>4</v>
      </c>
      <c r="Y45" s="206">
        <v>2</v>
      </c>
      <c r="Z45" s="206">
        <v>2</v>
      </c>
      <c r="AA45" s="206">
        <v>1</v>
      </c>
      <c r="AB45" s="206">
        <v>2</v>
      </c>
      <c r="AC45" s="206">
        <v>1</v>
      </c>
      <c r="AD45" s="206">
        <v>3</v>
      </c>
      <c r="AE45" s="206">
        <v>0</v>
      </c>
      <c r="AF45" s="206">
        <v>1</v>
      </c>
      <c r="AG45" s="206">
        <v>0</v>
      </c>
      <c r="AH45" s="2">
        <f t="shared" si="0"/>
        <v>2</v>
      </c>
      <c r="AI45" s="2">
        <f t="shared" si="1"/>
        <v>0</v>
      </c>
      <c r="AJ45" s="2">
        <f t="shared" si="2"/>
        <v>2</v>
      </c>
    </row>
    <row r="46" spans="2:36" x14ac:dyDescent="0.2">
      <c r="B46" s="102"/>
      <c r="C46" s="103">
        <v>43</v>
      </c>
      <c r="D46" s="205">
        <v>4934780.756053187</v>
      </c>
      <c r="E46" s="205">
        <v>2652381.6911699958</v>
      </c>
      <c r="F46" s="205">
        <v>0</v>
      </c>
      <c r="G46" s="205">
        <v>0</v>
      </c>
      <c r="H46" s="205">
        <v>902773.42635363119</v>
      </c>
      <c r="I46" s="206">
        <v>-1</v>
      </c>
      <c r="J46" s="206">
        <v>1</v>
      </c>
      <c r="K46" s="206">
        <v>4</v>
      </c>
      <c r="L46" s="206">
        <v>0</v>
      </c>
      <c r="M46" s="206">
        <v>2</v>
      </c>
      <c r="N46" s="206">
        <v>1</v>
      </c>
      <c r="O46" s="206">
        <v>7</v>
      </c>
      <c r="P46" s="206">
        <v>3</v>
      </c>
      <c r="Q46" s="206">
        <v>0</v>
      </c>
      <c r="R46" s="206">
        <v>-1</v>
      </c>
      <c r="S46" s="206">
        <v>0</v>
      </c>
      <c r="T46" s="206">
        <v>1</v>
      </c>
      <c r="U46" s="206">
        <v>5</v>
      </c>
      <c r="V46" s="206">
        <v>3</v>
      </c>
      <c r="W46" s="206">
        <v>5</v>
      </c>
      <c r="X46" s="206">
        <v>0</v>
      </c>
      <c r="Y46" s="206">
        <v>2</v>
      </c>
      <c r="Z46" s="206">
        <v>2</v>
      </c>
      <c r="AA46" s="206">
        <v>1</v>
      </c>
      <c r="AB46" s="206">
        <v>2</v>
      </c>
      <c r="AC46" s="206">
        <v>1</v>
      </c>
      <c r="AD46" s="206">
        <v>3</v>
      </c>
      <c r="AE46" s="206">
        <v>0</v>
      </c>
      <c r="AF46" s="206">
        <v>1</v>
      </c>
      <c r="AG46" s="206">
        <v>0</v>
      </c>
      <c r="AH46" s="2">
        <f t="shared" si="0"/>
        <v>2</v>
      </c>
      <c r="AI46" s="2">
        <f t="shared" si="1"/>
        <v>0</v>
      </c>
      <c r="AJ46" s="2">
        <f t="shared" si="2"/>
        <v>2</v>
      </c>
    </row>
    <row r="47" spans="2:36" x14ac:dyDescent="0.2">
      <c r="B47" s="102"/>
      <c r="C47" s="103">
        <v>44</v>
      </c>
      <c r="D47" s="205">
        <v>5574633.6192442812</v>
      </c>
      <c r="E47" s="205">
        <v>3036407.5817224504</v>
      </c>
      <c r="F47" s="205">
        <v>0</v>
      </c>
      <c r="G47" s="205">
        <v>0</v>
      </c>
      <c r="H47" s="205">
        <v>859504.19558440044</v>
      </c>
      <c r="I47" s="206">
        <v>-1</v>
      </c>
      <c r="J47" s="206">
        <v>1</v>
      </c>
      <c r="K47" s="206">
        <v>4</v>
      </c>
      <c r="L47" s="206">
        <v>5</v>
      </c>
      <c r="M47" s="206">
        <v>2</v>
      </c>
      <c r="N47" s="206">
        <v>1</v>
      </c>
      <c r="O47" s="206">
        <v>7</v>
      </c>
      <c r="P47" s="206">
        <v>0</v>
      </c>
      <c r="Q47" s="206">
        <v>4</v>
      </c>
      <c r="R47" s="206">
        <v>-1</v>
      </c>
      <c r="S47" s="206">
        <v>7</v>
      </c>
      <c r="T47" s="206">
        <v>1</v>
      </c>
      <c r="U47" s="206">
        <v>5</v>
      </c>
      <c r="V47" s="206">
        <v>0</v>
      </c>
      <c r="W47" s="206">
        <v>0</v>
      </c>
      <c r="X47" s="206">
        <v>0</v>
      </c>
      <c r="Y47" s="206">
        <v>2</v>
      </c>
      <c r="Z47" s="206">
        <v>2</v>
      </c>
      <c r="AA47" s="206">
        <v>1</v>
      </c>
      <c r="AB47" s="206">
        <v>2</v>
      </c>
      <c r="AC47" s="206">
        <v>1</v>
      </c>
      <c r="AD47" s="206">
        <v>3</v>
      </c>
      <c r="AE47" s="206">
        <v>6</v>
      </c>
      <c r="AF47" s="206">
        <v>1</v>
      </c>
      <c r="AG47" s="206">
        <v>7</v>
      </c>
      <c r="AH47" s="2">
        <f t="shared" si="0"/>
        <v>2</v>
      </c>
      <c r="AI47" s="2">
        <f t="shared" si="1"/>
        <v>0</v>
      </c>
      <c r="AJ47" s="2">
        <f t="shared" si="2"/>
        <v>2</v>
      </c>
    </row>
    <row r="48" spans="2:36" x14ac:dyDescent="0.2">
      <c r="B48" s="102"/>
      <c r="C48" s="103">
        <v>45</v>
      </c>
      <c r="D48" s="205">
        <v>5635077.3493641801</v>
      </c>
      <c r="E48" s="205">
        <v>3089073.2433988522</v>
      </c>
      <c r="F48" s="205">
        <v>0</v>
      </c>
      <c r="G48" s="205">
        <v>0</v>
      </c>
      <c r="H48" s="205">
        <v>859504.19558440044</v>
      </c>
      <c r="I48" s="206">
        <v>-1</v>
      </c>
      <c r="J48" s="206">
        <v>1</v>
      </c>
      <c r="K48" s="206">
        <v>4</v>
      </c>
      <c r="L48" s="206">
        <v>5</v>
      </c>
      <c r="M48" s="206">
        <v>2</v>
      </c>
      <c r="N48" s="206">
        <v>1</v>
      </c>
      <c r="O48" s="206">
        <v>7</v>
      </c>
      <c r="P48" s="206">
        <v>4</v>
      </c>
      <c r="Q48" s="206">
        <v>4</v>
      </c>
      <c r="R48" s="206">
        <v>-1</v>
      </c>
      <c r="S48" s="206">
        <v>7</v>
      </c>
      <c r="T48" s="206">
        <v>1</v>
      </c>
      <c r="U48" s="206">
        <v>5</v>
      </c>
      <c r="V48" s="206">
        <v>0</v>
      </c>
      <c r="W48" s="206">
        <v>0</v>
      </c>
      <c r="X48" s="206">
        <v>0</v>
      </c>
      <c r="Y48" s="206">
        <v>2</v>
      </c>
      <c r="Z48" s="206">
        <v>2</v>
      </c>
      <c r="AA48" s="206">
        <v>1</v>
      </c>
      <c r="AB48" s="206">
        <v>2</v>
      </c>
      <c r="AC48" s="206">
        <v>1</v>
      </c>
      <c r="AD48" s="206">
        <v>3</v>
      </c>
      <c r="AE48" s="206">
        <v>0</v>
      </c>
      <c r="AF48" s="206">
        <v>1</v>
      </c>
      <c r="AG48" s="206">
        <v>7</v>
      </c>
      <c r="AH48" s="2">
        <f t="shared" si="0"/>
        <v>2</v>
      </c>
      <c r="AI48" s="2">
        <f t="shared" si="1"/>
        <v>0</v>
      </c>
      <c r="AJ48" s="2">
        <f t="shared" si="2"/>
        <v>2</v>
      </c>
    </row>
    <row r="49" spans="2:36" x14ac:dyDescent="0.2">
      <c r="B49" s="102"/>
      <c r="C49" s="103">
        <v>46</v>
      </c>
      <c r="D49" s="205">
        <v>5406477.3243561722</v>
      </c>
      <c r="E49" s="205">
        <v>2946432.1809874126</v>
      </c>
      <c r="F49" s="205">
        <v>0</v>
      </c>
      <c r="G49" s="205">
        <v>0</v>
      </c>
      <c r="H49" s="205">
        <v>859504.19558440044</v>
      </c>
      <c r="I49" s="206">
        <v>-1</v>
      </c>
      <c r="J49" s="206">
        <v>1</v>
      </c>
      <c r="K49" s="206">
        <v>4</v>
      </c>
      <c r="L49" s="206">
        <v>5</v>
      </c>
      <c r="M49" s="206">
        <v>0</v>
      </c>
      <c r="N49" s="206">
        <v>1</v>
      </c>
      <c r="O49" s="206">
        <v>7</v>
      </c>
      <c r="P49" s="206">
        <v>0</v>
      </c>
      <c r="Q49" s="206">
        <v>4</v>
      </c>
      <c r="R49" s="206">
        <v>-1</v>
      </c>
      <c r="S49" s="206">
        <v>7</v>
      </c>
      <c r="T49" s="206">
        <v>1</v>
      </c>
      <c r="U49" s="206">
        <v>0</v>
      </c>
      <c r="V49" s="206">
        <v>4</v>
      </c>
      <c r="W49" s="206">
        <v>6</v>
      </c>
      <c r="X49" s="206">
        <v>5</v>
      </c>
      <c r="Y49" s="206">
        <v>2</v>
      </c>
      <c r="Z49" s="206">
        <v>2</v>
      </c>
      <c r="AA49" s="206">
        <v>1</v>
      </c>
      <c r="AB49" s="206">
        <v>2</v>
      </c>
      <c r="AC49" s="206">
        <v>1</v>
      </c>
      <c r="AD49" s="206">
        <v>3</v>
      </c>
      <c r="AE49" s="206">
        <v>0</v>
      </c>
      <c r="AF49" s="206">
        <v>1</v>
      </c>
      <c r="AG49" s="206">
        <v>7</v>
      </c>
      <c r="AH49" s="2">
        <f t="shared" si="0"/>
        <v>2</v>
      </c>
      <c r="AI49" s="2">
        <f t="shared" si="1"/>
        <v>0</v>
      </c>
      <c r="AJ49" s="2">
        <f t="shared" si="2"/>
        <v>2</v>
      </c>
    </row>
    <row r="50" spans="2:36" x14ac:dyDescent="0.2">
      <c r="B50" s="102"/>
      <c r="C50" s="103">
        <v>47</v>
      </c>
      <c r="D50" s="205">
        <v>4088299.2704001497</v>
      </c>
      <c r="E50" s="205">
        <v>2239546.4001654238</v>
      </c>
      <c r="F50" s="205">
        <v>0</v>
      </c>
      <c r="G50" s="205">
        <v>0</v>
      </c>
      <c r="H50" s="205">
        <v>859504.19558440044</v>
      </c>
      <c r="I50" s="206">
        <v>-1</v>
      </c>
      <c r="J50" s="206">
        <v>0</v>
      </c>
      <c r="K50" s="206">
        <v>0</v>
      </c>
      <c r="L50" s="206">
        <v>5</v>
      </c>
      <c r="M50" s="206">
        <v>3</v>
      </c>
      <c r="N50" s="206">
        <v>0</v>
      </c>
      <c r="O50" s="206">
        <v>7</v>
      </c>
      <c r="P50" s="206">
        <v>0</v>
      </c>
      <c r="Q50" s="206">
        <v>4</v>
      </c>
      <c r="R50" s="206">
        <v>-1</v>
      </c>
      <c r="S50" s="206">
        <v>7</v>
      </c>
      <c r="T50" s="206">
        <v>0</v>
      </c>
      <c r="U50" s="206">
        <v>0</v>
      </c>
      <c r="V50" s="206">
        <v>4</v>
      </c>
      <c r="W50" s="206">
        <v>6</v>
      </c>
      <c r="X50" s="206">
        <v>5</v>
      </c>
      <c r="Y50" s="206">
        <v>2</v>
      </c>
      <c r="Z50" s="206">
        <v>0</v>
      </c>
      <c r="AA50" s="206">
        <v>1</v>
      </c>
      <c r="AB50" s="206">
        <v>2</v>
      </c>
      <c r="AC50" s="206">
        <v>0</v>
      </c>
      <c r="AD50" s="206">
        <v>0</v>
      </c>
      <c r="AE50" s="206">
        <v>7</v>
      </c>
      <c r="AF50" s="206">
        <v>0</v>
      </c>
      <c r="AG50" s="206">
        <v>7</v>
      </c>
      <c r="AH50" s="2">
        <f t="shared" si="0"/>
        <v>2</v>
      </c>
      <c r="AI50" s="2">
        <f t="shared" si="1"/>
        <v>0</v>
      </c>
      <c r="AJ50" s="2">
        <f t="shared" si="2"/>
        <v>2</v>
      </c>
    </row>
    <row r="51" spans="2:36" x14ac:dyDescent="0.2">
      <c r="B51" s="102"/>
      <c r="C51" s="103">
        <v>48</v>
      </c>
      <c r="D51" s="205">
        <v>4879351.0644473955</v>
      </c>
      <c r="E51" s="205">
        <v>2673225.7688305443</v>
      </c>
      <c r="F51" s="205">
        <v>0</v>
      </c>
      <c r="G51" s="205">
        <v>0</v>
      </c>
      <c r="H51" s="205">
        <v>859504.19558440044</v>
      </c>
      <c r="I51" s="206">
        <v>-1</v>
      </c>
      <c r="J51" s="206">
        <v>0</v>
      </c>
      <c r="K51" s="206">
        <v>0</v>
      </c>
      <c r="L51" s="206">
        <v>5</v>
      </c>
      <c r="M51" s="206">
        <v>3</v>
      </c>
      <c r="N51" s="206">
        <v>2</v>
      </c>
      <c r="O51" s="206">
        <v>7</v>
      </c>
      <c r="P51" s="206">
        <v>0</v>
      </c>
      <c r="Q51" s="206">
        <v>4</v>
      </c>
      <c r="R51" s="206">
        <v>-1</v>
      </c>
      <c r="S51" s="206">
        <v>7</v>
      </c>
      <c r="T51" s="206">
        <v>2</v>
      </c>
      <c r="U51" s="206">
        <v>6</v>
      </c>
      <c r="V51" s="206">
        <v>4</v>
      </c>
      <c r="W51" s="206">
        <v>6</v>
      </c>
      <c r="X51" s="206">
        <v>5</v>
      </c>
      <c r="Y51" s="206">
        <v>0</v>
      </c>
      <c r="Z51" s="206">
        <v>0</v>
      </c>
      <c r="AA51" s="206">
        <v>1</v>
      </c>
      <c r="AB51" s="206">
        <v>2</v>
      </c>
      <c r="AC51" s="206">
        <v>2</v>
      </c>
      <c r="AD51" s="206">
        <v>0</v>
      </c>
      <c r="AE51" s="206">
        <v>7</v>
      </c>
      <c r="AF51" s="206">
        <v>0</v>
      </c>
      <c r="AG51" s="206">
        <v>7</v>
      </c>
      <c r="AH51" s="2">
        <f t="shared" si="0"/>
        <v>2</v>
      </c>
      <c r="AI51" s="2">
        <f t="shared" si="1"/>
        <v>0</v>
      </c>
      <c r="AJ51" s="2">
        <f t="shared" si="2"/>
        <v>2</v>
      </c>
    </row>
    <row r="52" spans="2:36" x14ac:dyDescent="0.2">
      <c r="B52" s="102"/>
      <c r="C52" s="103">
        <v>49</v>
      </c>
      <c r="D52" s="205">
        <v>3584451.5816459507</v>
      </c>
      <c r="E52" s="205">
        <v>1978090.8198552337</v>
      </c>
      <c r="F52" s="205">
        <v>0</v>
      </c>
      <c r="G52" s="205">
        <v>0</v>
      </c>
      <c r="H52" s="205">
        <v>785148.38418089168</v>
      </c>
      <c r="I52" s="206">
        <v>-1</v>
      </c>
      <c r="J52" s="206">
        <v>0</v>
      </c>
      <c r="K52" s="206">
        <v>0</v>
      </c>
      <c r="L52" s="206">
        <v>5</v>
      </c>
      <c r="M52" s="206">
        <v>3</v>
      </c>
      <c r="N52" s="206">
        <v>2</v>
      </c>
      <c r="O52" s="206">
        <v>7</v>
      </c>
      <c r="P52" s="206">
        <v>5</v>
      </c>
      <c r="Q52" s="206">
        <v>4</v>
      </c>
      <c r="R52" s="206">
        <v>-1</v>
      </c>
      <c r="S52" s="206">
        <v>0</v>
      </c>
      <c r="T52" s="206">
        <v>2</v>
      </c>
      <c r="U52" s="206">
        <v>6</v>
      </c>
      <c r="V52" s="206">
        <v>4</v>
      </c>
      <c r="W52" s="206">
        <v>0</v>
      </c>
      <c r="X52" s="206">
        <v>5</v>
      </c>
      <c r="Y52" s="206">
        <v>0</v>
      </c>
      <c r="Z52" s="206">
        <v>0</v>
      </c>
      <c r="AA52" s="206">
        <v>1</v>
      </c>
      <c r="AB52" s="206">
        <v>2</v>
      </c>
      <c r="AC52" s="206">
        <v>2</v>
      </c>
      <c r="AD52" s="206">
        <v>0</v>
      </c>
      <c r="AE52" s="206">
        <v>7</v>
      </c>
      <c r="AF52" s="206">
        <v>2</v>
      </c>
      <c r="AG52" s="206">
        <v>7</v>
      </c>
      <c r="AH52" s="2">
        <f t="shared" si="0"/>
        <v>2</v>
      </c>
      <c r="AI52" s="2">
        <f t="shared" si="1"/>
        <v>0</v>
      </c>
      <c r="AJ52" s="2">
        <f t="shared" si="2"/>
        <v>2</v>
      </c>
    </row>
    <row r="53" spans="2:36" x14ac:dyDescent="0.2">
      <c r="B53" s="102"/>
      <c r="C53" s="103">
        <v>50</v>
      </c>
      <c r="D53" s="205">
        <v>4121757.2226845357</v>
      </c>
      <c r="E53" s="205">
        <v>2327086.6116950023</v>
      </c>
      <c r="F53" s="205">
        <v>0</v>
      </c>
      <c r="G53" s="205">
        <v>0</v>
      </c>
      <c r="H53" s="205">
        <v>701815.05084755842</v>
      </c>
      <c r="I53" s="206">
        <v>-1</v>
      </c>
      <c r="J53" s="206">
        <v>2</v>
      </c>
      <c r="K53" s="206">
        <v>5</v>
      </c>
      <c r="L53" s="206">
        <v>5</v>
      </c>
      <c r="M53" s="206">
        <v>3</v>
      </c>
      <c r="N53" s="206">
        <v>2</v>
      </c>
      <c r="O53" s="206">
        <v>7</v>
      </c>
      <c r="P53" s="206">
        <v>5</v>
      </c>
      <c r="Q53" s="206">
        <v>0</v>
      </c>
      <c r="R53" s="206">
        <v>-1</v>
      </c>
      <c r="S53" s="206">
        <v>0</v>
      </c>
      <c r="T53" s="206">
        <v>2</v>
      </c>
      <c r="U53" s="206">
        <v>6</v>
      </c>
      <c r="V53" s="206">
        <v>4</v>
      </c>
      <c r="W53" s="206">
        <v>0</v>
      </c>
      <c r="X53" s="206">
        <v>5</v>
      </c>
      <c r="Y53" s="206">
        <v>3</v>
      </c>
      <c r="Z53" s="206">
        <v>3</v>
      </c>
      <c r="AA53" s="206">
        <v>1</v>
      </c>
      <c r="AB53" s="206">
        <v>0</v>
      </c>
      <c r="AC53" s="206">
        <v>2</v>
      </c>
      <c r="AD53" s="206">
        <v>4</v>
      </c>
      <c r="AE53" s="206">
        <v>7</v>
      </c>
      <c r="AF53" s="206">
        <v>2</v>
      </c>
      <c r="AG53" s="206">
        <v>7</v>
      </c>
      <c r="AH53" s="2">
        <f t="shared" si="0"/>
        <v>2</v>
      </c>
      <c r="AI53" s="2">
        <f t="shared" si="1"/>
        <v>0</v>
      </c>
      <c r="AJ53" s="2">
        <f t="shared" si="2"/>
        <v>2</v>
      </c>
    </row>
    <row r="54" spans="2:36" x14ac:dyDescent="0.2">
      <c r="B54" s="102"/>
      <c r="C54" s="103">
        <v>51</v>
      </c>
      <c r="D54" s="205">
        <v>4574214.6460719332</v>
      </c>
      <c r="E54" s="205">
        <v>2511242.9520119661</v>
      </c>
      <c r="F54" s="205">
        <v>0</v>
      </c>
      <c r="G54" s="205">
        <v>0</v>
      </c>
      <c r="H54" s="205">
        <v>701815.05084755842</v>
      </c>
      <c r="I54" s="206">
        <v>-1</v>
      </c>
      <c r="J54" s="206">
        <v>2</v>
      </c>
      <c r="K54" s="206">
        <v>5</v>
      </c>
      <c r="L54" s="206">
        <v>5</v>
      </c>
      <c r="M54" s="206">
        <v>3</v>
      </c>
      <c r="N54" s="206">
        <v>2</v>
      </c>
      <c r="O54" s="206">
        <v>7</v>
      </c>
      <c r="P54" s="206">
        <v>5</v>
      </c>
      <c r="Q54" s="206">
        <v>0</v>
      </c>
      <c r="R54" s="206">
        <v>-1</v>
      </c>
      <c r="S54" s="206">
        <v>8</v>
      </c>
      <c r="T54" s="206">
        <v>2</v>
      </c>
      <c r="U54" s="206">
        <v>0</v>
      </c>
      <c r="V54" s="206">
        <v>4</v>
      </c>
      <c r="W54" s="206">
        <v>0</v>
      </c>
      <c r="X54" s="206">
        <v>5</v>
      </c>
      <c r="Y54" s="206">
        <v>3</v>
      </c>
      <c r="Z54" s="206">
        <v>3</v>
      </c>
      <c r="AA54" s="206">
        <v>1</v>
      </c>
      <c r="AB54" s="206">
        <v>0</v>
      </c>
      <c r="AC54" s="206">
        <v>2</v>
      </c>
      <c r="AD54" s="206">
        <v>4</v>
      </c>
      <c r="AE54" s="206">
        <v>7</v>
      </c>
      <c r="AF54" s="206">
        <v>2</v>
      </c>
      <c r="AG54" s="206">
        <v>7</v>
      </c>
      <c r="AH54" s="2">
        <f t="shared" si="0"/>
        <v>2</v>
      </c>
      <c r="AI54" s="2">
        <f t="shared" si="1"/>
        <v>0</v>
      </c>
      <c r="AJ54" s="2">
        <f t="shared" si="2"/>
        <v>2</v>
      </c>
    </row>
    <row r="55" spans="2:36" x14ac:dyDescent="0.2">
      <c r="B55" s="102"/>
      <c r="C55" s="103">
        <v>52</v>
      </c>
      <c r="D55" s="205">
        <v>4569102.7982488768</v>
      </c>
      <c r="E55" s="205">
        <v>2519765.9380089515</v>
      </c>
      <c r="F55" s="205">
        <v>0</v>
      </c>
      <c r="G55" s="205">
        <v>0</v>
      </c>
      <c r="H55" s="205">
        <v>701815.05084755842</v>
      </c>
      <c r="I55" s="206">
        <v>-1</v>
      </c>
      <c r="J55" s="206">
        <v>2</v>
      </c>
      <c r="K55" s="206">
        <v>5</v>
      </c>
      <c r="L55" s="206">
        <v>5</v>
      </c>
      <c r="M55" s="206">
        <v>3</v>
      </c>
      <c r="N55" s="206">
        <v>2</v>
      </c>
      <c r="O55" s="206">
        <v>7</v>
      </c>
      <c r="P55" s="206">
        <v>5</v>
      </c>
      <c r="Q55" s="206">
        <v>5</v>
      </c>
      <c r="R55" s="206">
        <v>-1</v>
      </c>
      <c r="S55" s="206">
        <v>8</v>
      </c>
      <c r="T55" s="206">
        <v>2</v>
      </c>
      <c r="U55" s="206">
        <v>0</v>
      </c>
      <c r="V55" s="206">
        <v>0</v>
      </c>
      <c r="W55" s="206">
        <v>7</v>
      </c>
      <c r="X55" s="206">
        <v>0</v>
      </c>
      <c r="Y55" s="206">
        <v>3</v>
      </c>
      <c r="Z55" s="206">
        <v>3</v>
      </c>
      <c r="AA55" s="206">
        <v>1</v>
      </c>
      <c r="AB55" s="206">
        <v>0</v>
      </c>
      <c r="AC55" s="206">
        <v>2</v>
      </c>
      <c r="AD55" s="206">
        <v>4</v>
      </c>
      <c r="AE55" s="206">
        <v>7</v>
      </c>
      <c r="AF55" s="206">
        <v>2</v>
      </c>
      <c r="AG55" s="206">
        <v>7</v>
      </c>
      <c r="AH55" s="2">
        <f t="shared" si="0"/>
        <v>2</v>
      </c>
      <c r="AI55" s="2">
        <f t="shared" si="1"/>
        <v>0</v>
      </c>
      <c r="AJ55" s="2">
        <f t="shared" si="2"/>
        <v>2</v>
      </c>
    </row>
    <row r="56" spans="2:36" x14ac:dyDescent="0.2">
      <c r="B56" s="102"/>
      <c r="C56" s="103">
        <v>53</v>
      </c>
      <c r="D56" s="205">
        <v>5380835.2852676082</v>
      </c>
      <c r="E56" s="205">
        <v>2950029.8597083455</v>
      </c>
      <c r="F56" s="205">
        <v>0</v>
      </c>
      <c r="G56" s="205">
        <v>0</v>
      </c>
      <c r="H56" s="205">
        <v>902773.42635363119</v>
      </c>
      <c r="I56" s="206">
        <v>-1</v>
      </c>
      <c r="J56" s="206">
        <v>0</v>
      </c>
      <c r="K56" s="206">
        <v>5</v>
      </c>
      <c r="L56" s="206">
        <v>5</v>
      </c>
      <c r="M56" s="206">
        <v>0</v>
      </c>
      <c r="N56" s="206">
        <v>2</v>
      </c>
      <c r="O56" s="206">
        <v>7</v>
      </c>
      <c r="P56" s="206">
        <v>5</v>
      </c>
      <c r="Q56" s="206">
        <v>5</v>
      </c>
      <c r="R56" s="206">
        <v>-1</v>
      </c>
      <c r="S56" s="206">
        <v>8</v>
      </c>
      <c r="T56" s="206">
        <v>2</v>
      </c>
      <c r="U56" s="206">
        <v>7</v>
      </c>
      <c r="V56" s="206">
        <v>0</v>
      </c>
      <c r="W56" s="206">
        <v>7</v>
      </c>
      <c r="X56" s="206">
        <v>0</v>
      </c>
      <c r="Y56" s="206">
        <v>3</v>
      </c>
      <c r="Z56" s="206">
        <v>3</v>
      </c>
      <c r="AA56" s="206">
        <v>1</v>
      </c>
      <c r="AB56" s="206">
        <v>3</v>
      </c>
      <c r="AC56" s="206">
        <v>2</v>
      </c>
      <c r="AD56" s="206">
        <v>4</v>
      </c>
      <c r="AE56" s="206">
        <v>0</v>
      </c>
      <c r="AF56" s="206">
        <v>2</v>
      </c>
      <c r="AG56" s="206">
        <v>0</v>
      </c>
      <c r="AH56" s="2">
        <f t="shared" si="0"/>
        <v>2</v>
      </c>
      <c r="AI56" s="2">
        <f t="shared" si="1"/>
        <v>0</v>
      </c>
      <c r="AJ56" s="2">
        <f t="shared" si="2"/>
        <v>2</v>
      </c>
    </row>
    <row r="57" spans="2:36" x14ac:dyDescent="0.2">
      <c r="B57" s="102"/>
      <c r="C57" s="103">
        <v>54</v>
      </c>
      <c r="D57" s="205">
        <v>6583135.5069396747</v>
      </c>
      <c r="E57" s="205">
        <v>3649004.9786736993</v>
      </c>
      <c r="F57" s="205">
        <v>0</v>
      </c>
      <c r="G57" s="205">
        <v>0</v>
      </c>
      <c r="H57" s="205">
        <v>902773.42635363119</v>
      </c>
      <c r="I57" s="206">
        <v>-1</v>
      </c>
      <c r="J57" s="206">
        <v>0</v>
      </c>
      <c r="K57" s="206">
        <v>5</v>
      </c>
      <c r="L57" s="206">
        <v>0</v>
      </c>
      <c r="M57" s="206">
        <v>4</v>
      </c>
      <c r="N57" s="206">
        <v>2</v>
      </c>
      <c r="O57" s="206">
        <v>0</v>
      </c>
      <c r="P57" s="206">
        <v>5</v>
      </c>
      <c r="Q57" s="206">
        <v>5</v>
      </c>
      <c r="R57" s="206">
        <v>-1</v>
      </c>
      <c r="S57" s="206">
        <v>8</v>
      </c>
      <c r="T57" s="206">
        <v>2</v>
      </c>
      <c r="U57" s="206">
        <v>7</v>
      </c>
      <c r="V57" s="206">
        <v>0</v>
      </c>
      <c r="W57" s="206">
        <v>7</v>
      </c>
      <c r="X57" s="206">
        <v>6</v>
      </c>
      <c r="Y57" s="206">
        <v>3</v>
      </c>
      <c r="Z57" s="206">
        <v>3</v>
      </c>
      <c r="AA57" s="206">
        <v>1</v>
      </c>
      <c r="AB57" s="206">
        <v>3</v>
      </c>
      <c r="AC57" s="206">
        <v>2</v>
      </c>
      <c r="AD57" s="206">
        <v>4</v>
      </c>
      <c r="AE57" s="206">
        <v>0</v>
      </c>
      <c r="AF57" s="206">
        <v>2</v>
      </c>
      <c r="AG57" s="206">
        <v>0</v>
      </c>
      <c r="AH57" s="2">
        <f t="shared" si="0"/>
        <v>2</v>
      </c>
      <c r="AI57" s="2">
        <f t="shared" si="1"/>
        <v>0</v>
      </c>
      <c r="AJ57" s="2">
        <f t="shared" si="2"/>
        <v>2</v>
      </c>
    </row>
    <row r="58" spans="2:36" x14ac:dyDescent="0.2">
      <c r="B58" s="102"/>
      <c r="C58" s="103">
        <v>55</v>
      </c>
      <c r="D58" s="205">
        <v>6364425.6919395337</v>
      </c>
      <c r="E58" s="205">
        <v>3517447.3013133439</v>
      </c>
      <c r="F58" s="205">
        <v>0</v>
      </c>
      <c r="G58" s="205">
        <v>0</v>
      </c>
      <c r="H58" s="205">
        <v>902773.42635363119</v>
      </c>
      <c r="I58" s="206">
        <v>-1</v>
      </c>
      <c r="J58" s="206">
        <v>3</v>
      </c>
      <c r="K58" s="206">
        <v>0</v>
      </c>
      <c r="L58" s="206">
        <v>0</v>
      </c>
      <c r="M58" s="206">
        <v>4</v>
      </c>
      <c r="N58" s="206">
        <v>2</v>
      </c>
      <c r="O58" s="206">
        <v>0</v>
      </c>
      <c r="P58" s="206">
        <v>5</v>
      </c>
      <c r="Q58" s="206">
        <v>5</v>
      </c>
      <c r="R58" s="206">
        <v>-1</v>
      </c>
      <c r="S58" s="206">
        <v>8</v>
      </c>
      <c r="T58" s="206">
        <v>2</v>
      </c>
      <c r="U58" s="206">
        <v>7</v>
      </c>
      <c r="V58" s="206">
        <v>5</v>
      </c>
      <c r="W58" s="206">
        <v>7</v>
      </c>
      <c r="X58" s="206">
        <v>6</v>
      </c>
      <c r="Y58" s="206">
        <v>3</v>
      </c>
      <c r="Z58" s="206">
        <v>3</v>
      </c>
      <c r="AA58" s="206">
        <v>1</v>
      </c>
      <c r="AB58" s="206">
        <v>3</v>
      </c>
      <c r="AC58" s="206">
        <v>2</v>
      </c>
      <c r="AD58" s="206">
        <v>4</v>
      </c>
      <c r="AE58" s="206">
        <v>8</v>
      </c>
      <c r="AF58" s="206">
        <v>2</v>
      </c>
      <c r="AG58" s="206">
        <v>0</v>
      </c>
      <c r="AH58" s="2">
        <f t="shared" si="0"/>
        <v>2</v>
      </c>
      <c r="AI58" s="2">
        <f t="shared" si="1"/>
        <v>0</v>
      </c>
      <c r="AJ58" s="2">
        <f t="shared" si="2"/>
        <v>2</v>
      </c>
    </row>
    <row r="59" spans="2:36" x14ac:dyDescent="0.2">
      <c r="B59" s="102"/>
      <c r="C59" s="103">
        <v>56</v>
      </c>
      <c r="D59" s="205">
        <v>5778436.8378025265</v>
      </c>
      <c r="E59" s="205">
        <v>3162929.1169263399</v>
      </c>
      <c r="F59" s="205">
        <v>0</v>
      </c>
      <c r="G59" s="205">
        <v>0</v>
      </c>
      <c r="H59" s="205">
        <v>785148.38418089168</v>
      </c>
      <c r="I59" s="206">
        <v>-1</v>
      </c>
      <c r="J59" s="206">
        <v>3</v>
      </c>
      <c r="K59" s="206">
        <v>0</v>
      </c>
      <c r="L59" s="206">
        <v>6</v>
      </c>
      <c r="M59" s="206">
        <v>4</v>
      </c>
      <c r="N59" s="206">
        <v>0</v>
      </c>
      <c r="O59" s="206">
        <v>8</v>
      </c>
      <c r="P59" s="206">
        <v>5</v>
      </c>
      <c r="Q59" s="206">
        <v>5</v>
      </c>
      <c r="R59" s="206">
        <v>-1</v>
      </c>
      <c r="S59" s="206">
        <v>8</v>
      </c>
      <c r="T59" s="206">
        <v>0</v>
      </c>
      <c r="U59" s="206">
        <v>7</v>
      </c>
      <c r="V59" s="206">
        <v>5</v>
      </c>
      <c r="W59" s="206">
        <v>7</v>
      </c>
      <c r="X59" s="206">
        <v>6</v>
      </c>
      <c r="Y59" s="206">
        <v>3</v>
      </c>
      <c r="Z59" s="206">
        <v>0</v>
      </c>
      <c r="AA59" s="206">
        <v>1</v>
      </c>
      <c r="AB59" s="206">
        <v>3</v>
      </c>
      <c r="AC59" s="206">
        <v>2</v>
      </c>
      <c r="AD59" s="206">
        <v>0</v>
      </c>
      <c r="AE59" s="206">
        <v>8</v>
      </c>
      <c r="AF59" s="206">
        <v>2</v>
      </c>
      <c r="AG59" s="206">
        <v>8</v>
      </c>
      <c r="AH59" s="2">
        <f t="shared" si="0"/>
        <v>2</v>
      </c>
      <c r="AI59" s="2">
        <f t="shared" si="1"/>
        <v>0</v>
      </c>
      <c r="AJ59" s="2">
        <f t="shared" si="2"/>
        <v>2</v>
      </c>
    </row>
    <row r="60" spans="2:36" x14ac:dyDescent="0.2">
      <c r="B60" s="102"/>
      <c r="C60" s="103">
        <v>57</v>
      </c>
      <c r="D60" s="205">
        <v>4825119.7085417416</v>
      </c>
      <c r="E60" s="205">
        <v>2728958.3245495856</v>
      </c>
      <c r="F60" s="205">
        <v>0</v>
      </c>
      <c r="G60" s="205">
        <v>0</v>
      </c>
      <c r="H60" s="205">
        <v>785148.38418089168</v>
      </c>
      <c r="I60" s="206">
        <v>-1</v>
      </c>
      <c r="J60" s="206">
        <v>3</v>
      </c>
      <c r="K60" s="206">
        <v>6</v>
      </c>
      <c r="L60" s="206">
        <v>6</v>
      </c>
      <c r="M60" s="206">
        <v>4</v>
      </c>
      <c r="N60" s="206">
        <v>0</v>
      </c>
      <c r="O60" s="206">
        <v>0</v>
      </c>
      <c r="P60" s="206">
        <v>5</v>
      </c>
      <c r="Q60" s="206">
        <v>5</v>
      </c>
      <c r="R60" s="206">
        <v>-1</v>
      </c>
      <c r="S60" s="206">
        <v>8</v>
      </c>
      <c r="T60" s="206">
        <v>0</v>
      </c>
      <c r="U60" s="206">
        <v>7</v>
      </c>
      <c r="V60" s="206">
        <v>5</v>
      </c>
      <c r="W60" s="206">
        <v>7</v>
      </c>
      <c r="X60" s="206">
        <v>6</v>
      </c>
      <c r="Y60" s="206">
        <v>3</v>
      </c>
      <c r="Z60" s="206">
        <v>4</v>
      </c>
      <c r="AA60" s="206">
        <v>1</v>
      </c>
      <c r="AB60" s="206">
        <v>3</v>
      </c>
      <c r="AC60" s="206">
        <v>2</v>
      </c>
      <c r="AD60" s="206">
        <v>0</v>
      </c>
      <c r="AE60" s="206">
        <v>8</v>
      </c>
      <c r="AF60" s="206">
        <v>2</v>
      </c>
      <c r="AG60" s="206">
        <v>8</v>
      </c>
      <c r="AH60" s="2">
        <f t="shared" si="0"/>
        <v>2</v>
      </c>
      <c r="AI60" s="2">
        <f t="shared" si="1"/>
        <v>0</v>
      </c>
      <c r="AJ60" s="2">
        <f t="shared" si="2"/>
        <v>2</v>
      </c>
    </row>
    <row r="61" spans="2:36" x14ac:dyDescent="0.2">
      <c r="B61" s="102"/>
      <c r="C61" s="103">
        <v>58</v>
      </c>
      <c r="D61" s="205">
        <v>4897617.3978869719</v>
      </c>
      <c r="E61" s="205">
        <v>2724421.9610279426</v>
      </c>
      <c r="F61" s="205">
        <v>0</v>
      </c>
      <c r="G61" s="205">
        <v>0</v>
      </c>
      <c r="H61" s="205">
        <v>660148.38418089179</v>
      </c>
      <c r="I61" s="206">
        <v>-1</v>
      </c>
      <c r="J61" s="206">
        <v>3</v>
      </c>
      <c r="K61" s="206">
        <v>6</v>
      </c>
      <c r="L61" s="206">
        <v>6</v>
      </c>
      <c r="M61" s="206">
        <v>4</v>
      </c>
      <c r="N61" s="206">
        <v>3</v>
      </c>
      <c r="O61" s="206">
        <v>0</v>
      </c>
      <c r="P61" s="206">
        <v>0</v>
      </c>
      <c r="Q61" s="206">
        <v>5</v>
      </c>
      <c r="R61" s="206">
        <v>-1</v>
      </c>
      <c r="S61" s="206">
        <v>8</v>
      </c>
      <c r="T61" s="206">
        <v>3</v>
      </c>
      <c r="U61" s="206">
        <v>7</v>
      </c>
      <c r="V61" s="206">
        <v>5</v>
      </c>
      <c r="W61" s="206">
        <v>7</v>
      </c>
      <c r="X61" s="206">
        <v>6</v>
      </c>
      <c r="Y61" s="206">
        <v>3</v>
      </c>
      <c r="Z61" s="206">
        <v>4</v>
      </c>
      <c r="AA61" s="206">
        <v>1</v>
      </c>
      <c r="AB61" s="206">
        <v>3</v>
      </c>
      <c r="AC61" s="206">
        <v>2</v>
      </c>
      <c r="AD61" s="206">
        <v>5</v>
      </c>
      <c r="AE61" s="206">
        <v>8</v>
      </c>
      <c r="AF61" s="206">
        <v>2</v>
      </c>
      <c r="AG61" s="206">
        <v>8</v>
      </c>
      <c r="AH61" s="2">
        <f t="shared" si="0"/>
        <v>2</v>
      </c>
      <c r="AI61" s="2">
        <f t="shared" si="1"/>
        <v>0</v>
      </c>
      <c r="AJ61" s="2">
        <f t="shared" si="2"/>
        <v>2</v>
      </c>
    </row>
    <row r="62" spans="2:36" x14ac:dyDescent="0.2">
      <c r="B62" s="102"/>
      <c r="C62" s="103">
        <v>59</v>
      </c>
      <c r="D62" s="205">
        <v>4625793.9047455015</v>
      </c>
      <c r="E62" s="205">
        <v>2551483.2080099452</v>
      </c>
      <c r="F62" s="205">
        <v>0</v>
      </c>
      <c r="G62" s="205">
        <v>0</v>
      </c>
      <c r="H62" s="205">
        <v>660148.38418089179</v>
      </c>
      <c r="I62" s="206">
        <v>-1</v>
      </c>
      <c r="J62" s="206">
        <v>3</v>
      </c>
      <c r="K62" s="206">
        <v>6</v>
      </c>
      <c r="L62" s="206">
        <v>6</v>
      </c>
      <c r="M62" s="206">
        <v>4</v>
      </c>
      <c r="N62" s="206">
        <v>3</v>
      </c>
      <c r="O62" s="206">
        <v>9</v>
      </c>
      <c r="P62" s="206">
        <v>6</v>
      </c>
      <c r="Q62" s="206">
        <v>5</v>
      </c>
      <c r="R62" s="206">
        <v>-1</v>
      </c>
      <c r="S62" s="206">
        <v>8</v>
      </c>
      <c r="T62" s="206">
        <v>3</v>
      </c>
      <c r="U62" s="206">
        <v>7</v>
      </c>
      <c r="V62" s="206">
        <v>5</v>
      </c>
      <c r="W62" s="206">
        <v>0</v>
      </c>
      <c r="X62" s="206">
        <v>6</v>
      </c>
      <c r="Y62" s="206">
        <v>3</v>
      </c>
      <c r="Z62" s="206">
        <v>4</v>
      </c>
      <c r="AA62" s="206">
        <v>1</v>
      </c>
      <c r="AB62" s="206">
        <v>3</v>
      </c>
      <c r="AC62" s="206">
        <v>2</v>
      </c>
      <c r="AD62" s="206">
        <v>5</v>
      </c>
      <c r="AE62" s="206">
        <v>8</v>
      </c>
      <c r="AF62" s="206">
        <v>2</v>
      </c>
      <c r="AG62" s="206">
        <v>8</v>
      </c>
      <c r="AH62" s="2">
        <f t="shared" si="0"/>
        <v>2</v>
      </c>
      <c r="AI62" s="2">
        <f t="shared" si="1"/>
        <v>0</v>
      </c>
      <c r="AJ62" s="2">
        <f t="shared" si="2"/>
        <v>2</v>
      </c>
    </row>
    <row r="63" spans="2:36" x14ac:dyDescent="0.2">
      <c r="B63" s="102"/>
      <c r="C63" s="103">
        <v>60</v>
      </c>
      <c r="D63" s="205">
        <v>6726378.3650754299</v>
      </c>
      <c r="E63" s="205">
        <v>3748179.8853002568</v>
      </c>
      <c r="F63" s="205">
        <v>0</v>
      </c>
      <c r="G63" s="205">
        <v>0</v>
      </c>
      <c r="H63" s="205">
        <v>902773.42635363119</v>
      </c>
      <c r="I63" s="206">
        <v>-1</v>
      </c>
      <c r="J63" s="206">
        <v>3</v>
      </c>
      <c r="K63" s="206">
        <v>6</v>
      </c>
      <c r="L63" s="206">
        <v>6</v>
      </c>
      <c r="M63" s="206">
        <v>4</v>
      </c>
      <c r="N63" s="206">
        <v>3</v>
      </c>
      <c r="O63" s="206">
        <v>9</v>
      </c>
      <c r="P63" s="206">
        <v>6</v>
      </c>
      <c r="Q63" s="206">
        <v>5</v>
      </c>
      <c r="R63" s="206">
        <v>-1</v>
      </c>
      <c r="S63" s="206">
        <v>8</v>
      </c>
      <c r="T63" s="206">
        <v>3</v>
      </c>
      <c r="U63" s="206">
        <v>7</v>
      </c>
      <c r="V63" s="206">
        <v>5</v>
      </c>
      <c r="W63" s="206">
        <v>8</v>
      </c>
      <c r="X63" s="206">
        <v>6</v>
      </c>
      <c r="Y63" s="206">
        <v>3</v>
      </c>
      <c r="Z63" s="206">
        <v>4</v>
      </c>
      <c r="AA63" s="206">
        <v>0</v>
      </c>
      <c r="AB63" s="206">
        <v>3</v>
      </c>
      <c r="AC63" s="206">
        <v>0</v>
      </c>
      <c r="AD63" s="206">
        <v>0</v>
      </c>
      <c r="AE63" s="206">
        <v>8</v>
      </c>
      <c r="AF63" s="206">
        <v>2</v>
      </c>
      <c r="AG63" s="206">
        <v>0</v>
      </c>
      <c r="AH63" s="2">
        <f t="shared" si="0"/>
        <v>2</v>
      </c>
      <c r="AI63" s="2">
        <f t="shared" si="1"/>
        <v>0</v>
      </c>
      <c r="AJ63" s="2">
        <f t="shared" si="2"/>
        <v>2</v>
      </c>
    </row>
    <row r="64" spans="2:36" x14ac:dyDescent="0.2">
      <c r="B64" s="102"/>
      <c r="C64" s="103">
        <v>61</v>
      </c>
      <c r="D64" s="205">
        <v>6740166.0620297864</v>
      </c>
      <c r="E64" s="205">
        <v>3722909.9741273429</v>
      </c>
      <c r="F64" s="205">
        <v>0</v>
      </c>
      <c r="G64" s="205">
        <v>0</v>
      </c>
      <c r="H64" s="205">
        <v>902773.42635363119</v>
      </c>
      <c r="I64" s="206">
        <v>-1</v>
      </c>
      <c r="J64" s="206">
        <v>0</v>
      </c>
      <c r="K64" s="206">
        <v>6</v>
      </c>
      <c r="L64" s="206">
        <v>6</v>
      </c>
      <c r="M64" s="206">
        <v>4</v>
      </c>
      <c r="N64" s="206">
        <v>3</v>
      </c>
      <c r="O64" s="206">
        <v>9</v>
      </c>
      <c r="P64" s="206">
        <v>6</v>
      </c>
      <c r="Q64" s="206">
        <v>0</v>
      </c>
      <c r="R64" s="206">
        <v>-1</v>
      </c>
      <c r="S64" s="206">
        <v>8</v>
      </c>
      <c r="T64" s="206">
        <v>3</v>
      </c>
      <c r="U64" s="206">
        <v>7</v>
      </c>
      <c r="V64" s="206">
        <v>5</v>
      </c>
      <c r="W64" s="206">
        <v>8</v>
      </c>
      <c r="X64" s="206">
        <v>6</v>
      </c>
      <c r="Y64" s="206">
        <v>3</v>
      </c>
      <c r="Z64" s="206">
        <v>4</v>
      </c>
      <c r="AA64" s="206">
        <v>2</v>
      </c>
      <c r="AB64" s="206">
        <v>3</v>
      </c>
      <c r="AC64" s="206">
        <v>0</v>
      </c>
      <c r="AD64" s="206">
        <v>0</v>
      </c>
      <c r="AE64" s="206">
        <v>0</v>
      </c>
      <c r="AF64" s="206">
        <v>0</v>
      </c>
      <c r="AG64" s="206">
        <v>0</v>
      </c>
      <c r="AH64" s="2">
        <f t="shared" si="0"/>
        <v>2</v>
      </c>
      <c r="AI64" s="2">
        <f t="shared" si="1"/>
        <v>0</v>
      </c>
      <c r="AJ64" s="2">
        <f t="shared" si="2"/>
        <v>2</v>
      </c>
    </row>
    <row r="65" spans="2:36" x14ac:dyDescent="0.2">
      <c r="B65" s="102"/>
      <c r="C65" s="103">
        <v>62</v>
      </c>
      <c r="D65" s="205">
        <v>5670329.7477082256</v>
      </c>
      <c r="E65" s="205">
        <v>3142940.1254021414</v>
      </c>
      <c r="F65" s="205">
        <v>0</v>
      </c>
      <c r="G65" s="205">
        <v>0</v>
      </c>
      <c r="H65" s="205">
        <v>819139.61225106707</v>
      </c>
      <c r="I65" s="206">
        <v>-1</v>
      </c>
      <c r="J65" s="206">
        <v>0</v>
      </c>
      <c r="K65" s="206">
        <v>0</v>
      </c>
      <c r="L65" s="206">
        <v>0</v>
      </c>
      <c r="M65" s="206">
        <v>0</v>
      </c>
      <c r="N65" s="206">
        <v>3</v>
      </c>
      <c r="O65" s="206">
        <v>9</v>
      </c>
      <c r="P65" s="206">
        <v>6</v>
      </c>
      <c r="Q65" s="206">
        <v>0</v>
      </c>
      <c r="R65" s="206">
        <v>-1</v>
      </c>
      <c r="S65" s="206">
        <v>8</v>
      </c>
      <c r="T65" s="206">
        <v>3</v>
      </c>
      <c r="U65" s="206">
        <v>7</v>
      </c>
      <c r="V65" s="206">
        <v>5</v>
      </c>
      <c r="W65" s="206">
        <v>8</v>
      </c>
      <c r="X65" s="206">
        <v>6</v>
      </c>
      <c r="Y65" s="206">
        <v>0</v>
      </c>
      <c r="Z65" s="206">
        <v>4</v>
      </c>
      <c r="AA65" s="206">
        <v>2</v>
      </c>
      <c r="AB65" s="206">
        <v>3</v>
      </c>
      <c r="AC65" s="206">
        <v>3</v>
      </c>
      <c r="AD65" s="206">
        <v>6</v>
      </c>
      <c r="AE65" s="206">
        <v>0</v>
      </c>
      <c r="AF65" s="206">
        <v>3</v>
      </c>
      <c r="AG65" s="206">
        <v>9</v>
      </c>
      <c r="AH65" s="2">
        <f t="shared" si="0"/>
        <v>2</v>
      </c>
      <c r="AI65" s="2">
        <f t="shared" si="1"/>
        <v>0</v>
      </c>
      <c r="AJ65" s="2">
        <f t="shared" si="2"/>
        <v>2</v>
      </c>
    </row>
    <row r="66" spans="2:36" x14ac:dyDescent="0.2">
      <c r="B66" s="102"/>
      <c r="C66" s="103">
        <v>63</v>
      </c>
      <c r="D66" s="205">
        <v>1319506.8365965961</v>
      </c>
      <c r="E66" s="205">
        <v>737030.78429568768</v>
      </c>
      <c r="F66" s="205">
        <v>0</v>
      </c>
      <c r="G66" s="205">
        <v>0</v>
      </c>
      <c r="H66" s="205">
        <v>415612.02797174157</v>
      </c>
      <c r="I66" s="206">
        <v>-1</v>
      </c>
      <c r="J66" s="206">
        <v>4</v>
      </c>
      <c r="K66" s="206">
        <v>0</v>
      </c>
      <c r="L66" s="206">
        <v>0</v>
      </c>
      <c r="M66" s="206">
        <v>0</v>
      </c>
      <c r="N66" s="206">
        <v>3</v>
      </c>
      <c r="O66" s="206">
        <v>9</v>
      </c>
      <c r="P66" s="206">
        <v>6</v>
      </c>
      <c r="Q66" s="206">
        <v>6</v>
      </c>
      <c r="R66" s="206">
        <v>-1</v>
      </c>
      <c r="S66" s="206">
        <v>0</v>
      </c>
      <c r="T66" s="206">
        <v>0</v>
      </c>
      <c r="U66" s="206">
        <v>0</v>
      </c>
      <c r="V66" s="206">
        <v>5</v>
      </c>
      <c r="W66" s="206">
        <v>8</v>
      </c>
      <c r="X66" s="206">
        <v>6</v>
      </c>
      <c r="Y66" s="206">
        <v>4</v>
      </c>
      <c r="Z66" s="206">
        <v>4</v>
      </c>
      <c r="AA66" s="206">
        <v>2</v>
      </c>
      <c r="AB66" s="206">
        <v>3</v>
      </c>
      <c r="AC66" s="206">
        <v>3</v>
      </c>
      <c r="AD66" s="206">
        <v>6</v>
      </c>
      <c r="AE66" s="206">
        <v>9</v>
      </c>
      <c r="AF66" s="206">
        <v>3</v>
      </c>
      <c r="AG66" s="206">
        <v>9</v>
      </c>
      <c r="AH66" s="2">
        <f t="shared" si="0"/>
        <v>2</v>
      </c>
      <c r="AI66" s="2">
        <f t="shared" si="1"/>
        <v>0</v>
      </c>
      <c r="AJ66" s="2">
        <f t="shared" si="2"/>
        <v>2</v>
      </c>
    </row>
    <row r="67" spans="2:36" x14ac:dyDescent="0.2">
      <c r="B67" s="102"/>
      <c r="C67" s="103">
        <v>64</v>
      </c>
      <c r="D67" s="205">
        <v>5721431.9958450254</v>
      </c>
      <c r="E67" s="205">
        <v>3187361.5586678246</v>
      </c>
      <c r="F67" s="205">
        <v>0</v>
      </c>
      <c r="G67" s="205">
        <v>0</v>
      </c>
      <c r="H67" s="205">
        <v>859504.19558440044</v>
      </c>
      <c r="I67" s="206">
        <v>-1</v>
      </c>
      <c r="J67" s="206">
        <v>4</v>
      </c>
      <c r="K67" s="206">
        <v>7</v>
      </c>
      <c r="L67" s="206">
        <v>0</v>
      </c>
      <c r="M67" s="206">
        <v>5</v>
      </c>
      <c r="N67" s="206">
        <v>3</v>
      </c>
      <c r="O67" s="206">
        <v>9</v>
      </c>
      <c r="P67" s="206">
        <v>6</v>
      </c>
      <c r="Q67" s="206">
        <v>6</v>
      </c>
      <c r="R67" s="206">
        <v>-1</v>
      </c>
      <c r="S67" s="206">
        <v>0</v>
      </c>
      <c r="T67" s="206">
        <v>4</v>
      </c>
      <c r="U67" s="206">
        <v>8</v>
      </c>
      <c r="V67" s="206">
        <v>0</v>
      </c>
      <c r="W67" s="206">
        <v>8</v>
      </c>
      <c r="X67" s="206">
        <v>6</v>
      </c>
      <c r="Y67" s="206">
        <v>4</v>
      </c>
      <c r="Z67" s="206">
        <v>4</v>
      </c>
      <c r="AA67" s="206">
        <v>2</v>
      </c>
      <c r="AB67" s="206">
        <v>3</v>
      </c>
      <c r="AC67" s="206">
        <v>3</v>
      </c>
      <c r="AD67" s="206">
        <v>6</v>
      </c>
      <c r="AE67" s="206">
        <v>0</v>
      </c>
      <c r="AF67" s="206">
        <v>0</v>
      </c>
      <c r="AG67" s="206">
        <v>9</v>
      </c>
      <c r="AH67" s="2">
        <f t="shared" si="0"/>
        <v>2</v>
      </c>
      <c r="AI67" s="2">
        <f t="shared" si="1"/>
        <v>0</v>
      </c>
      <c r="AJ67" s="2">
        <f t="shared" si="2"/>
        <v>2</v>
      </c>
    </row>
    <row r="68" spans="2:36" x14ac:dyDescent="0.2">
      <c r="B68" s="102"/>
      <c r="C68" s="103">
        <v>65</v>
      </c>
      <c r="D68" s="205">
        <v>6459581.25950169</v>
      </c>
      <c r="E68" s="205">
        <v>3620051.9604990436</v>
      </c>
      <c r="F68" s="205">
        <v>0</v>
      </c>
      <c r="G68" s="205">
        <v>0</v>
      </c>
      <c r="H68" s="205">
        <v>859504.19558440044</v>
      </c>
      <c r="I68" s="206">
        <v>-1</v>
      </c>
      <c r="J68" s="206">
        <v>4</v>
      </c>
      <c r="K68" s="206">
        <v>7</v>
      </c>
      <c r="L68" s="206">
        <v>7</v>
      </c>
      <c r="M68" s="206">
        <v>5</v>
      </c>
      <c r="N68" s="206">
        <v>3</v>
      </c>
      <c r="O68" s="206">
        <v>9</v>
      </c>
      <c r="P68" s="206">
        <v>6</v>
      </c>
      <c r="Q68" s="206">
        <v>6</v>
      </c>
      <c r="R68" s="206">
        <v>-1</v>
      </c>
      <c r="S68" s="206">
        <v>9</v>
      </c>
      <c r="T68" s="206">
        <v>0</v>
      </c>
      <c r="U68" s="206">
        <v>8</v>
      </c>
      <c r="V68" s="206">
        <v>6</v>
      </c>
      <c r="W68" s="206">
        <v>8</v>
      </c>
      <c r="X68" s="206">
        <v>6</v>
      </c>
      <c r="Y68" s="206">
        <v>4</v>
      </c>
      <c r="Z68" s="206">
        <v>0</v>
      </c>
      <c r="AA68" s="206">
        <v>2</v>
      </c>
      <c r="AB68" s="206">
        <v>0</v>
      </c>
      <c r="AC68" s="206">
        <v>3</v>
      </c>
      <c r="AD68" s="206">
        <v>6</v>
      </c>
      <c r="AE68" s="206">
        <v>0</v>
      </c>
      <c r="AF68" s="206">
        <v>0</v>
      </c>
      <c r="AG68" s="206">
        <v>9</v>
      </c>
      <c r="AH68" s="2">
        <f t="shared" ref="AH68:AH131" si="3">FREQUENCY(I68:AG68,-1)</f>
        <v>2</v>
      </c>
      <c r="AI68" s="2">
        <f t="shared" si="1"/>
        <v>0</v>
      </c>
      <c r="AJ68" s="2">
        <f t="shared" si="2"/>
        <v>2</v>
      </c>
    </row>
    <row r="69" spans="2:36" x14ac:dyDescent="0.2">
      <c r="B69" s="102"/>
      <c r="C69" s="103">
        <v>66</v>
      </c>
      <c r="D69" s="205">
        <v>3370300.7396971844</v>
      </c>
      <c r="E69" s="205">
        <v>1892634.1755000213</v>
      </c>
      <c r="F69" s="205">
        <v>0</v>
      </c>
      <c r="G69" s="205">
        <v>0</v>
      </c>
      <c r="H69" s="205">
        <v>701815.05084755842</v>
      </c>
      <c r="I69" s="206">
        <v>-1</v>
      </c>
      <c r="J69" s="206">
        <v>4</v>
      </c>
      <c r="K69" s="206">
        <v>7</v>
      </c>
      <c r="L69" s="206">
        <v>7</v>
      </c>
      <c r="M69" s="206">
        <v>0</v>
      </c>
      <c r="N69" s="206">
        <v>3</v>
      </c>
      <c r="O69" s="206">
        <v>0</v>
      </c>
      <c r="P69" s="206">
        <v>0</v>
      </c>
      <c r="Q69" s="206">
        <v>6</v>
      </c>
      <c r="R69" s="206">
        <v>-1</v>
      </c>
      <c r="S69" s="206">
        <v>9</v>
      </c>
      <c r="T69" s="206">
        <v>5</v>
      </c>
      <c r="U69" s="206">
        <v>8</v>
      </c>
      <c r="V69" s="206">
        <v>6</v>
      </c>
      <c r="W69" s="206">
        <v>0</v>
      </c>
      <c r="X69" s="206">
        <v>0</v>
      </c>
      <c r="Y69" s="206">
        <v>4</v>
      </c>
      <c r="Z69" s="206">
        <v>0</v>
      </c>
      <c r="AA69" s="206">
        <v>2</v>
      </c>
      <c r="AB69" s="206">
        <v>0</v>
      </c>
      <c r="AC69" s="206">
        <v>3</v>
      </c>
      <c r="AD69" s="206">
        <v>6</v>
      </c>
      <c r="AE69" s="206">
        <v>10</v>
      </c>
      <c r="AF69" s="206">
        <v>4</v>
      </c>
      <c r="AG69" s="206">
        <v>9</v>
      </c>
      <c r="AH69" s="2">
        <f t="shared" si="3"/>
        <v>2</v>
      </c>
      <c r="AI69" s="2">
        <f t="shared" ref="AI69:AI132" si="4">COUNTBLANK(I69:AG69)</f>
        <v>0</v>
      </c>
      <c r="AJ69" s="2">
        <f t="shared" ref="AJ69:AJ132" si="5">SUM(AH69:AI69)</f>
        <v>2</v>
      </c>
    </row>
    <row r="70" spans="2:36" x14ac:dyDescent="0.2">
      <c r="B70" s="102"/>
      <c r="C70" s="103">
        <v>67</v>
      </c>
      <c r="D70" s="205">
        <v>2987465.9956924189</v>
      </c>
      <c r="E70" s="205">
        <v>1653956.6858720239</v>
      </c>
      <c r="F70" s="205">
        <v>0</v>
      </c>
      <c r="G70" s="205">
        <v>0</v>
      </c>
      <c r="H70" s="205">
        <v>482452.30574951932</v>
      </c>
      <c r="I70" s="206">
        <v>-1</v>
      </c>
      <c r="J70" s="206">
        <v>4</v>
      </c>
      <c r="K70" s="206">
        <v>0</v>
      </c>
      <c r="L70" s="206">
        <v>7</v>
      </c>
      <c r="M70" s="206">
        <v>0</v>
      </c>
      <c r="N70" s="206">
        <v>3</v>
      </c>
      <c r="O70" s="206">
        <v>10</v>
      </c>
      <c r="P70" s="206">
        <v>0</v>
      </c>
      <c r="Q70" s="206">
        <v>6</v>
      </c>
      <c r="R70" s="206">
        <v>-1</v>
      </c>
      <c r="S70" s="206">
        <v>9</v>
      </c>
      <c r="T70" s="206">
        <v>0</v>
      </c>
      <c r="U70" s="206">
        <v>8</v>
      </c>
      <c r="V70" s="206">
        <v>6</v>
      </c>
      <c r="W70" s="206">
        <v>0</v>
      </c>
      <c r="X70" s="206">
        <v>7</v>
      </c>
      <c r="Y70" s="206">
        <v>4</v>
      </c>
      <c r="Z70" s="206">
        <v>5</v>
      </c>
      <c r="AA70" s="206">
        <v>2</v>
      </c>
      <c r="AB70" s="206">
        <v>4</v>
      </c>
      <c r="AC70" s="206">
        <v>3</v>
      </c>
      <c r="AD70" s="206">
        <v>6</v>
      </c>
      <c r="AE70" s="206">
        <v>10</v>
      </c>
      <c r="AF70" s="206">
        <v>4</v>
      </c>
      <c r="AG70" s="206">
        <v>9</v>
      </c>
      <c r="AH70" s="2">
        <f t="shared" si="3"/>
        <v>2</v>
      </c>
      <c r="AI70" s="2">
        <f t="shared" si="4"/>
        <v>0</v>
      </c>
      <c r="AJ70" s="2">
        <f t="shared" si="5"/>
        <v>2</v>
      </c>
    </row>
    <row r="71" spans="2:36" x14ac:dyDescent="0.2">
      <c r="B71" s="102"/>
      <c r="C71" s="103">
        <v>68</v>
      </c>
      <c r="D71" s="205">
        <v>5389664.4509896422</v>
      </c>
      <c r="E71" s="205">
        <v>3015394.610148008</v>
      </c>
      <c r="F71" s="205">
        <v>0</v>
      </c>
      <c r="G71" s="205">
        <v>0</v>
      </c>
      <c r="H71" s="205">
        <v>660148.38418089179</v>
      </c>
      <c r="I71" s="206">
        <v>-1</v>
      </c>
      <c r="J71" s="206">
        <v>4</v>
      </c>
      <c r="K71" s="206">
        <v>8</v>
      </c>
      <c r="L71" s="206">
        <v>7</v>
      </c>
      <c r="M71" s="206">
        <v>6</v>
      </c>
      <c r="N71" s="206">
        <v>3</v>
      </c>
      <c r="O71" s="206">
        <v>10</v>
      </c>
      <c r="P71" s="206">
        <v>7</v>
      </c>
      <c r="Q71" s="206">
        <v>0</v>
      </c>
      <c r="R71" s="206">
        <v>-1</v>
      </c>
      <c r="S71" s="206">
        <v>9</v>
      </c>
      <c r="T71" s="206">
        <v>0</v>
      </c>
      <c r="U71" s="206">
        <v>0</v>
      </c>
      <c r="V71" s="206">
        <v>6</v>
      </c>
      <c r="W71" s="206">
        <v>9</v>
      </c>
      <c r="X71" s="206">
        <v>7</v>
      </c>
      <c r="Y71" s="206">
        <v>4</v>
      </c>
      <c r="Z71" s="206">
        <v>5</v>
      </c>
      <c r="AA71" s="206">
        <v>0</v>
      </c>
      <c r="AB71" s="206">
        <v>4</v>
      </c>
      <c r="AC71" s="206">
        <v>3</v>
      </c>
      <c r="AD71" s="206">
        <v>6</v>
      </c>
      <c r="AE71" s="206">
        <v>10</v>
      </c>
      <c r="AF71" s="206">
        <v>4</v>
      </c>
      <c r="AG71" s="206">
        <v>9</v>
      </c>
      <c r="AH71" s="2">
        <f t="shared" si="3"/>
        <v>2</v>
      </c>
      <c r="AI71" s="2">
        <f t="shared" si="4"/>
        <v>0</v>
      </c>
      <c r="AJ71" s="2">
        <f t="shared" si="5"/>
        <v>2</v>
      </c>
    </row>
    <row r="72" spans="2:36" x14ac:dyDescent="0.2">
      <c r="B72" s="102"/>
      <c r="C72" s="103">
        <v>69</v>
      </c>
      <c r="D72" s="205">
        <v>5140548.6095982864</v>
      </c>
      <c r="E72" s="205">
        <v>2858984.1536636627</v>
      </c>
      <c r="F72" s="205">
        <v>0</v>
      </c>
      <c r="G72" s="205">
        <v>0</v>
      </c>
      <c r="H72" s="205">
        <v>660148.38418089179</v>
      </c>
      <c r="I72" s="206">
        <v>-1</v>
      </c>
      <c r="J72" s="206">
        <v>4</v>
      </c>
      <c r="K72" s="206">
        <v>8</v>
      </c>
      <c r="L72" s="206">
        <v>0</v>
      </c>
      <c r="M72" s="206">
        <v>6</v>
      </c>
      <c r="N72" s="206">
        <v>3</v>
      </c>
      <c r="O72" s="206">
        <v>10</v>
      </c>
      <c r="P72" s="206">
        <v>7</v>
      </c>
      <c r="Q72" s="206">
        <v>0</v>
      </c>
      <c r="R72" s="206">
        <v>-1</v>
      </c>
      <c r="S72" s="206">
        <v>9</v>
      </c>
      <c r="T72" s="206">
        <v>6</v>
      </c>
      <c r="U72" s="206">
        <v>0</v>
      </c>
      <c r="V72" s="206">
        <v>6</v>
      </c>
      <c r="W72" s="206">
        <v>9</v>
      </c>
      <c r="X72" s="206">
        <v>7</v>
      </c>
      <c r="Y72" s="206">
        <v>4</v>
      </c>
      <c r="Z72" s="206">
        <v>5</v>
      </c>
      <c r="AA72" s="206">
        <v>0</v>
      </c>
      <c r="AB72" s="206">
        <v>4</v>
      </c>
      <c r="AC72" s="206">
        <v>3</v>
      </c>
      <c r="AD72" s="206">
        <v>6</v>
      </c>
      <c r="AE72" s="206">
        <v>10</v>
      </c>
      <c r="AF72" s="206">
        <v>4</v>
      </c>
      <c r="AG72" s="206">
        <v>9</v>
      </c>
      <c r="AH72" s="2">
        <f t="shared" si="3"/>
        <v>2</v>
      </c>
      <c r="AI72" s="2">
        <f t="shared" si="4"/>
        <v>0</v>
      </c>
      <c r="AJ72" s="2">
        <f t="shared" si="5"/>
        <v>2</v>
      </c>
    </row>
    <row r="73" spans="2:36" x14ac:dyDescent="0.2">
      <c r="B73" s="102"/>
      <c r="C73" s="103">
        <v>70</v>
      </c>
      <c r="D73" s="205">
        <v>4203057.4844693467</v>
      </c>
      <c r="E73" s="205">
        <v>2366205.1912142565</v>
      </c>
      <c r="F73" s="205">
        <v>0</v>
      </c>
      <c r="G73" s="205">
        <v>0</v>
      </c>
      <c r="H73" s="205">
        <v>743481.71751422505</v>
      </c>
      <c r="I73" s="206">
        <v>-1</v>
      </c>
      <c r="J73" s="206">
        <v>4</v>
      </c>
      <c r="K73" s="206">
        <v>8</v>
      </c>
      <c r="L73" s="206">
        <v>0</v>
      </c>
      <c r="M73" s="206">
        <v>6</v>
      </c>
      <c r="N73" s="206">
        <v>0</v>
      </c>
      <c r="O73" s="206">
        <v>10</v>
      </c>
      <c r="P73" s="206">
        <v>7</v>
      </c>
      <c r="Q73" s="206">
        <v>0</v>
      </c>
      <c r="R73" s="206">
        <v>-1</v>
      </c>
      <c r="S73" s="206">
        <v>9</v>
      </c>
      <c r="T73" s="206">
        <v>6</v>
      </c>
      <c r="U73" s="206">
        <v>0</v>
      </c>
      <c r="V73" s="206">
        <v>6</v>
      </c>
      <c r="W73" s="206">
        <v>9</v>
      </c>
      <c r="X73" s="206">
        <v>7</v>
      </c>
      <c r="Y73" s="206">
        <v>4</v>
      </c>
      <c r="Z73" s="206">
        <v>5</v>
      </c>
      <c r="AA73" s="206">
        <v>3</v>
      </c>
      <c r="AB73" s="206">
        <v>4</v>
      </c>
      <c r="AC73" s="206">
        <v>0</v>
      </c>
      <c r="AD73" s="206">
        <v>6</v>
      </c>
      <c r="AE73" s="206">
        <v>10</v>
      </c>
      <c r="AF73" s="206">
        <v>4</v>
      </c>
      <c r="AG73" s="206">
        <v>9</v>
      </c>
      <c r="AH73" s="2">
        <f t="shared" si="3"/>
        <v>2</v>
      </c>
      <c r="AI73" s="2">
        <f t="shared" si="4"/>
        <v>0</v>
      </c>
      <c r="AJ73" s="2">
        <f t="shared" si="5"/>
        <v>2</v>
      </c>
    </row>
    <row r="74" spans="2:36" x14ac:dyDescent="0.2">
      <c r="B74" s="102"/>
      <c r="C74" s="103">
        <v>71</v>
      </c>
      <c r="D74" s="205">
        <v>4872235.9304156378</v>
      </c>
      <c r="E74" s="205">
        <v>2707585.7630045181</v>
      </c>
      <c r="F74" s="205">
        <v>0</v>
      </c>
      <c r="G74" s="205">
        <v>0</v>
      </c>
      <c r="H74" s="205">
        <v>743481.71751422505</v>
      </c>
      <c r="I74" s="206">
        <v>-1</v>
      </c>
      <c r="J74" s="206">
        <v>4</v>
      </c>
      <c r="K74" s="206">
        <v>8</v>
      </c>
      <c r="L74" s="206">
        <v>8</v>
      </c>
      <c r="M74" s="206">
        <v>6</v>
      </c>
      <c r="N74" s="206">
        <v>0</v>
      </c>
      <c r="O74" s="206">
        <v>10</v>
      </c>
      <c r="P74" s="206">
        <v>7</v>
      </c>
      <c r="Q74" s="206">
        <v>7</v>
      </c>
      <c r="R74" s="206">
        <v>-1</v>
      </c>
      <c r="S74" s="206">
        <v>0</v>
      </c>
      <c r="T74" s="206">
        <v>6</v>
      </c>
      <c r="U74" s="206">
        <v>9</v>
      </c>
      <c r="V74" s="206">
        <v>6</v>
      </c>
      <c r="W74" s="206">
        <v>9</v>
      </c>
      <c r="X74" s="206">
        <v>7</v>
      </c>
      <c r="Y74" s="206">
        <v>4</v>
      </c>
      <c r="Z74" s="206">
        <v>5</v>
      </c>
      <c r="AA74" s="206">
        <v>0</v>
      </c>
      <c r="AB74" s="206">
        <v>4</v>
      </c>
      <c r="AC74" s="206">
        <v>0</v>
      </c>
      <c r="AD74" s="206">
        <v>6</v>
      </c>
      <c r="AE74" s="206">
        <v>10</v>
      </c>
      <c r="AF74" s="206">
        <v>4</v>
      </c>
      <c r="AG74" s="206">
        <v>9</v>
      </c>
      <c r="AH74" s="2">
        <f t="shared" si="3"/>
        <v>2</v>
      </c>
      <c r="AI74" s="2">
        <f t="shared" si="4"/>
        <v>0</v>
      </c>
      <c r="AJ74" s="2">
        <f t="shared" si="5"/>
        <v>2</v>
      </c>
    </row>
    <row r="75" spans="2:36" x14ac:dyDescent="0.2">
      <c r="B75" s="102"/>
      <c r="C75" s="103">
        <v>72</v>
      </c>
      <c r="D75" s="205">
        <v>7313026.6082746629</v>
      </c>
      <c r="E75" s="205">
        <v>4080261.5306005087</v>
      </c>
      <c r="F75" s="205">
        <v>0</v>
      </c>
      <c r="G75" s="205">
        <v>9116050.2889014576</v>
      </c>
      <c r="H75" s="205">
        <v>863884.53746474232</v>
      </c>
      <c r="I75" s="206">
        <v>-1</v>
      </c>
      <c r="J75" s="206">
        <v>-1</v>
      </c>
      <c r="K75" s="206">
        <v>8</v>
      </c>
      <c r="L75" s="206">
        <v>8</v>
      </c>
      <c r="M75" s="206">
        <v>6</v>
      </c>
      <c r="N75" s="206">
        <v>4</v>
      </c>
      <c r="O75" s="206">
        <v>10</v>
      </c>
      <c r="P75" s="206">
        <v>7</v>
      </c>
      <c r="Q75" s="206">
        <v>7</v>
      </c>
      <c r="R75" s="206">
        <v>-1</v>
      </c>
      <c r="S75" s="206">
        <v>0</v>
      </c>
      <c r="T75" s="206">
        <v>6</v>
      </c>
      <c r="U75" s="206">
        <v>9</v>
      </c>
      <c r="V75" s="206">
        <v>6</v>
      </c>
      <c r="W75" s="206">
        <v>9</v>
      </c>
      <c r="X75" s="206">
        <v>7</v>
      </c>
      <c r="Y75" s="206">
        <v>4</v>
      </c>
      <c r="Z75" s="206">
        <v>5</v>
      </c>
      <c r="AA75" s="206">
        <v>4</v>
      </c>
      <c r="AB75" s="206">
        <v>4</v>
      </c>
      <c r="AC75" s="206">
        <v>0</v>
      </c>
      <c r="AD75" s="206">
        <v>6</v>
      </c>
      <c r="AE75" s="206">
        <v>10</v>
      </c>
      <c r="AF75" s="206">
        <v>0</v>
      </c>
      <c r="AG75" s="206">
        <v>0</v>
      </c>
      <c r="AH75" s="2">
        <f t="shared" si="3"/>
        <v>3</v>
      </c>
      <c r="AI75" s="2">
        <f t="shared" si="4"/>
        <v>0</v>
      </c>
      <c r="AJ75" s="2">
        <f t="shared" si="5"/>
        <v>3</v>
      </c>
    </row>
    <row r="76" spans="2:36" x14ac:dyDescent="0.2">
      <c r="B76" s="102"/>
      <c r="C76" s="103">
        <v>73</v>
      </c>
      <c r="D76" s="205">
        <v>8178463.127867979</v>
      </c>
      <c r="E76" s="205">
        <v>4595968.5098009072</v>
      </c>
      <c r="F76" s="205">
        <v>0</v>
      </c>
      <c r="G76" s="205">
        <v>0</v>
      </c>
      <c r="H76" s="205">
        <v>863884.53746474232</v>
      </c>
      <c r="I76" s="206">
        <v>-1</v>
      </c>
      <c r="J76" s="206">
        <v>-1</v>
      </c>
      <c r="K76" s="206">
        <v>0</v>
      </c>
      <c r="L76" s="206">
        <v>8</v>
      </c>
      <c r="M76" s="206">
        <v>6</v>
      </c>
      <c r="N76" s="206">
        <v>4</v>
      </c>
      <c r="O76" s="206">
        <v>0</v>
      </c>
      <c r="P76" s="206">
        <v>7</v>
      </c>
      <c r="Q76" s="206">
        <v>7</v>
      </c>
      <c r="R76" s="206">
        <v>-1</v>
      </c>
      <c r="S76" s="206">
        <v>10</v>
      </c>
      <c r="T76" s="206">
        <v>6</v>
      </c>
      <c r="U76" s="206">
        <v>9</v>
      </c>
      <c r="V76" s="206">
        <v>6</v>
      </c>
      <c r="W76" s="206">
        <v>9</v>
      </c>
      <c r="X76" s="206">
        <v>7</v>
      </c>
      <c r="Y76" s="206">
        <v>4</v>
      </c>
      <c r="Z76" s="206">
        <v>5</v>
      </c>
      <c r="AA76" s="206">
        <v>4</v>
      </c>
      <c r="AB76" s="206">
        <v>4</v>
      </c>
      <c r="AC76" s="206">
        <v>4</v>
      </c>
      <c r="AD76" s="206">
        <v>6</v>
      </c>
      <c r="AE76" s="206">
        <v>10</v>
      </c>
      <c r="AF76" s="206">
        <v>5</v>
      </c>
      <c r="AG76" s="206">
        <v>0</v>
      </c>
      <c r="AH76" s="2">
        <f t="shared" si="3"/>
        <v>3</v>
      </c>
      <c r="AI76" s="2">
        <f t="shared" si="4"/>
        <v>0</v>
      </c>
      <c r="AJ76" s="2">
        <f t="shared" si="5"/>
        <v>3</v>
      </c>
    </row>
    <row r="77" spans="2:36" x14ac:dyDescent="0.2">
      <c r="B77" s="102"/>
      <c r="C77" s="103">
        <v>74</v>
      </c>
      <c r="D77" s="205">
        <v>4394238.7269537719</v>
      </c>
      <c r="E77" s="205">
        <v>2468954.2101805848</v>
      </c>
      <c r="F77" s="205">
        <v>0</v>
      </c>
      <c r="G77" s="205">
        <v>0</v>
      </c>
      <c r="H77" s="205">
        <v>746259.4952920028</v>
      </c>
      <c r="I77" s="206">
        <v>-1</v>
      </c>
      <c r="J77" s="206">
        <v>-1</v>
      </c>
      <c r="K77" s="206">
        <v>0</v>
      </c>
      <c r="L77" s="206">
        <v>8</v>
      </c>
      <c r="M77" s="206">
        <v>6</v>
      </c>
      <c r="N77" s="206">
        <v>0</v>
      </c>
      <c r="O77" s="206">
        <v>0</v>
      </c>
      <c r="P77" s="206">
        <v>0</v>
      </c>
      <c r="Q77" s="206">
        <v>7</v>
      </c>
      <c r="R77" s="206">
        <v>-1</v>
      </c>
      <c r="S77" s="206">
        <v>10</v>
      </c>
      <c r="T77" s="206">
        <v>0</v>
      </c>
      <c r="U77" s="206">
        <v>9</v>
      </c>
      <c r="V77" s="206">
        <v>6</v>
      </c>
      <c r="W77" s="206">
        <v>0</v>
      </c>
      <c r="X77" s="206">
        <v>7</v>
      </c>
      <c r="Y77" s="206">
        <v>4</v>
      </c>
      <c r="Z77" s="206">
        <v>5</v>
      </c>
      <c r="AA77" s="206">
        <v>4</v>
      </c>
      <c r="AB77" s="206">
        <v>4</v>
      </c>
      <c r="AC77" s="206">
        <v>4</v>
      </c>
      <c r="AD77" s="206">
        <v>0</v>
      </c>
      <c r="AE77" s="206">
        <v>10</v>
      </c>
      <c r="AF77" s="206">
        <v>5</v>
      </c>
      <c r="AG77" s="206">
        <v>10</v>
      </c>
      <c r="AH77" s="2">
        <f t="shared" si="3"/>
        <v>3</v>
      </c>
      <c r="AI77" s="2">
        <f t="shared" si="4"/>
        <v>0</v>
      </c>
      <c r="AJ77" s="2">
        <f t="shared" si="5"/>
        <v>3</v>
      </c>
    </row>
    <row r="78" spans="2:36" x14ac:dyDescent="0.2">
      <c r="B78" s="102"/>
      <c r="C78" s="103">
        <v>75</v>
      </c>
      <c r="D78" s="205">
        <v>4831516.525258746</v>
      </c>
      <c r="E78" s="205">
        <v>2707918.0350868152</v>
      </c>
      <c r="F78" s="205">
        <v>0</v>
      </c>
      <c r="G78" s="205">
        <v>0</v>
      </c>
      <c r="H78" s="205">
        <v>746259.4952920028</v>
      </c>
      <c r="I78" s="206">
        <v>-1</v>
      </c>
      <c r="J78" s="206">
        <v>-1</v>
      </c>
      <c r="K78" s="206">
        <v>9</v>
      </c>
      <c r="L78" s="206">
        <v>8</v>
      </c>
      <c r="M78" s="206">
        <v>6</v>
      </c>
      <c r="N78" s="206">
        <v>5</v>
      </c>
      <c r="O78" s="206">
        <v>11</v>
      </c>
      <c r="P78" s="206">
        <v>0</v>
      </c>
      <c r="Q78" s="206">
        <v>7</v>
      </c>
      <c r="R78" s="206">
        <v>-1</v>
      </c>
      <c r="S78" s="206">
        <v>10</v>
      </c>
      <c r="T78" s="206">
        <v>0</v>
      </c>
      <c r="U78" s="206">
        <v>9</v>
      </c>
      <c r="V78" s="206">
        <v>6</v>
      </c>
      <c r="W78" s="206">
        <v>0</v>
      </c>
      <c r="X78" s="206">
        <v>7</v>
      </c>
      <c r="Y78" s="206">
        <v>0</v>
      </c>
      <c r="Z78" s="206">
        <v>0</v>
      </c>
      <c r="AA78" s="206">
        <v>4</v>
      </c>
      <c r="AB78" s="206">
        <v>4</v>
      </c>
      <c r="AC78" s="206">
        <v>4</v>
      </c>
      <c r="AD78" s="206">
        <v>0</v>
      </c>
      <c r="AE78" s="206">
        <v>10</v>
      </c>
      <c r="AF78" s="206">
        <v>5</v>
      </c>
      <c r="AG78" s="206">
        <v>10</v>
      </c>
      <c r="AH78" s="2">
        <f t="shared" si="3"/>
        <v>3</v>
      </c>
      <c r="AI78" s="2">
        <f t="shared" si="4"/>
        <v>0</v>
      </c>
      <c r="AJ78" s="2">
        <f t="shared" si="5"/>
        <v>3</v>
      </c>
    </row>
    <row r="79" spans="2:36" x14ac:dyDescent="0.2">
      <c r="B79" s="102"/>
      <c r="C79" s="103">
        <v>76</v>
      </c>
      <c r="D79" s="205">
        <v>5062323.2903916193</v>
      </c>
      <c r="E79" s="205">
        <v>2844502.2357532126</v>
      </c>
      <c r="F79" s="205">
        <v>0</v>
      </c>
      <c r="G79" s="205">
        <v>0</v>
      </c>
      <c r="H79" s="205">
        <v>780250.72336217819</v>
      </c>
      <c r="I79" s="206">
        <v>-1</v>
      </c>
      <c r="J79" s="206">
        <v>-1</v>
      </c>
      <c r="K79" s="206">
        <v>9</v>
      </c>
      <c r="L79" s="206">
        <v>8</v>
      </c>
      <c r="M79" s="206">
        <v>0</v>
      </c>
      <c r="N79" s="206">
        <v>0</v>
      </c>
      <c r="O79" s="206">
        <v>11</v>
      </c>
      <c r="P79" s="206">
        <v>8</v>
      </c>
      <c r="Q79" s="206">
        <v>7</v>
      </c>
      <c r="R79" s="206">
        <v>-1</v>
      </c>
      <c r="S79" s="206">
        <v>10</v>
      </c>
      <c r="T79" s="206">
        <v>0</v>
      </c>
      <c r="U79" s="206">
        <v>9</v>
      </c>
      <c r="V79" s="206">
        <v>0</v>
      </c>
      <c r="W79" s="206">
        <v>10</v>
      </c>
      <c r="X79" s="206">
        <v>7</v>
      </c>
      <c r="Y79" s="206">
        <v>5</v>
      </c>
      <c r="Z79" s="206">
        <v>0</v>
      </c>
      <c r="AA79" s="206">
        <v>0</v>
      </c>
      <c r="AB79" s="206">
        <v>4</v>
      </c>
      <c r="AC79" s="206">
        <v>4</v>
      </c>
      <c r="AD79" s="206">
        <v>7</v>
      </c>
      <c r="AE79" s="206">
        <v>0</v>
      </c>
      <c r="AF79" s="206">
        <v>5</v>
      </c>
      <c r="AG79" s="206">
        <v>10</v>
      </c>
      <c r="AH79" s="2">
        <f t="shared" si="3"/>
        <v>3</v>
      </c>
      <c r="AI79" s="2">
        <f t="shared" si="4"/>
        <v>0</v>
      </c>
      <c r="AJ79" s="2">
        <f t="shared" si="5"/>
        <v>3</v>
      </c>
    </row>
    <row r="80" spans="2:36" x14ac:dyDescent="0.2">
      <c r="B80" s="102"/>
      <c r="C80" s="103">
        <v>77</v>
      </c>
      <c r="D80" s="205">
        <v>6020574.0764964595</v>
      </c>
      <c r="E80" s="205">
        <v>3392839.8920066552</v>
      </c>
      <c r="F80" s="205">
        <v>0</v>
      </c>
      <c r="G80" s="205">
        <v>0</v>
      </c>
      <c r="H80" s="205">
        <v>820615.30669551156</v>
      </c>
      <c r="I80" s="206">
        <v>-1</v>
      </c>
      <c r="J80" s="206">
        <v>-1</v>
      </c>
      <c r="K80" s="206">
        <v>9</v>
      </c>
      <c r="L80" s="206">
        <v>0</v>
      </c>
      <c r="M80" s="206">
        <v>0</v>
      </c>
      <c r="N80" s="206">
        <v>6</v>
      </c>
      <c r="O80" s="206">
        <v>11</v>
      </c>
      <c r="P80" s="206">
        <v>8</v>
      </c>
      <c r="Q80" s="206">
        <v>7</v>
      </c>
      <c r="R80" s="206">
        <v>-1</v>
      </c>
      <c r="S80" s="206">
        <v>10</v>
      </c>
      <c r="T80" s="206">
        <v>7</v>
      </c>
      <c r="U80" s="206">
        <v>9</v>
      </c>
      <c r="V80" s="206">
        <v>0</v>
      </c>
      <c r="W80" s="206">
        <v>10</v>
      </c>
      <c r="X80" s="206">
        <v>7</v>
      </c>
      <c r="Y80" s="206">
        <v>5</v>
      </c>
      <c r="Z80" s="206">
        <v>0</v>
      </c>
      <c r="AA80" s="206">
        <v>0</v>
      </c>
      <c r="AB80" s="206">
        <v>4</v>
      </c>
      <c r="AC80" s="206">
        <v>4</v>
      </c>
      <c r="AD80" s="206">
        <v>7</v>
      </c>
      <c r="AE80" s="206">
        <v>0</v>
      </c>
      <c r="AF80" s="206">
        <v>0</v>
      </c>
      <c r="AG80" s="206">
        <v>10</v>
      </c>
      <c r="AH80" s="2">
        <f t="shared" si="3"/>
        <v>3</v>
      </c>
      <c r="AI80" s="2">
        <f t="shared" si="4"/>
        <v>0</v>
      </c>
      <c r="AJ80" s="2">
        <f t="shared" si="5"/>
        <v>3</v>
      </c>
    </row>
    <row r="81" spans="2:36" x14ac:dyDescent="0.2">
      <c r="B81" s="102"/>
      <c r="C81" s="103">
        <v>78</v>
      </c>
      <c r="D81" s="205">
        <v>5722810.3636581982</v>
      </c>
      <c r="E81" s="205">
        <v>3213073.8773854678</v>
      </c>
      <c r="F81" s="205">
        <v>0</v>
      </c>
      <c r="G81" s="205">
        <v>0</v>
      </c>
      <c r="H81" s="205">
        <v>820615.30669551156</v>
      </c>
      <c r="I81" s="206">
        <v>-1</v>
      </c>
      <c r="J81" s="206">
        <v>-1</v>
      </c>
      <c r="K81" s="206">
        <v>9</v>
      </c>
      <c r="L81" s="206">
        <v>9</v>
      </c>
      <c r="M81" s="206">
        <v>7</v>
      </c>
      <c r="N81" s="206">
        <v>0</v>
      </c>
      <c r="O81" s="206">
        <v>11</v>
      </c>
      <c r="P81" s="206">
        <v>8</v>
      </c>
      <c r="Q81" s="206">
        <v>7</v>
      </c>
      <c r="R81" s="206">
        <v>-1</v>
      </c>
      <c r="S81" s="206">
        <v>0</v>
      </c>
      <c r="T81" s="206">
        <v>7</v>
      </c>
      <c r="U81" s="206">
        <v>0</v>
      </c>
      <c r="V81" s="206">
        <v>7</v>
      </c>
      <c r="W81" s="206">
        <v>10</v>
      </c>
      <c r="X81" s="206">
        <v>7</v>
      </c>
      <c r="Y81" s="206">
        <v>5</v>
      </c>
      <c r="Z81" s="206">
        <v>6</v>
      </c>
      <c r="AA81" s="206">
        <v>5</v>
      </c>
      <c r="AB81" s="206">
        <v>4</v>
      </c>
      <c r="AC81" s="206">
        <v>4</v>
      </c>
      <c r="AD81" s="206">
        <v>0</v>
      </c>
      <c r="AE81" s="206">
        <v>11</v>
      </c>
      <c r="AF81" s="206">
        <v>0</v>
      </c>
      <c r="AG81" s="206">
        <v>10</v>
      </c>
      <c r="AH81" s="2">
        <f t="shared" si="3"/>
        <v>3</v>
      </c>
      <c r="AI81" s="2">
        <f t="shared" si="4"/>
        <v>0</v>
      </c>
      <c r="AJ81" s="2">
        <f t="shared" si="5"/>
        <v>3</v>
      </c>
    </row>
    <row r="82" spans="2:36" x14ac:dyDescent="0.2">
      <c r="B82" s="102"/>
      <c r="C82" s="103">
        <v>79</v>
      </c>
      <c r="D82" s="205">
        <v>4118356.3494322519</v>
      </c>
      <c r="E82" s="205">
        <v>2271612.8969067247</v>
      </c>
      <c r="F82" s="205">
        <v>0</v>
      </c>
      <c r="G82" s="205">
        <v>0</v>
      </c>
      <c r="H82" s="205">
        <v>746259.4952920028</v>
      </c>
      <c r="I82" s="206">
        <v>-1</v>
      </c>
      <c r="J82" s="206">
        <v>-1</v>
      </c>
      <c r="K82" s="206">
        <v>9</v>
      </c>
      <c r="L82" s="206">
        <v>0</v>
      </c>
      <c r="M82" s="206">
        <v>7</v>
      </c>
      <c r="N82" s="206">
        <v>0</v>
      </c>
      <c r="O82" s="206">
        <v>11</v>
      </c>
      <c r="P82" s="206">
        <v>8</v>
      </c>
      <c r="Q82" s="206">
        <v>7</v>
      </c>
      <c r="R82" s="206">
        <v>-1</v>
      </c>
      <c r="S82" s="206">
        <v>0</v>
      </c>
      <c r="T82" s="206">
        <v>7</v>
      </c>
      <c r="U82" s="206">
        <v>0</v>
      </c>
      <c r="V82" s="206">
        <v>7</v>
      </c>
      <c r="W82" s="206">
        <v>0</v>
      </c>
      <c r="X82" s="206">
        <v>0</v>
      </c>
      <c r="Y82" s="206">
        <v>5</v>
      </c>
      <c r="Z82" s="206">
        <v>6</v>
      </c>
      <c r="AA82" s="206">
        <v>5</v>
      </c>
      <c r="AB82" s="206">
        <v>0</v>
      </c>
      <c r="AC82" s="206">
        <v>4</v>
      </c>
      <c r="AD82" s="206">
        <v>0</v>
      </c>
      <c r="AE82" s="206">
        <v>11</v>
      </c>
      <c r="AF82" s="206">
        <v>6</v>
      </c>
      <c r="AG82" s="206">
        <v>10</v>
      </c>
      <c r="AH82" s="2">
        <f t="shared" si="3"/>
        <v>3</v>
      </c>
      <c r="AI82" s="2">
        <f t="shared" si="4"/>
        <v>0</v>
      </c>
      <c r="AJ82" s="2">
        <f t="shared" si="5"/>
        <v>3</v>
      </c>
    </row>
    <row r="83" spans="2:36" x14ac:dyDescent="0.2">
      <c r="B83" s="102"/>
      <c r="C83" s="103">
        <v>80</v>
      </c>
      <c r="D83" s="205">
        <v>4947326.9645983782</v>
      </c>
      <c r="E83" s="205">
        <v>2773023.6359179458</v>
      </c>
      <c r="F83" s="205">
        <v>0</v>
      </c>
      <c r="G83" s="205">
        <v>0</v>
      </c>
      <c r="H83" s="205">
        <v>662926.16195866955</v>
      </c>
      <c r="I83" s="206">
        <v>-1</v>
      </c>
      <c r="J83" s="206">
        <v>-1</v>
      </c>
      <c r="K83" s="206">
        <v>9</v>
      </c>
      <c r="L83" s="206">
        <v>0</v>
      </c>
      <c r="M83" s="206">
        <v>7</v>
      </c>
      <c r="N83" s="206">
        <v>7</v>
      </c>
      <c r="O83" s="206">
        <v>11</v>
      </c>
      <c r="P83" s="206">
        <v>0</v>
      </c>
      <c r="Q83" s="206">
        <v>7</v>
      </c>
      <c r="R83" s="206">
        <v>-1</v>
      </c>
      <c r="S83" s="206">
        <v>11</v>
      </c>
      <c r="T83" s="206">
        <v>7</v>
      </c>
      <c r="U83" s="206">
        <v>10</v>
      </c>
      <c r="V83" s="206">
        <v>7</v>
      </c>
      <c r="W83" s="206">
        <v>0</v>
      </c>
      <c r="X83" s="206">
        <v>0</v>
      </c>
      <c r="Y83" s="206">
        <v>5</v>
      </c>
      <c r="Z83" s="206">
        <v>6</v>
      </c>
      <c r="AA83" s="206">
        <v>5</v>
      </c>
      <c r="AB83" s="206">
        <v>0</v>
      </c>
      <c r="AC83" s="206">
        <v>4</v>
      </c>
      <c r="AD83" s="206">
        <v>8</v>
      </c>
      <c r="AE83" s="206">
        <v>11</v>
      </c>
      <c r="AF83" s="206">
        <v>6</v>
      </c>
      <c r="AG83" s="206">
        <v>10</v>
      </c>
      <c r="AH83" s="2">
        <f t="shared" si="3"/>
        <v>3</v>
      </c>
      <c r="AI83" s="2">
        <f t="shared" si="4"/>
        <v>0</v>
      </c>
      <c r="AJ83" s="2">
        <f t="shared" si="5"/>
        <v>3</v>
      </c>
    </row>
    <row r="84" spans="2:36" x14ac:dyDescent="0.2">
      <c r="B84" s="102"/>
      <c r="C84" s="103">
        <v>81</v>
      </c>
      <c r="D84" s="205">
        <v>3376211.838919119</v>
      </c>
      <c r="E84" s="205">
        <v>1896133.5286204079</v>
      </c>
      <c r="F84" s="205">
        <v>0</v>
      </c>
      <c r="G84" s="205">
        <v>0</v>
      </c>
      <c r="H84" s="205">
        <v>704592.82862533617</v>
      </c>
      <c r="I84" s="206">
        <v>-1</v>
      </c>
      <c r="J84" s="206">
        <v>-1</v>
      </c>
      <c r="K84" s="206">
        <v>0</v>
      </c>
      <c r="L84" s="206">
        <v>10</v>
      </c>
      <c r="M84" s="206">
        <v>7</v>
      </c>
      <c r="N84" s="206">
        <v>7</v>
      </c>
      <c r="O84" s="206">
        <v>11</v>
      </c>
      <c r="P84" s="206">
        <v>0</v>
      </c>
      <c r="Q84" s="206">
        <v>0</v>
      </c>
      <c r="R84" s="206">
        <v>-1</v>
      </c>
      <c r="S84" s="206">
        <v>11</v>
      </c>
      <c r="T84" s="206">
        <v>0</v>
      </c>
      <c r="U84" s="206">
        <v>10</v>
      </c>
      <c r="V84" s="206">
        <v>7</v>
      </c>
      <c r="W84" s="206">
        <v>11</v>
      </c>
      <c r="X84" s="206">
        <v>0</v>
      </c>
      <c r="Y84" s="206">
        <v>5</v>
      </c>
      <c r="Z84" s="206">
        <v>0</v>
      </c>
      <c r="AA84" s="206">
        <v>5</v>
      </c>
      <c r="AB84" s="206">
        <v>0</v>
      </c>
      <c r="AC84" s="206">
        <v>0</v>
      </c>
      <c r="AD84" s="206">
        <v>8</v>
      </c>
      <c r="AE84" s="206">
        <v>11</v>
      </c>
      <c r="AF84" s="206">
        <v>6</v>
      </c>
      <c r="AG84" s="206">
        <v>10</v>
      </c>
      <c r="AH84" s="2">
        <f t="shared" si="3"/>
        <v>3</v>
      </c>
      <c r="AI84" s="2">
        <f t="shared" si="4"/>
        <v>0</v>
      </c>
      <c r="AJ84" s="2">
        <f t="shared" si="5"/>
        <v>3</v>
      </c>
    </row>
    <row r="85" spans="2:36" x14ac:dyDescent="0.2">
      <c r="B85" s="102"/>
      <c r="C85" s="103">
        <v>82</v>
      </c>
      <c r="D85" s="205">
        <v>6056878.1788401157</v>
      </c>
      <c r="E85" s="205">
        <v>3401088.3044139291</v>
      </c>
      <c r="F85" s="205">
        <v>0</v>
      </c>
      <c r="G85" s="205">
        <v>0</v>
      </c>
      <c r="H85" s="205">
        <v>780250.72336217819</v>
      </c>
      <c r="I85" s="206">
        <v>-1</v>
      </c>
      <c r="J85" s="206">
        <v>-1</v>
      </c>
      <c r="K85" s="206">
        <v>0</v>
      </c>
      <c r="L85" s="206">
        <v>10</v>
      </c>
      <c r="M85" s="206">
        <v>7</v>
      </c>
      <c r="N85" s="206">
        <v>7</v>
      </c>
      <c r="O85" s="206">
        <v>11</v>
      </c>
      <c r="P85" s="206">
        <v>9</v>
      </c>
      <c r="Q85" s="206">
        <v>8</v>
      </c>
      <c r="R85" s="206">
        <v>-1</v>
      </c>
      <c r="S85" s="206">
        <v>11</v>
      </c>
      <c r="T85" s="206">
        <v>8</v>
      </c>
      <c r="U85" s="206">
        <v>10</v>
      </c>
      <c r="V85" s="206">
        <v>7</v>
      </c>
      <c r="W85" s="206">
        <v>11</v>
      </c>
      <c r="X85" s="206">
        <v>8</v>
      </c>
      <c r="Y85" s="206">
        <v>5</v>
      </c>
      <c r="Z85" s="206">
        <v>0</v>
      </c>
      <c r="AA85" s="206">
        <v>5</v>
      </c>
      <c r="AB85" s="206">
        <v>5</v>
      </c>
      <c r="AC85" s="206">
        <v>0</v>
      </c>
      <c r="AD85" s="206">
        <v>8</v>
      </c>
      <c r="AE85" s="206">
        <v>0</v>
      </c>
      <c r="AF85" s="206">
        <v>6</v>
      </c>
      <c r="AG85" s="206">
        <v>10</v>
      </c>
      <c r="AH85" s="2">
        <f t="shared" si="3"/>
        <v>3</v>
      </c>
      <c r="AI85" s="2">
        <f t="shared" si="4"/>
        <v>0</v>
      </c>
      <c r="AJ85" s="2">
        <f t="shared" si="5"/>
        <v>3</v>
      </c>
    </row>
    <row r="86" spans="2:36" x14ac:dyDescent="0.2">
      <c r="B86" s="102"/>
      <c r="C86" s="103">
        <v>83</v>
      </c>
      <c r="D86" s="205">
        <v>5826853.157463979</v>
      </c>
      <c r="E86" s="205">
        <v>3345320.7821716936</v>
      </c>
      <c r="F86" s="205">
        <v>0</v>
      </c>
      <c r="G86" s="205">
        <v>0</v>
      </c>
      <c r="H86" s="205">
        <v>820615.30669551156</v>
      </c>
      <c r="I86" s="206">
        <v>-1</v>
      </c>
      <c r="J86" s="206">
        <v>-1</v>
      </c>
      <c r="K86" s="206">
        <v>10</v>
      </c>
      <c r="L86" s="206">
        <v>10</v>
      </c>
      <c r="M86" s="206">
        <v>7</v>
      </c>
      <c r="N86" s="206">
        <v>7</v>
      </c>
      <c r="O86" s="206">
        <v>11</v>
      </c>
      <c r="P86" s="206">
        <v>9</v>
      </c>
      <c r="Q86" s="206">
        <v>0</v>
      </c>
      <c r="R86" s="206">
        <v>-1</v>
      </c>
      <c r="S86" s="206">
        <v>11</v>
      </c>
      <c r="T86" s="206">
        <v>8</v>
      </c>
      <c r="U86" s="206">
        <v>10</v>
      </c>
      <c r="V86" s="206">
        <v>7</v>
      </c>
      <c r="W86" s="206">
        <v>11</v>
      </c>
      <c r="X86" s="206">
        <v>8</v>
      </c>
      <c r="Y86" s="206">
        <v>5</v>
      </c>
      <c r="Z86" s="206">
        <v>7</v>
      </c>
      <c r="AA86" s="206">
        <v>5</v>
      </c>
      <c r="AB86" s="206">
        <v>5</v>
      </c>
      <c r="AC86" s="206">
        <v>5</v>
      </c>
      <c r="AD86" s="206">
        <v>8</v>
      </c>
      <c r="AE86" s="206">
        <v>0</v>
      </c>
      <c r="AF86" s="206">
        <v>0</v>
      </c>
      <c r="AG86" s="206">
        <v>10</v>
      </c>
      <c r="AH86" s="2">
        <f t="shared" si="3"/>
        <v>3</v>
      </c>
      <c r="AI86" s="2">
        <f t="shared" si="4"/>
        <v>0</v>
      </c>
      <c r="AJ86" s="2">
        <f t="shared" si="5"/>
        <v>3</v>
      </c>
    </row>
    <row r="87" spans="2:36" x14ac:dyDescent="0.2">
      <c r="B87" s="102"/>
      <c r="C87" s="103">
        <v>84</v>
      </c>
      <c r="D87" s="205">
        <v>5811356.2075771075</v>
      </c>
      <c r="E87" s="205">
        <v>3205993.8863250613</v>
      </c>
      <c r="F87" s="205">
        <v>0</v>
      </c>
      <c r="G87" s="205">
        <v>0</v>
      </c>
      <c r="H87" s="205">
        <v>863884.53746474232</v>
      </c>
      <c r="I87" s="206">
        <v>-1</v>
      </c>
      <c r="J87" s="206">
        <v>-1</v>
      </c>
      <c r="K87" s="206">
        <v>10</v>
      </c>
      <c r="L87" s="206">
        <v>10</v>
      </c>
      <c r="M87" s="206">
        <v>7</v>
      </c>
      <c r="N87" s="206">
        <v>7</v>
      </c>
      <c r="O87" s="206">
        <v>11</v>
      </c>
      <c r="P87" s="206">
        <v>9</v>
      </c>
      <c r="Q87" s="206">
        <v>0</v>
      </c>
      <c r="R87" s="206">
        <v>-1</v>
      </c>
      <c r="S87" s="206">
        <v>11</v>
      </c>
      <c r="T87" s="206">
        <v>8</v>
      </c>
      <c r="U87" s="206">
        <v>10</v>
      </c>
      <c r="V87" s="206">
        <v>7</v>
      </c>
      <c r="W87" s="206">
        <v>11</v>
      </c>
      <c r="X87" s="206">
        <v>8</v>
      </c>
      <c r="Y87" s="206">
        <v>5</v>
      </c>
      <c r="Z87" s="206">
        <v>7</v>
      </c>
      <c r="AA87" s="206">
        <v>5</v>
      </c>
      <c r="AB87" s="206">
        <v>5</v>
      </c>
      <c r="AC87" s="206">
        <v>5</v>
      </c>
      <c r="AD87" s="206">
        <v>8</v>
      </c>
      <c r="AE87" s="206">
        <v>0</v>
      </c>
      <c r="AF87" s="206">
        <v>0</v>
      </c>
      <c r="AG87" s="206">
        <v>0</v>
      </c>
      <c r="AH87" s="2">
        <f t="shared" si="3"/>
        <v>3</v>
      </c>
      <c r="AI87" s="2">
        <f t="shared" si="4"/>
        <v>0</v>
      </c>
      <c r="AJ87" s="2">
        <f t="shared" si="5"/>
        <v>3</v>
      </c>
    </row>
    <row r="88" spans="2:36" x14ac:dyDescent="0.2">
      <c r="B88" s="102"/>
      <c r="C88" s="103">
        <v>85</v>
      </c>
      <c r="D88" s="205">
        <v>6915051.2275120802</v>
      </c>
      <c r="E88" s="205">
        <v>3832124.1966242846</v>
      </c>
      <c r="F88" s="205">
        <v>0</v>
      </c>
      <c r="G88" s="205">
        <v>0</v>
      </c>
      <c r="H88" s="205">
        <v>863884.53746474232</v>
      </c>
      <c r="I88" s="206">
        <v>-1</v>
      </c>
      <c r="J88" s="206">
        <v>-1</v>
      </c>
      <c r="K88" s="206">
        <v>10</v>
      </c>
      <c r="L88" s="206">
        <v>10</v>
      </c>
      <c r="M88" s="206">
        <v>7</v>
      </c>
      <c r="N88" s="206">
        <v>0</v>
      </c>
      <c r="O88" s="206">
        <v>11</v>
      </c>
      <c r="P88" s="206">
        <v>9</v>
      </c>
      <c r="Q88" s="206">
        <v>9</v>
      </c>
      <c r="R88" s="206">
        <v>-1</v>
      </c>
      <c r="S88" s="206">
        <v>11</v>
      </c>
      <c r="T88" s="206">
        <v>8</v>
      </c>
      <c r="U88" s="206">
        <v>10</v>
      </c>
      <c r="V88" s="206">
        <v>7</v>
      </c>
      <c r="W88" s="206">
        <v>11</v>
      </c>
      <c r="X88" s="206">
        <v>8</v>
      </c>
      <c r="Y88" s="206">
        <v>5</v>
      </c>
      <c r="Z88" s="206">
        <v>7</v>
      </c>
      <c r="AA88" s="206">
        <v>5</v>
      </c>
      <c r="AB88" s="206">
        <v>5</v>
      </c>
      <c r="AC88" s="206">
        <v>5</v>
      </c>
      <c r="AD88" s="206">
        <v>8</v>
      </c>
      <c r="AE88" s="206">
        <v>12</v>
      </c>
      <c r="AF88" s="206">
        <v>0</v>
      </c>
      <c r="AG88" s="206">
        <v>0</v>
      </c>
      <c r="AH88" s="2">
        <f t="shared" si="3"/>
        <v>3</v>
      </c>
      <c r="AI88" s="2">
        <f t="shared" si="4"/>
        <v>0</v>
      </c>
      <c r="AJ88" s="2">
        <f t="shared" si="5"/>
        <v>3</v>
      </c>
    </row>
    <row r="89" spans="2:36" x14ac:dyDescent="0.2">
      <c r="B89" s="102"/>
      <c r="C89" s="103">
        <v>86</v>
      </c>
      <c r="D89" s="205">
        <v>5570706.7478125738</v>
      </c>
      <c r="E89" s="205">
        <v>3096237.6299246065</v>
      </c>
      <c r="F89" s="205">
        <v>0</v>
      </c>
      <c r="G89" s="205">
        <v>0</v>
      </c>
      <c r="H89" s="205">
        <v>863884.53746474232</v>
      </c>
      <c r="I89" s="206">
        <v>-1</v>
      </c>
      <c r="J89" s="206">
        <v>-1</v>
      </c>
      <c r="K89" s="206">
        <v>0</v>
      </c>
      <c r="L89" s="206">
        <v>0</v>
      </c>
      <c r="M89" s="206">
        <v>0</v>
      </c>
      <c r="N89" s="206">
        <v>0</v>
      </c>
      <c r="O89" s="206">
        <v>11</v>
      </c>
      <c r="P89" s="206">
        <v>0</v>
      </c>
      <c r="Q89" s="206">
        <v>9</v>
      </c>
      <c r="R89" s="206">
        <v>-1</v>
      </c>
      <c r="S89" s="206">
        <v>0</v>
      </c>
      <c r="T89" s="206">
        <v>8</v>
      </c>
      <c r="U89" s="206">
        <v>10</v>
      </c>
      <c r="V89" s="206">
        <v>7</v>
      </c>
      <c r="W89" s="206">
        <v>11</v>
      </c>
      <c r="X89" s="206">
        <v>8</v>
      </c>
      <c r="Y89" s="206">
        <v>5</v>
      </c>
      <c r="Z89" s="206">
        <v>7</v>
      </c>
      <c r="AA89" s="206">
        <v>5</v>
      </c>
      <c r="AB89" s="206">
        <v>5</v>
      </c>
      <c r="AC89" s="206">
        <v>5</v>
      </c>
      <c r="AD89" s="206">
        <v>8</v>
      </c>
      <c r="AE89" s="206">
        <v>12</v>
      </c>
      <c r="AF89" s="206">
        <v>7</v>
      </c>
      <c r="AG89" s="206">
        <v>0</v>
      </c>
      <c r="AH89" s="2">
        <f t="shared" si="3"/>
        <v>3</v>
      </c>
      <c r="AI89" s="2">
        <f t="shared" si="4"/>
        <v>0</v>
      </c>
      <c r="AJ89" s="2">
        <f t="shared" si="5"/>
        <v>3</v>
      </c>
    </row>
    <row r="90" spans="2:36" x14ac:dyDescent="0.2">
      <c r="B90" s="102"/>
      <c r="C90" s="103">
        <v>87</v>
      </c>
      <c r="D90" s="205">
        <v>440069.80755549378</v>
      </c>
      <c r="E90" s="205">
        <v>248638.99443217274</v>
      </c>
      <c r="F90" s="205">
        <v>0</v>
      </c>
      <c r="G90" s="205">
        <v>0</v>
      </c>
      <c r="H90" s="205">
        <v>310721.73852262861</v>
      </c>
      <c r="I90" s="206">
        <v>-1</v>
      </c>
      <c r="J90" s="206">
        <v>-1</v>
      </c>
      <c r="K90" s="206">
        <v>0</v>
      </c>
      <c r="L90" s="206">
        <v>0</v>
      </c>
      <c r="M90" s="206">
        <v>0</v>
      </c>
      <c r="N90" s="206">
        <v>0</v>
      </c>
      <c r="O90" s="206">
        <v>0</v>
      </c>
      <c r="P90" s="206">
        <v>0</v>
      </c>
      <c r="Q90" s="206">
        <v>9</v>
      </c>
      <c r="R90" s="206">
        <v>-1</v>
      </c>
      <c r="S90" s="206">
        <v>0</v>
      </c>
      <c r="T90" s="206">
        <v>8</v>
      </c>
      <c r="U90" s="206">
        <v>10</v>
      </c>
      <c r="V90" s="206">
        <v>7</v>
      </c>
      <c r="W90" s="206">
        <v>11</v>
      </c>
      <c r="X90" s="206">
        <v>8</v>
      </c>
      <c r="Y90" s="206">
        <v>5</v>
      </c>
      <c r="Z90" s="206">
        <v>7</v>
      </c>
      <c r="AA90" s="206">
        <v>5</v>
      </c>
      <c r="AB90" s="206">
        <v>5</v>
      </c>
      <c r="AC90" s="206">
        <v>5</v>
      </c>
      <c r="AD90" s="206">
        <v>8</v>
      </c>
      <c r="AE90" s="206">
        <v>12</v>
      </c>
      <c r="AF90" s="206">
        <v>7</v>
      </c>
      <c r="AG90" s="206">
        <v>11</v>
      </c>
      <c r="AH90" s="2">
        <f t="shared" si="3"/>
        <v>3</v>
      </c>
      <c r="AI90" s="2">
        <f t="shared" si="4"/>
        <v>0</v>
      </c>
      <c r="AJ90" s="2">
        <f t="shared" si="5"/>
        <v>3</v>
      </c>
    </row>
    <row r="91" spans="2:36" x14ac:dyDescent="0.2">
      <c r="B91" s="102"/>
      <c r="C91" s="103">
        <v>88</v>
      </c>
      <c r="D91" s="205">
        <v>4432369.0346802184</v>
      </c>
      <c r="E91" s="205">
        <v>2529373.1808727738</v>
      </c>
      <c r="F91" s="205">
        <v>0</v>
      </c>
      <c r="G91" s="205">
        <v>0</v>
      </c>
      <c r="H91" s="205">
        <v>526896.75019396376</v>
      </c>
      <c r="I91" s="206">
        <v>-1</v>
      </c>
      <c r="J91" s="206">
        <v>-1</v>
      </c>
      <c r="K91" s="206">
        <v>11</v>
      </c>
      <c r="L91" s="206">
        <v>11</v>
      </c>
      <c r="M91" s="206">
        <v>8</v>
      </c>
      <c r="N91" s="206">
        <v>8</v>
      </c>
      <c r="O91" s="206">
        <v>0</v>
      </c>
      <c r="P91" s="206">
        <v>10</v>
      </c>
      <c r="Q91" s="206">
        <v>9</v>
      </c>
      <c r="R91" s="206">
        <v>-1</v>
      </c>
      <c r="S91" s="206">
        <v>12</v>
      </c>
      <c r="T91" s="206">
        <v>8</v>
      </c>
      <c r="U91" s="206">
        <v>10</v>
      </c>
      <c r="V91" s="206">
        <v>7</v>
      </c>
      <c r="W91" s="206">
        <v>0</v>
      </c>
      <c r="X91" s="206">
        <v>0</v>
      </c>
      <c r="Y91" s="206">
        <v>0</v>
      </c>
      <c r="Z91" s="206">
        <v>7</v>
      </c>
      <c r="AA91" s="206">
        <v>5</v>
      </c>
      <c r="AB91" s="206">
        <v>5</v>
      </c>
      <c r="AC91" s="206">
        <v>5</v>
      </c>
      <c r="AD91" s="206">
        <v>8</v>
      </c>
      <c r="AE91" s="206">
        <v>12</v>
      </c>
      <c r="AF91" s="206">
        <v>7</v>
      </c>
      <c r="AG91" s="206">
        <v>11</v>
      </c>
      <c r="AH91" s="2">
        <f t="shared" si="3"/>
        <v>3</v>
      </c>
      <c r="AI91" s="2">
        <f t="shared" si="4"/>
        <v>0</v>
      </c>
      <c r="AJ91" s="2">
        <f t="shared" si="5"/>
        <v>3</v>
      </c>
    </row>
    <row r="92" spans="2:36" x14ac:dyDescent="0.2">
      <c r="B92" s="102"/>
      <c r="C92" s="103">
        <v>89</v>
      </c>
      <c r="D92" s="205">
        <v>4710059.6248047631</v>
      </c>
      <c r="E92" s="205">
        <v>2692543.2351239091</v>
      </c>
      <c r="F92" s="205">
        <v>0</v>
      </c>
      <c r="G92" s="205">
        <v>0</v>
      </c>
      <c r="H92" s="205">
        <v>568563.41686063039</v>
      </c>
      <c r="I92" s="206">
        <v>-1</v>
      </c>
      <c r="J92" s="206">
        <v>-1</v>
      </c>
      <c r="K92" s="206">
        <v>11</v>
      </c>
      <c r="L92" s="206">
        <v>11</v>
      </c>
      <c r="M92" s="206">
        <v>0</v>
      </c>
      <c r="N92" s="206">
        <v>8</v>
      </c>
      <c r="O92" s="206">
        <v>0</v>
      </c>
      <c r="P92" s="206">
        <v>10</v>
      </c>
      <c r="Q92" s="206">
        <v>9</v>
      </c>
      <c r="R92" s="206">
        <v>-1</v>
      </c>
      <c r="S92" s="206">
        <v>12</v>
      </c>
      <c r="T92" s="206">
        <v>8</v>
      </c>
      <c r="U92" s="206">
        <v>10</v>
      </c>
      <c r="V92" s="206">
        <v>7</v>
      </c>
      <c r="W92" s="206">
        <v>0</v>
      </c>
      <c r="X92" s="206">
        <v>0</v>
      </c>
      <c r="Y92" s="206">
        <v>0</v>
      </c>
      <c r="Z92" s="206">
        <v>0</v>
      </c>
      <c r="AA92" s="206">
        <v>5</v>
      </c>
      <c r="AB92" s="206">
        <v>5</v>
      </c>
      <c r="AC92" s="206">
        <v>5</v>
      </c>
      <c r="AD92" s="206">
        <v>8</v>
      </c>
      <c r="AE92" s="206">
        <v>12</v>
      </c>
      <c r="AF92" s="206">
        <v>7</v>
      </c>
      <c r="AG92" s="206">
        <v>11</v>
      </c>
      <c r="AH92" s="2">
        <f t="shared" si="3"/>
        <v>3</v>
      </c>
      <c r="AI92" s="2">
        <f t="shared" si="4"/>
        <v>0</v>
      </c>
      <c r="AJ92" s="2">
        <f t="shared" si="5"/>
        <v>3</v>
      </c>
    </row>
    <row r="93" spans="2:36" x14ac:dyDescent="0.2">
      <c r="B93" s="102"/>
      <c r="C93" s="103">
        <v>90</v>
      </c>
      <c r="D93" s="205">
        <v>7206090.3975500707</v>
      </c>
      <c r="E93" s="205">
        <v>4046615.5119387112</v>
      </c>
      <c r="F93" s="205">
        <v>0</v>
      </c>
      <c r="G93" s="205">
        <v>0</v>
      </c>
      <c r="H93" s="205">
        <v>662926.16195866955</v>
      </c>
      <c r="I93" s="206">
        <v>-1</v>
      </c>
      <c r="J93" s="206">
        <v>-1</v>
      </c>
      <c r="K93" s="206">
        <v>11</v>
      </c>
      <c r="L93" s="206">
        <v>11</v>
      </c>
      <c r="M93" s="206">
        <v>9</v>
      </c>
      <c r="N93" s="206">
        <v>8</v>
      </c>
      <c r="O93" s="206">
        <v>12</v>
      </c>
      <c r="P93" s="206">
        <v>10</v>
      </c>
      <c r="Q93" s="206">
        <v>9</v>
      </c>
      <c r="R93" s="206">
        <v>-1</v>
      </c>
      <c r="S93" s="206">
        <v>12</v>
      </c>
      <c r="T93" s="206">
        <v>8</v>
      </c>
      <c r="U93" s="206">
        <v>10</v>
      </c>
      <c r="V93" s="206">
        <v>7</v>
      </c>
      <c r="W93" s="206">
        <v>12</v>
      </c>
      <c r="X93" s="206">
        <v>9</v>
      </c>
      <c r="Y93" s="206">
        <v>0</v>
      </c>
      <c r="Z93" s="206">
        <v>0</v>
      </c>
      <c r="AA93" s="206">
        <v>0</v>
      </c>
      <c r="AB93" s="206">
        <v>0</v>
      </c>
      <c r="AC93" s="206">
        <v>5</v>
      </c>
      <c r="AD93" s="206">
        <v>8</v>
      </c>
      <c r="AE93" s="206">
        <v>12</v>
      </c>
      <c r="AF93" s="206">
        <v>7</v>
      </c>
      <c r="AG93" s="206">
        <v>11</v>
      </c>
      <c r="AH93" s="2">
        <f t="shared" si="3"/>
        <v>3</v>
      </c>
      <c r="AI93" s="2">
        <f t="shared" si="4"/>
        <v>0</v>
      </c>
      <c r="AJ93" s="2">
        <f t="shared" si="5"/>
        <v>3</v>
      </c>
    </row>
    <row r="94" spans="2:36" x14ac:dyDescent="0.2">
      <c r="B94" s="102"/>
      <c r="C94" s="103">
        <v>91</v>
      </c>
      <c r="D94" s="205">
        <v>4957066.7372260755</v>
      </c>
      <c r="E94" s="205">
        <v>2815722.0327000394</v>
      </c>
      <c r="F94" s="205">
        <v>0</v>
      </c>
      <c r="G94" s="205">
        <v>0</v>
      </c>
      <c r="H94" s="205">
        <v>662926.16195866955</v>
      </c>
      <c r="I94" s="206">
        <v>-1</v>
      </c>
      <c r="J94" s="206">
        <v>-1</v>
      </c>
      <c r="K94" s="206">
        <v>0</v>
      </c>
      <c r="L94" s="206">
        <v>11</v>
      </c>
      <c r="M94" s="206">
        <v>0</v>
      </c>
      <c r="N94" s="206">
        <v>8</v>
      </c>
      <c r="O94" s="206">
        <v>12</v>
      </c>
      <c r="P94" s="206">
        <v>10</v>
      </c>
      <c r="Q94" s="206">
        <v>0</v>
      </c>
      <c r="R94" s="206">
        <v>-1</v>
      </c>
      <c r="S94" s="206">
        <v>12</v>
      </c>
      <c r="T94" s="206">
        <v>8</v>
      </c>
      <c r="U94" s="206">
        <v>10</v>
      </c>
      <c r="V94" s="206">
        <v>0</v>
      </c>
      <c r="W94" s="206">
        <v>12</v>
      </c>
      <c r="X94" s="206">
        <v>9</v>
      </c>
      <c r="Y94" s="206">
        <v>6</v>
      </c>
      <c r="Z94" s="206">
        <v>0</v>
      </c>
      <c r="AA94" s="206">
        <v>6</v>
      </c>
      <c r="AB94" s="206">
        <v>0</v>
      </c>
      <c r="AC94" s="206">
        <v>5</v>
      </c>
      <c r="AD94" s="206">
        <v>8</v>
      </c>
      <c r="AE94" s="206">
        <v>12</v>
      </c>
      <c r="AF94" s="206">
        <v>7</v>
      </c>
      <c r="AG94" s="206">
        <v>11</v>
      </c>
      <c r="AH94" s="2">
        <f t="shared" si="3"/>
        <v>3</v>
      </c>
      <c r="AI94" s="2">
        <f t="shared" si="4"/>
        <v>0</v>
      </c>
      <c r="AJ94" s="2">
        <f t="shared" si="5"/>
        <v>3</v>
      </c>
    </row>
    <row r="95" spans="2:36" x14ac:dyDescent="0.2">
      <c r="B95" s="102"/>
      <c r="C95" s="103">
        <v>92</v>
      </c>
      <c r="D95" s="205">
        <v>6504779.9128481615</v>
      </c>
      <c r="E95" s="205">
        <v>3756821.9973634724</v>
      </c>
      <c r="F95" s="205">
        <v>0</v>
      </c>
      <c r="G95" s="205">
        <v>0</v>
      </c>
      <c r="H95" s="205">
        <v>820615.30669551156</v>
      </c>
      <c r="I95" s="206">
        <v>-1</v>
      </c>
      <c r="J95" s="206">
        <v>-1</v>
      </c>
      <c r="K95" s="206">
        <v>12</v>
      </c>
      <c r="L95" s="206">
        <v>11</v>
      </c>
      <c r="M95" s="206">
        <v>0</v>
      </c>
      <c r="N95" s="206">
        <v>0</v>
      </c>
      <c r="O95" s="206">
        <v>12</v>
      </c>
      <c r="P95" s="206">
        <v>10</v>
      </c>
      <c r="Q95" s="206">
        <v>0</v>
      </c>
      <c r="R95" s="206">
        <v>-1</v>
      </c>
      <c r="S95" s="206">
        <v>12</v>
      </c>
      <c r="T95" s="206">
        <v>8</v>
      </c>
      <c r="U95" s="206">
        <v>0</v>
      </c>
      <c r="V95" s="206">
        <v>0</v>
      </c>
      <c r="W95" s="206">
        <v>12</v>
      </c>
      <c r="X95" s="206">
        <v>9</v>
      </c>
      <c r="Y95" s="206">
        <v>6</v>
      </c>
      <c r="Z95" s="206">
        <v>8</v>
      </c>
      <c r="AA95" s="206">
        <v>6</v>
      </c>
      <c r="AB95" s="206">
        <v>6</v>
      </c>
      <c r="AC95" s="206">
        <v>5</v>
      </c>
      <c r="AD95" s="206">
        <v>8</v>
      </c>
      <c r="AE95" s="206">
        <v>0</v>
      </c>
      <c r="AF95" s="206">
        <v>0</v>
      </c>
      <c r="AG95" s="206">
        <v>11</v>
      </c>
      <c r="AH95" s="2">
        <f t="shared" si="3"/>
        <v>3</v>
      </c>
      <c r="AI95" s="2">
        <f t="shared" si="4"/>
        <v>0</v>
      </c>
      <c r="AJ95" s="2">
        <f t="shared" si="5"/>
        <v>3</v>
      </c>
    </row>
    <row r="96" spans="2:36" x14ac:dyDescent="0.2">
      <c r="B96" s="102"/>
      <c r="C96" s="103">
        <v>93</v>
      </c>
      <c r="D96" s="205">
        <v>4941234.5793905826</v>
      </c>
      <c r="E96" s="205">
        <v>2775983.0033264547</v>
      </c>
      <c r="F96" s="205">
        <v>0</v>
      </c>
      <c r="G96" s="205">
        <v>0</v>
      </c>
      <c r="H96" s="205">
        <v>820615.30669551156</v>
      </c>
      <c r="I96" s="206">
        <v>-1</v>
      </c>
      <c r="J96" s="206">
        <v>-1</v>
      </c>
      <c r="K96" s="206">
        <v>0</v>
      </c>
      <c r="L96" s="206">
        <v>11</v>
      </c>
      <c r="M96" s="206">
        <v>10</v>
      </c>
      <c r="N96" s="206">
        <v>9</v>
      </c>
      <c r="O96" s="206">
        <v>12</v>
      </c>
      <c r="P96" s="206">
        <v>10</v>
      </c>
      <c r="Q96" s="206">
        <v>10</v>
      </c>
      <c r="R96" s="206">
        <v>-1</v>
      </c>
      <c r="S96" s="206">
        <v>0</v>
      </c>
      <c r="T96" s="206">
        <v>8</v>
      </c>
      <c r="U96" s="206">
        <v>0</v>
      </c>
      <c r="V96" s="206">
        <v>8</v>
      </c>
      <c r="W96" s="206">
        <v>0</v>
      </c>
      <c r="X96" s="206">
        <v>9</v>
      </c>
      <c r="Y96" s="206">
        <v>0</v>
      </c>
      <c r="Z96" s="206">
        <v>8</v>
      </c>
      <c r="AA96" s="206">
        <v>6</v>
      </c>
      <c r="AB96" s="206">
        <v>0</v>
      </c>
      <c r="AC96" s="206">
        <v>0</v>
      </c>
      <c r="AD96" s="206">
        <v>0</v>
      </c>
      <c r="AE96" s="206">
        <v>13</v>
      </c>
      <c r="AF96" s="206">
        <v>0</v>
      </c>
      <c r="AG96" s="206">
        <v>11</v>
      </c>
      <c r="AH96" s="2">
        <f t="shared" si="3"/>
        <v>3</v>
      </c>
      <c r="AI96" s="2">
        <f t="shared" si="4"/>
        <v>0</v>
      </c>
      <c r="AJ96" s="2">
        <f t="shared" si="5"/>
        <v>3</v>
      </c>
    </row>
    <row r="97" spans="2:36" x14ac:dyDescent="0.2">
      <c r="B97" s="102"/>
      <c r="C97" s="103">
        <v>94</v>
      </c>
      <c r="D97" s="205">
        <v>5447485.1348564001</v>
      </c>
      <c r="E97" s="205">
        <v>3034452.3120972393</v>
      </c>
      <c r="F97" s="205">
        <v>0</v>
      </c>
      <c r="G97" s="205">
        <v>0</v>
      </c>
      <c r="H97" s="205">
        <v>820615.30669551156</v>
      </c>
      <c r="I97" s="206">
        <v>-1</v>
      </c>
      <c r="J97" s="206">
        <v>-1</v>
      </c>
      <c r="K97" s="206">
        <v>0</v>
      </c>
      <c r="L97" s="206">
        <v>11</v>
      </c>
      <c r="M97" s="206">
        <v>10</v>
      </c>
      <c r="N97" s="206">
        <v>9</v>
      </c>
      <c r="O97" s="206">
        <v>12</v>
      </c>
      <c r="P97" s="206">
        <v>10</v>
      </c>
      <c r="Q97" s="206">
        <v>10</v>
      </c>
      <c r="R97" s="206">
        <v>-1</v>
      </c>
      <c r="S97" s="206">
        <v>0</v>
      </c>
      <c r="T97" s="206">
        <v>0</v>
      </c>
      <c r="U97" s="206">
        <v>11</v>
      </c>
      <c r="V97" s="206">
        <v>8</v>
      </c>
      <c r="W97" s="206">
        <v>0</v>
      </c>
      <c r="X97" s="206">
        <v>9</v>
      </c>
      <c r="Y97" s="206">
        <v>0</v>
      </c>
      <c r="Z97" s="206">
        <v>8</v>
      </c>
      <c r="AA97" s="206">
        <v>6</v>
      </c>
      <c r="AB97" s="206">
        <v>0</v>
      </c>
      <c r="AC97" s="206">
        <v>0</v>
      </c>
      <c r="AD97" s="206">
        <v>9</v>
      </c>
      <c r="AE97" s="206">
        <v>13</v>
      </c>
      <c r="AF97" s="206">
        <v>0</v>
      </c>
      <c r="AG97" s="206">
        <v>11</v>
      </c>
      <c r="AH97" s="2">
        <f t="shared" si="3"/>
        <v>3</v>
      </c>
      <c r="AI97" s="2">
        <f t="shared" si="4"/>
        <v>0</v>
      </c>
      <c r="AJ97" s="2">
        <f t="shared" si="5"/>
        <v>3</v>
      </c>
    </row>
    <row r="98" spans="2:36" x14ac:dyDescent="0.2">
      <c r="B98" s="102"/>
      <c r="C98" s="103">
        <v>95</v>
      </c>
      <c r="D98" s="205">
        <v>5124241.1632785629</v>
      </c>
      <c r="E98" s="205">
        <v>2875755.3854814027</v>
      </c>
      <c r="F98" s="205">
        <v>0</v>
      </c>
      <c r="G98" s="205">
        <v>0</v>
      </c>
      <c r="H98" s="205">
        <v>746259.4952920028</v>
      </c>
      <c r="I98" s="206">
        <v>-1</v>
      </c>
      <c r="J98" s="206">
        <v>-1</v>
      </c>
      <c r="K98" s="206">
        <v>0</v>
      </c>
      <c r="L98" s="206">
        <v>0</v>
      </c>
      <c r="M98" s="206">
        <v>10</v>
      </c>
      <c r="N98" s="206">
        <v>9</v>
      </c>
      <c r="O98" s="206">
        <v>12</v>
      </c>
      <c r="P98" s="206">
        <v>10</v>
      </c>
      <c r="Q98" s="206">
        <v>10</v>
      </c>
      <c r="R98" s="206">
        <v>-1</v>
      </c>
      <c r="S98" s="206">
        <v>0</v>
      </c>
      <c r="T98" s="206">
        <v>0</v>
      </c>
      <c r="U98" s="206">
        <v>11</v>
      </c>
      <c r="V98" s="206">
        <v>8</v>
      </c>
      <c r="W98" s="206">
        <v>0</v>
      </c>
      <c r="X98" s="206">
        <v>0</v>
      </c>
      <c r="Y98" s="206">
        <v>7</v>
      </c>
      <c r="Z98" s="206">
        <v>8</v>
      </c>
      <c r="AA98" s="206">
        <v>6</v>
      </c>
      <c r="AB98" s="206">
        <v>7</v>
      </c>
      <c r="AC98" s="206">
        <v>6</v>
      </c>
      <c r="AD98" s="206">
        <v>0</v>
      </c>
      <c r="AE98" s="206">
        <v>13</v>
      </c>
      <c r="AF98" s="206">
        <v>8</v>
      </c>
      <c r="AG98" s="206">
        <v>11</v>
      </c>
      <c r="AH98" s="2">
        <f t="shared" si="3"/>
        <v>3</v>
      </c>
      <c r="AI98" s="2">
        <f t="shared" si="4"/>
        <v>0</v>
      </c>
      <c r="AJ98" s="2">
        <f t="shared" si="5"/>
        <v>3</v>
      </c>
    </row>
    <row r="99" spans="2:36" x14ac:dyDescent="0.2">
      <c r="B99" s="102"/>
      <c r="C99" s="103">
        <v>96</v>
      </c>
      <c r="D99" s="205">
        <v>5240491.3773805127</v>
      </c>
      <c r="E99" s="205">
        <v>3012476.9274022738</v>
      </c>
      <c r="F99" s="205">
        <v>0</v>
      </c>
      <c r="G99" s="205">
        <v>0</v>
      </c>
      <c r="H99" s="205">
        <v>746259.4952920028</v>
      </c>
      <c r="I99" s="206">
        <v>-1</v>
      </c>
      <c r="J99" s="206">
        <v>-1</v>
      </c>
      <c r="K99" s="206">
        <v>13</v>
      </c>
      <c r="L99" s="206">
        <v>0</v>
      </c>
      <c r="M99" s="206">
        <v>10</v>
      </c>
      <c r="N99" s="206">
        <v>9</v>
      </c>
      <c r="O99" s="206">
        <v>0</v>
      </c>
      <c r="P99" s="206">
        <v>10</v>
      </c>
      <c r="Q99" s="206">
        <v>10</v>
      </c>
      <c r="R99" s="206">
        <v>-1</v>
      </c>
      <c r="S99" s="206">
        <v>13</v>
      </c>
      <c r="T99" s="206">
        <v>9</v>
      </c>
      <c r="U99" s="206">
        <v>0</v>
      </c>
      <c r="V99" s="206">
        <v>8</v>
      </c>
      <c r="W99" s="206">
        <v>13</v>
      </c>
      <c r="X99" s="206">
        <v>0</v>
      </c>
      <c r="Y99" s="206">
        <v>7</v>
      </c>
      <c r="Z99" s="206">
        <v>0</v>
      </c>
      <c r="AA99" s="206">
        <v>6</v>
      </c>
      <c r="AB99" s="206">
        <v>7</v>
      </c>
      <c r="AC99" s="206">
        <v>6</v>
      </c>
      <c r="AD99" s="206">
        <v>0</v>
      </c>
      <c r="AE99" s="206">
        <v>13</v>
      </c>
      <c r="AF99" s="206">
        <v>8</v>
      </c>
      <c r="AG99" s="206">
        <v>11</v>
      </c>
      <c r="AH99" s="2">
        <f t="shared" si="3"/>
        <v>3</v>
      </c>
      <c r="AI99" s="2">
        <f t="shared" si="4"/>
        <v>0</v>
      </c>
      <c r="AJ99" s="2">
        <f t="shared" si="5"/>
        <v>3</v>
      </c>
    </row>
    <row r="100" spans="2:36" x14ac:dyDescent="0.2">
      <c r="B100" s="102"/>
      <c r="C100" s="103">
        <v>97</v>
      </c>
      <c r="D100" s="205">
        <v>3438140.1124332845</v>
      </c>
      <c r="E100" s="205">
        <v>1938003.7270763991</v>
      </c>
      <c r="F100" s="205">
        <v>0</v>
      </c>
      <c r="G100" s="205">
        <v>0</v>
      </c>
      <c r="H100" s="205">
        <v>621259.49529200292</v>
      </c>
      <c r="I100" s="206">
        <v>-1</v>
      </c>
      <c r="J100" s="206">
        <v>-1</v>
      </c>
      <c r="K100" s="206">
        <v>13</v>
      </c>
      <c r="L100" s="206">
        <v>0</v>
      </c>
      <c r="M100" s="206">
        <v>10</v>
      </c>
      <c r="N100" s="206">
        <v>9</v>
      </c>
      <c r="O100" s="206">
        <v>0</v>
      </c>
      <c r="P100" s="206">
        <v>10</v>
      </c>
      <c r="Q100" s="206">
        <v>0</v>
      </c>
      <c r="R100" s="206">
        <v>-1</v>
      </c>
      <c r="S100" s="206">
        <v>13</v>
      </c>
      <c r="T100" s="206">
        <v>9</v>
      </c>
      <c r="U100" s="206">
        <v>0</v>
      </c>
      <c r="V100" s="206">
        <v>8</v>
      </c>
      <c r="W100" s="206">
        <v>13</v>
      </c>
      <c r="X100" s="206">
        <v>10</v>
      </c>
      <c r="Y100" s="206">
        <v>7</v>
      </c>
      <c r="Z100" s="206">
        <v>0</v>
      </c>
      <c r="AA100" s="206">
        <v>0</v>
      </c>
      <c r="AB100" s="206">
        <v>7</v>
      </c>
      <c r="AC100" s="206">
        <v>6</v>
      </c>
      <c r="AD100" s="206">
        <v>10</v>
      </c>
      <c r="AE100" s="206">
        <v>13</v>
      </c>
      <c r="AF100" s="206">
        <v>8</v>
      </c>
      <c r="AG100" s="206">
        <v>11</v>
      </c>
      <c r="AH100" s="2">
        <f t="shared" si="3"/>
        <v>3</v>
      </c>
      <c r="AI100" s="2">
        <f t="shared" si="4"/>
        <v>0</v>
      </c>
      <c r="AJ100" s="2">
        <f t="shared" si="5"/>
        <v>3</v>
      </c>
    </row>
    <row r="101" spans="2:36" x14ac:dyDescent="0.2">
      <c r="B101" s="102"/>
      <c r="C101" s="103">
        <v>98</v>
      </c>
      <c r="D101" s="205">
        <v>5050918.9932761481</v>
      </c>
      <c r="E101" s="205">
        <v>2848591.9858211698</v>
      </c>
      <c r="F101" s="205">
        <v>0</v>
      </c>
      <c r="G101" s="205">
        <v>0</v>
      </c>
      <c r="H101" s="205">
        <v>621259.49529200292</v>
      </c>
      <c r="I101" s="206">
        <v>-1</v>
      </c>
      <c r="J101" s="206">
        <v>-1</v>
      </c>
      <c r="K101" s="206">
        <v>13</v>
      </c>
      <c r="L101" s="206">
        <v>12</v>
      </c>
      <c r="M101" s="206">
        <v>10</v>
      </c>
      <c r="N101" s="206">
        <v>9</v>
      </c>
      <c r="O101" s="206">
        <v>13</v>
      </c>
      <c r="P101" s="206">
        <v>0</v>
      </c>
      <c r="Q101" s="206">
        <v>11</v>
      </c>
      <c r="R101" s="206">
        <v>-1</v>
      </c>
      <c r="S101" s="206">
        <v>13</v>
      </c>
      <c r="T101" s="206">
        <v>9</v>
      </c>
      <c r="U101" s="206">
        <v>12</v>
      </c>
      <c r="V101" s="206">
        <v>0</v>
      </c>
      <c r="W101" s="206">
        <v>13</v>
      </c>
      <c r="X101" s="206">
        <v>0</v>
      </c>
      <c r="Y101" s="206">
        <v>7</v>
      </c>
      <c r="Z101" s="206">
        <v>0</v>
      </c>
      <c r="AA101" s="206">
        <v>0</v>
      </c>
      <c r="AB101" s="206">
        <v>7</v>
      </c>
      <c r="AC101" s="206">
        <v>6</v>
      </c>
      <c r="AD101" s="206">
        <v>10</v>
      </c>
      <c r="AE101" s="206">
        <v>13</v>
      </c>
      <c r="AF101" s="206">
        <v>8</v>
      </c>
      <c r="AG101" s="206">
        <v>11</v>
      </c>
      <c r="AH101" s="2">
        <f t="shared" si="3"/>
        <v>3</v>
      </c>
      <c r="AI101" s="2">
        <f t="shared" si="4"/>
        <v>0</v>
      </c>
      <c r="AJ101" s="2">
        <f t="shared" si="5"/>
        <v>3</v>
      </c>
    </row>
    <row r="102" spans="2:36" x14ac:dyDescent="0.2">
      <c r="B102" s="102"/>
      <c r="C102" s="103">
        <v>99</v>
      </c>
      <c r="D102" s="205">
        <v>8398978.2004216053</v>
      </c>
      <c r="E102" s="205">
        <v>4788762.2501130681</v>
      </c>
      <c r="F102" s="205">
        <v>0</v>
      </c>
      <c r="G102" s="205">
        <v>0</v>
      </c>
      <c r="H102" s="205">
        <v>863884.53746474232</v>
      </c>
      <c r="I102" s="206">
        <v>-1</v>
      </c>
      <c r="J102" s="206">
        <v>-1</v>
      </c>
      <c r="K102" s="206">
        <v>13</v>
      </c>
      <c r="L102" s="206">
        <v>12</v>
      </c>
      <c r="M102" s="206">
        <v>10</v>
      </c>
      <c r="N102" s="206">
        <v>9</v>
      </c>
      <c r="O102" s="206">
        <v>13</v>
      </c>
      <c r="P102" s="206">
        <v>11</v>
      </c>
      <c r="Q102" s="206">
        <v>0</v>
      </c>
      <c r="R102" s="206">
        <v>-1</v>
      </c>
      <c r="S102" s="206">
        <v>13</v>
      </c>
      <c r="T102" s="206">
        <v>9</v>
      </c>
      <c r="U102" s="206">
        <v>12</v>
      </c>
      <c r="V102" s="206">
        <v>0</v>
      </c>
      <c r="W102" s="206">
        <v>13</v>
      </c>
      <c r="X102" s="206">
        <v>0</v>
      </c>
      <c r="Y102" s="206">
        <v>7</v>
      </c>
      <c r="Z102" s="206">
        <v>9</v>
      </c>
      <c r="AA102" s="206">
        <v>7</v>
      </c>
      <c r="AB102" s="206">
        <v>7</v>
      </c>
      <c r="AC102" s="206">
        <v>6</v>
      </c>
      <c r="AD102" s="206">
        <v>10</v>
      </c>
      <c r="AE102" s="206">
        <v>13</v>
      </c>
      <c r="AF102" s="206">
        <v>8</v>
      </c>
      <c r="AG102" s="206">
        <v>0</v>
      </c>
      <c r="AH102" s="2">
        <f t="shared" si="3"/>
        <v>3</v>
      </c>
      <c r="AI102" s="2">
        <f t="shared" si="4"/>
        <v>0</v>
      </c>
      <c r="AJ102" s="2">
        <f t="shared" si="5"/>
        <v>3</v>
      </c>
    </row>
    <row r="103" spans="2:36" x14ac:dyDescent="0.2">
      <c r="B103" s="102"/>
      <c r="C103" s="103">
        <v>100</v>
      </c>
      <c r="D103" s="205">
        <v>6899190.4910872979</v>
      </c>
      <c r="E103" s="205">
        <v>3919626.1738036191</v>
      </c>
      <c r="F103" s="205">
        <v>0</v>
      </c>
      <c r="G103" s="205">
        <v>0</v>
      </c>
      <c r="H103" s="205">
        <v>863884.53746474232</v>
      </c>
      <c r="I103" s="206">
        <v>-1</v>
      </c>
      <c r="J103" s="206">
        <v>-1</v>
      </c>
      <c r="K103" s="206">
        <v>13</v>
      </c>
      <c r="L103" s="206">
        <v>12</v>
      </c>
      <c r="M103" s="206">
        <v>10</v>
      </c>
      <c r="N103" s="206">
        <v>9</v>
      </c>
      <c r="O103" s="206">
        <v>13</v>
      </c>
      <c r="P103" s="206">
        <v>11</v>
      </c>
      <c r="Q103" s="206">
        <v>0</v>
      </c>
      <c r="R103" s="206">
        <v>-1</v>
      </c>
      <c r="S103" s="206">
        <v>13</v>
      </c>
      <c r="T103" s="206">
        <v>9</v>
      </c>
      <c r="U103" s="206">
        <v>12</v>
      </c>
      <c r="V103" s="206">
        <v>9</v>
      </c>
      <c r="W103" s="206">
        <v>13</v>
      </c>
      <c r="X103" s="206">
        <v>11</v>
      </c>
      <c r="Y103" s="206">
        <v>7</v>
      </c>
      <c r="Z103" s="206">
        <v>9</v>
      </c>
      <c r="AA103" s="206">
        <v>7</v>
      </c>
      <c r="AB103" s="206">
        <v>7</v>
      </c>
      <c r="AC103" s="206">
        <v>6</v>
      </c>
      <c r="AD103" s="206">
        <v>10</v>
      </c>
      <c r="AE103" s="206">
        <v>13</v>
      </c>
      <c r="AF103" s="206">
        <v>8</v>
      </c>
      <c r="AG103" s="206">
        <v>0</v>
      </c>
      <c r="AH103" s="2">
        <f t="shared" si="3"/>
        <v>3</v>
      </c>
      <c r="AI103" s="2">
        <f t="shared" si="4"/>
        <v>0</v>
      </c>
      <c r="AJ103" s="2">
        <f t="shared" si="5"/>
        <v>3</v>
      </c>
    </row>
    <row r="104" spans="2:36" x14ac:dyDescent="0.2">
      <c r="B104" s="102"/>
      <c r="C104" s="103">
        <v>101</v>
      </c>
      <c r="D104" s="205">
        <v>6435128.0887597306</v>
      </c>
      <c r="E104" s="205">
        <v>3615050.526919438</v>
      </c>
      <c r="F104" s="205">
        <v>0</v>
      </c>
      <c r="G104" s="205">
        <v>0</v>
      </c>
      <c r="H104" s="205">
        <v>820615.30669551156</v>
      </c>
      <c r="I104" s="206">
        <v>-1</v>
      </c>
      <c r="J104" s="206">
        <v>-1</v>
      </c>
      <c r="K104" s="206">
        <v>13</v>
      </c>
      <c r="L104" s="206">
        <v>12</v>
      </c>
      <c r="M104" s="206">
        <v>0</v>
      </c>
      <c r="N104" s="206">
        <v>9</v>
      </c>
      <c r="O104" s="206">
        <v>13</v>
      </c>
      <c r="P104" s="206">
        <v>11</v>
      </c>
      <c r="Q104" s="206">
        <v>12</v>
      </c>
      <c r="R104" s="206">
        <v>-1</v>
      </c>
      <c r="S104" s="206">
        <v>13</v>
      </c>
      <c r="T104" s="206">
        <v>9</v>
      </c>
      <c r="U104" s="206">
        <v>12</v>
      </c>
      <c r="V104" s="206">
        <v>9</v>
      </c>
      <c r="W104" s="206">
        <v>0</v>
      </c>
      <c r="X104" s="206">
        <v>11</v>
      </c>
      <c r="Y104" s="206">
        <v>7</v>
      </c>
      <c r="Z104" s="206">
        <v>9</v>
      </c>
      <c r="AA104" s="206">
        <v>7</v>
      </c>
      <c r="AB104" s="206">
        <v>7</v>
      </c>
      <c r="AC104" s="206">
        <v>0</v>
      </c>
      <c r="AD104" s="206">
        <v>10</v>
      </c>
      <c r="AE104" s="206">
        <v>13</v>
      </c>
      <c r="AF104" s="206">
        <v>0</v>
      </c>
      <c r="AG104" s="206">
        <v>12</v>
      </c>
      <c r="AH104" s="2">
        <f t="shared" si="3"/>
        <v>3</v>
      </c>
      <c r="AI104" s="2">
        <f t="shared" si="4"/>
        <v>0</v>
      </c>
      <c r="AJ104" s="2">
        <f t="shared" si="5"/>
        <v>3</v>
      </c>
    </row>
    <row r="105" spans="2:36" x14ac:dyDescent="0.2">
      <c r="B105" s="102"/>
      <c r="C105" s="103">
        <v>102</v>
      </c>
      <c r="D105" s="205">
        <v>5671138.982746304</v>
      </c>
      <c r="E105" s="205">
        <v>3239883.2290374255</v>
      </c>
      <c r="F105" s="205">
        <v>0</v>
      </c>
      <c r="G105" s="205">
        <v>0</v>
      </c>
      <c r="H105" s="205">
        <v>820615.30669551156</v>
      </c>
      <c r="I105" s="206">
        <v>-1</v>
      </c>
      <c r="J105" s="206">
        <v>-1</v>
      </c>
      <c r="K105" s="206">
        <v>0</v>
      </c>
      <c r="L105" s="206">
        <v>12</v>
      </c>
      <c r="M105" s="206">
        <v>0</v>
      </c>
      <c r="N105" s="206">
        <v>0</v>
      </c>
      <c r="O105" s="206">
        <v>13</v>
      </c>
      <c r="P105" s="206">
        <v>11</v>
      </c>
      <c r="Q105" s="206">
        <v>12</v>
      </c>
      <c r="R105" s="206">
        <v>-1</v>
      </c>
      <c r="S105" s="206">
        <v>13</v>
      </c>
      <c r="T105" s="206">
        <v>9</v>
      </c>
      <c r="U105" s="206">
        <v>0</v>
      </c>
      <c r="V105" s="206">
        <v>9</v>
      </c>
      <c r="W105" s="206">
        <v>14</v>
      </c>
      <c r="X105" s="206">
        <v>11</v>
      </c>
      <c r="Y105" s="206">
        <v>0</v>
      </c>
      <c r="Z105" s="206">
        <v>9</v>
      </c>
      <c r="AA105" s="206">
        <v>7</v>
      </c>
      <c r="AB105" s="206">
        <v>7</v>
      </c>
      <c r="AC105" s="206">
        <v>0</v>
      </c>
      <c r="AD105" s="206">
        <v>10</v>
      </c>
      <c r="AE105" s="206">
        <v>13</v>
      </c>
      <c r="AF105" s="206">
        <v>0</v>
      </c>
      <c r="AG105" s="206">
        <v>12</v>
      </c>
      <c r="AH105" s="2">
        <f t="shared" si="3"/>
        <v>3</v>
      </c>
      <c r="AI105" s="2">
        <f t="shared" si="4"/>
        <v>0</v>
      </c>
      <c r="AJ105" s="2">
        <f t="shared" si="5"/>
        <v>3</v>
      </c>
    </row>
    <row r="106" spans="2:36" x14ac:dyDescent="0.2">
      <c r="B106" s="102"/>
      <c r="C106" s="103">
        <v>103</v>
      </c>
      <c r="D106" s="205">
        <v>3230856.9739499153</v>
      </c>
      <c r="E106" s="205">
        <v>1833254.3766755192</v>
      </c>
      <c r="F106" s="205">
        <v>0</v>
      </c>
      <c r="G106" s="205">
        <v>0</v>
      </c>
      <c r="H106" s="205">
        <v>526896.75019396376</v>
      </c>
      <c r="I106" s="206">
        <v>-1</v>
      </c>
      <c r="J106" s="206">
        <v>-1</v>
      </c>
      <c r="K106" s="206">
        <v>0</v>
      </c>
      <c r="L106" s="206">
        <v>12</v>
      </c>
      <c r="M106" s="206">
        <v>11</v>
      </c>
      <c r="N106" s="206">
        <v>0</v>
      </c>
      <c r="O106" s="206">
        <v>13</v>
      </c>
      <c r="P106" s="206">
        <v>11</v>
      </c>
      <c r="Q106" s="206">
        <v>12</v>
      </c>
      <c r="R106" s="206">
        <v>-1</v>
      </c>
      <c r="S106" s="206">
        <v>0</v>
      </c>
      <c r="T106" s="206">
        <v>9</v>
      </c>
      <c r="U106" s="206">
        <v>0</v>
      </c>
      <c r="V106" s="206">
        <v>0</v>
      </c>
      <c r="W106" s="206">
        <v>14</v>
      </c>
      <c r="X106" s="206">
        <v>11</v>
      </c>
      <c r="Y106" s="206">
        <v>0</v>
      </c>
      <c r="Z106" s="206">
        <v>9</v>
      </c>
      <c r="AA106" s="206">
        <v>7</v>
      </c>
      <c r="AB106" s="206">
        <v>7</v>
      </c>
      <c r="AC106" s="206">
        <v>7</v>
      </c>
      <c r="AD106" s="206">
        <v>10</v>
      </c>
      <c r="AE106" s="206">
        <v>13</v>
      </c>
      <c r="AF106" s="206">
        <v>9</v>
      </c>
      <c r="AG106" s="206">
        <v>12</v>
      </c>
      <c r="AH106" s="2">
        <f t="shared" si="3"/>
        <v>3</v>
      </c>
      <c r="AI106" s="2">
        <f t="shared" si="4"/>
        <v>0</v>
      </c>
      <c r="AJ106" s="2">
        <f t="shared" si="5"/>
        <v>3</v>
      </c>
    </row>
    <row r="107" spans="2:36" x14ac:dyDescent="0.2">
      <c r="B107" s="102"/>
      <c r="C107" s="103">
        <v>104</v>
      </c>
      <c r="D107" s="205">
        <v>3867531.0667150007</v>
      </c>
      <c r="E107" s="205">
        <v>2194451.8709947695</v>
      </c>
      <c r="F107" s="205">
        <v>0</v>
      </c>
      <c r="G107" s="205">
        <v>0</v>
      </c>
      <c r="H107" s="205">
        <v>526896.75019396376</v>
      </c>
      <c r="I107" s="206">
        <v>-1</v>
      </c>
      <c r="J107" s="206">
        <v>-1</v>
      </c>
      <c r="K107" s="206">
        <v>0</v>
      </c>
      <c r="L107" s="206">
        <v>12</v>
      </c>
      <c r="M107" s="206">
        <v>11</v>
      </c>
      <c r="N107" s="206">
        <v>0</v>
      </c>
      <c r="O107" s="206">
        <v>13</v>
      </c>
      <c r="P107" s="206">
        <v>11</v>
      </c>
      <c r="Q107" s="206">
        <v>12</v>
      </c>
      <c r="R107" s="206">
        <v>-1</v>
      </c>
      <c r="S107" s="206">
        <v>0</v>
      </c>
      <c r="T107" s="206">
        <v>9</v>
      </c>
      <c r="U107" s="206">
        <v>13</v>
      </c>
      <c r="V107" s="206">
        <v>0</v>
      </c>
      <c r="W107" s="206">
        <v>14</v>
      </c>
      <c r="X107" s="206">
        <v>11</v>
      </c>
      <c r="Y107" s="206">
        <v>0</v>
      </c>
      <c r="Z107" s="206">
        <v>9</v>
      </c>
      <c r="AA107" s="206">
        <v>7</v>
      </c>
      <c r="AB107" s="206">
        <v>7</v>
      </c>
      <c r="AC107" s="206">
        <v>7</v>
      </c>
      <c r="AD107" s="206">
        <v>10</v>
      </c>
      <c r="AE107" s="206">
        <v>13</v>
      </c>
      <c r="AF107" s="206">
        <v>9</v>
      </c>
      <c r="AG107" s="206">
        <v>12</v>
      </c>
      <c r="AH107" s="2">
        <f t="shared" si="3"/>
        <v>3</v>
      </c>
      <c r="AI107" s="2">
        <f t="shared" si="4"/>
        <v>0</v>
      </c>
      <c r="AJ107" s="2">
        <f t="shared" si="5"/>
        <v>3</v>
      </c>
    </row>
    <row r="108" spans="2:36" x14ac:dyDescent="0.2">
      <c r="B108" s="102"/>
      <c r="C108" s="103">
        <v>105</v>
      </c>
      <c r="D108" s="205">
        <v>5745315.4075935148</v>
      </c>
      <c r="E108" s="205">
        <v>3286690.9747592858</v>
      </c>
      <c r="F108" s="205">
        <v>0</v>
      </c>
      <c r="G108" s="205">
        <v>0</v>
      </c>
      <c r="H108" s="205">
        <v>780250.72336217819</v>
      </c>
      <c r="I108" s="206">
        <v>-1</v>
      </c>
      <c r="J108" s="206">
        <v>-1</v>
      </c>
      <c r="K108" s="206">
        <v>14</v>
      </c>
      <c r="L108" s="206">
        <v>12</v>
      </c>
      <c r="M108" s="206">
        <v>11</v>
      </c>
      <c r="N108" s="206">
        <v>10</v>
      </c>
      <c r="O108" s="206">
        <v>13</v>
      </c>
      <c r="P108" s="206">
        <v>11</v>
      </c>
      <c r="Q108" s="206">
        <v>12</v>
      </c>
      <c r="R108" s="206">
        <v>-1</v>
      </c>
      <c r="S108" s="206">
        <v>0</v>
      </c>
      <c r="T108" s="206">
        <v>9</v>
      </c>
      <c r="U108" s="206">
        <v>13</v>
      </c>
      <c r="V108" s="206">
        <v>0</v>
      </c>
      <c r="W108" s="206">
        <v>14</v>
      </c>
      <c r="X108" s="206">
        <v>11</v>
      </c>
      <c r="Y108" s="206">
        <v>8</v>
      </c>
      <c r="Z108" s="206">
        <v>0</v>
      </c>
      <c r="AA108" s="206">
        <v>0</v>
      </c>
      <c r="AB108" s="206">
        <v>7</v>
      </c>
      <c r="AC108" s="206">
        <v>7</v>
      </c>
      <c r="AD108" s="206">
        <v>0</v>
      </c>
      <c r="AE108" s="206">
        <v>0</v>
      </c>
      <c r="AF108" s="206">
        <v>9</v>
      </c>
      <c r="AG108" s="206">
        <v>12</v>
      </c>
      <c r="AH108" s="2">
        <f t="shared" si="3"/>
        <v>3</v>
      </c>
      <c r="AI108" s="2">
        <f t="shared" si="4"/>
        <v>0</v>
      </c>
      <c r="AJ108" s="2">
        <f t="shared" si="5"/>
        <v>3</v>
      </c>
    </row>
    <row r="109" spans="2:36" x14ac:dyDescent="0.2">
      <c r="B109" s="102"/>
      <c r="C109" s="103">
        <v>106</v>
      </c>
      <c r="D109" s="205">
        <v>6681896.9690601304</v>
      </c>
      <c r="E109" s="205">
        <v>3826197.4975186572</v>
      </c>
      <c r="F109" s="205">
        <v>0</v>
      </c>
      <c r="G109" s="205">
        <v>0</v>
      </c>
      <c r="H109" s="205">
        <v>863884.53746474232</v>
      </c>
      <c r="I109" s="206">
        <v>-1</v>
      </c>
      <c r="J109" s="206">
        <v>-1</v>
      </c>
      <c r="K109" s="206">
        <v>14</v>
      </c>
      <c r="L109" s="206">
        <v>0</v>
      </c>
      <c r="M109" s="206">
        <v>11</v>
      </c>
      <c r="N109" s="206">
        <v>10</v>
      </c>
      <c r="O109" s="206">
        <v>13</v>
      </c>
      <c r="P109" s="206">
        <v>11</v>
      </c>
      <c r="Q109" s="206">
        <v>12</v>
      </c>
      <c r="R109" s="206">
        <v>-1</v>
      </c>
      <c r="S109" s="206">
        <v>14</v>
      </c>
      <c r="T109" s="206">
        <v>9</v>
      </c>
      <c r="U109" s="206">
        <v>13</v>
      </c>
      <c r="V109" s="206">
        <v>10</v>
      </c>
      <c r="W109" s="206">
        <v>14</v>
      </c>
      <c r="X109" s="206">
        <v>11</v>
      </c>
      <c r="Y109" s="206">
        <v>8</v>
      </c>
      <c r="Z109" s="206">
        <v>0</v>
      </c>
      <c r="AA109" s="206">
        <v>0</v>
      </c>
      <c r="AB109" s="206">
        <v>7</v>
      </c>
      <c r="AC109" s="206">
        <v>7</v>
      </c>
      <c r="AD109" s="206">
        <v>0</v>
      </c>
      <c r="AE109" s="206">
        <v>0</v>
      </c>
      <c r="AF109" s="206">
        <v>9</v>
      </c>
      <c r="AG109" s="206">
        <v>0</v>
      </c>
      <c r="AH109" s="2">
        <f t="shared" si="3"/>
        <v>3</v>
      </c>
      <c r="AI109" s="2">
        <f t="shared" si="4"/>
        <v>0</v>
      </c>
      <c r="AJ109" s="2">
        <f t="shared" si="5"/>
        <v>3</v>
      </c>
    </row>
    <row r="110" spans="2:36" x14ac:dyDescent="0.2">
      <c r="B110" s="102"/>
      <c r="C110" s="103">
        <v>107</v>
      </c>
      <c r="D110" s="205">
        <v>5320356.2248538816</v>
      </c>
      <c r="E110" s="205">
        <v>3020310.0854526446</v>
      </c>
      <c r="F110" s="205">
        <v>0</v>
      </c>
      <c r="G110" s="205">
        <v>0</v>
      </c>
      <c r="H110" s="205">
        <v>780250.72336217819</v>
      </c>
      <c r="I110" s="206">
        <v>-1</v>
      </c>
      <c r="J110" s="206">
        <v>-1</v>
      </c>
      <c r="K110" s="206">
        <v>14</v>
      </c>
      <c r="L110" s="206">
        <v>0</v>
      </c>
      <c r="M110" s="206">
        <v>11</v>
      </c>
      <c r="N110" s="206">
        <v>10</v>
      </c>
      <c r="O110" s="206">
        <v>13</v>
      </c>
      <c r="P110" s="206">
        <v>11</v>
      </c>
      <c r="Q110" s="206">
        <v>12</v>
      </c>
      <c r="R110" s="206">
        <v>-1</v>
      </c>
      <c r="S110" s="206">
        <v>14</v>
      </c>
      <c r="T110" s="206">
        <v>9</v>
      </c>
      <c r="U110" s="206">
        <v>13</v>
      </c>
      <c r="V110" s="206">
        <v>0</v>
      </c>
      <c r="W110" s="206">
        <v>14</v>
      </c>
      <c r="X110" s="206">
        <v>11</v>
      </c>
      <c r="Y110" s="206">
        <v>8</v>
      </c>
      <c r="Z110" s="206">
        <v>0</v>
      </c>
      <c r="AA110" s="206">
        <v>8</v>
      </c>
      <c r="AB110" s="206">
        <v>0</v>
      </c>
      <c r="AC110" s="206">
        <v>7</v>
      </c>
      <c r="AD110" s="206">
        <v>0</v>
      </c>
      <c r="AE110" s="206">
        <v>0</v>
      </c>
      <c r="AF110" s="206">
        <v>9</v>
      </c>
      <c r="AG110" s="206">
        <v>13</v>
      </c>
      <c r="AH110" s="2">
        <f t="shared" si="3"/>
        <v>3</v>
      </c>
      <c r="AI110" s="2">
        <f t="shared" si="4"/>
        <v>0</v>
      </c>
      <c r="AJ110" s="2">
        <f t="shared" si="5"/>
        <v>3</v>
      </c>
    </row>
    <row r="111" spans="2:36" x14ac:dyDescent="0.2">
      <c r="B111" s="102"/>
      <c r="C111" s="103">
        <v>108</v>
      </c>
      <c r="D111" s="205">
        <v>3920239.641812792</v>
      </c>
      <c r="E111" s="205">
        <v>2255568.8148556929</v>
      </c>
      <c r="F111" s="205">
        <v>0</v>
      </c>
      <c r="G111" s="205">
        <v>0</v>
      </c>
      <c r="H111" s="205">
        <v>415785.63908285269</v>
      </c>
      <c r="I111" s="206">
        <v>-1</v>
      </c>
      <c r="J111" s="206">
        <v>-1</v>
      </c>
      <c r="K111" s="206">
        <v>14</v>
      </c>
      <c r="L111" s="206">
        <v>13</v>
      </c>
      <c r="M111" s="206">
        <v>11</v>
      </c>
      <c r="N111" s="206">
        <v>10</v>
      </c>
      <c r="O111" s="206">
        <v>13</v>
      </c>
      <c r="P111" s="206">
        <v>11</v>
      </c>
      <c r="Q111" s="206">
        <v>0</v>
      </c>
      <c r="R111" s="206">
        <v>-1</v>
      </c>
      <c r="S111" s="206">
        <v>14</v>
      </c>
      <c r="T111" s="206">
        <v>0</v>
      </c>
      <c r="U111" s="206">
        <v>0</v>
      </c>
      <c r="V111" s="206">
        <v>0</v>
      </c>
      <c r="W111" s="206">
        <v>14</v>
      </c>
      <c r="X111" s="206">
        <v>11</v>
      </c>
      <c r="Y111" s="206">
        <v>8</v>
      </c>
      <c r="Z111" s="206">
        <v>10</v>
      </c>
      <c r="AA111" s="206">
        <v>8</v>
      </c>
      <c r="AB111" s="206">
        <v>8</v>
      </c>
      <c r="AC111" s="206">
        <v>7</v>
      </c>
      <c r="AD111" s="206">
        <v>11</v>
      </c>
      <c r="AE111" s="206">
        <v>14</v>
      </c>
      <c r="AF111" s="206">
        <v>9</v>
      </c>
      <c r="AG111" s="206">
        <v>13</v>
      </c>
      <c r="AH111" s="2">
        <f t="shared" si="3"/>
        <v>3</v>
      </c>
      <c r="AI111" s="2">
        <f t="shared" si="4"/>
        <v>0</v>
      </c>
      <c r="AJ111" s="2">
        <f t="shared" si="5"/>
        <v>3</v>
      </c>
    </row>
    <row r="112" spans="2:36" x14ac:dyDescent="0.2">
      <c r="B112" s="102"/>
      <c r="C112" s="103">
        <v>109</v>
      </c>
      <c r="D112" s="205">
        <v>2639357.7713654996</v>
      </c>
      <c r="E112" s="205">
        <v>1483117.671911747</v>
      </c>
      <c r="F112" s="205">
        <v>0</v>
      </c>
      <c r="G112" s="205">
        <v>0</v>
      </c>
      <c r="H112" s="205">
        <v>337507.45280834287</v>
      </c>
      <c r="I112" s="206">
        <v>-1</v>
      </c>
      <c r="J112" s="206">
        <v>-1</v>
      </c>
      <c r="K112" s="206">
        <v>14</v>
      </c>
      <c r="L112" s="206">
        <v>13</v>
      </c>
      <c r="M112" s="206">
        <v>11</v>
      </c>
      <c r="N112" s="206">
        <v>10</v>
      </c>
      <c r="O112" s="206">
        <v>13</v>
      </c>
      <c r="P112" s="206">
        <v>11</v>
      </c>
      <c r="Q112" s="206">
        <v>0</v>
      </c>
      <c r="R112" s="206">
        <v>-1</v>
      </c>
      <c r="S112" s="206">
        <v>14</v>
      </c>
      <c r="T112" s="206">
        <v>0</v>
      </c>
      <c r="U112" s="206">
        <v>14</v>
      </c>
      <c r="V112" s="206">
        <v>11</v>
      </c>
      <c r="W112" s="206">
        <v>14</v>
      </c>
      <c r="X112" s="206">
        <v>11</v>
      </c>
      <c r="Y112" s="206">
        <v>8</v>
      </c>
      <c r="Z112" s="206">
        <v>10</v>
      </c>
      <c r="AA112" s="206">
        <v>8</v>
      </c>
      <c r="AB112" s="206">
        <v>8</v>
      </c>
      <c r="AC112" s="206">
        <v>7</v>
      </c>
      <c r="AD112" s="206">
        <v>11</v>
      </c>
      <c r="AE112" s="206">
        <v>14</v>
      </c>
      <c r="AF112" s="206">
        <v>9</v>
      </c>
      <c r="AG112" s="206">
        <v>13</v>
      </c>
      <c r="AH112" s="2">
        <f t="shared" si="3"/>
        <v>3</v>
      </c>
      <c r="AI112" s="2">
        <f t="shared" si="4"/>
        <v>0</v>
      </c>
      <c r="AJ112" s="2">
        <f t="shared" si="5"/>
        <v>3</v>
      </c>
    </row>
    <row r="113" spans="2:36" x14ac:dyDescent="0.2">
      <c r="B113" s="102"/>
      <c r="C113" s="103">
        <v>110</v>
      </c>
      <c r="D113" s="205">
        <v>4175452.5606496814</v>
      </c>
      <c r="E113" s="205">
        <v>2383802.0852217269</v>
      </c>
      <c r="F113" s="205">
        <v>0</v>
      </c>
      <c r="G113" s="205">
        <v>0</v>
      </c>
      <c r="H113" s="205">
        <v>415785.63908285269</v>
      </c>
      <c r="I113" s="206">
        <v>-1</v>
      </c>
      <c r="J113" s="206">
        <v>-1</v>
      </c>
      <c r="K113" s="206">
        <v>14</v>
      </c>
      <c r="L113" s="206">
        <v>13</v>
      </c>
      <c r="M113" s="206">
        <v>11</v>
      </c>
      <c r="N113" s="206">
        <v>10</v>
      </c>
      <c r="O113" s="206">
        <v>0</v>
      </c>
      <c r="P113" s="206">
        <v>11</v>
      </c>
      <c r="Q113" s="206">
        <v>13</v>
      </c>
      <c r="R113" s="206">
        <v>-1</v>
      </c>
      <c r="S113" s="206">
        <v>14</v>
      </c>
      <c r="T113" s="206">
        <v>10</v>
      </c>
      <c r="U113" s="206">
        <v>14</v>
      </c>
      <c r="V113" s="206">
        <v>0</v>
      </c>
      <c r="W113" s="206">
        <v>14</v>
      </c>
      <c r="X113" s="206">
        <v>11</v>
      </c>
      <c r="Y113" s="206">
        <v>8</v>
      </c>
      <c r="Z113" s="206">
        <v>10</v>
      </c>
      <c r="AA113" s="206">
        <v>8</v>
      </c>
      <c r="AB113" s="206">
        <v>8</v>
      </c>
      <c r="AC113" s="206">
        <v>7</v>
      </c>
      <c r="AD113" s="206">
        <v>11</v>
      </c>
      <c r="AE113" s="206">
        <v>14</v>
      </c>
      <c r="AF113" s="206">
        <v>9</v>
      </c>
      <c r="AG113" s="206">
        <v>13</v>
      </c>
      <c r="AH113" s="2">
        <f t="shared" si="3"/>
        <v>3</v>
      </c>
      <c r="AI113" s="2">
        <f t="shared" si="4"/>
        <v>0</v>
      </c>
      <c r="AJ113" s="2">
        <f t="shared" si="5"/>
        <v>3</v>
      </c>
    </row>
    <row r="114" spans="2:36" x14ac:dyDescent="0.2">
      <c r="B114" s="102"/>
      <c r="C114" s="103">
        <v>111</v>
      </c>
      <c r="D114" s="205">
        <v>3020807.7954778331</v>
      </c>
      <c r="E114" s="205">
        <v>1747182.4260678669</v>
      </c>
      <c r="F114" s="205">
        <v>0</v>
      </c>
      <c r="G114" s="205">
        <v>0</v>
      </c>
      <c r="H114" s="205">
        <v>415785.63908285269</v>
      </c>
      <c r="I114" s="206">
        <v>-1</v>
      </c>
      <c r="J114" s="206">
        <v>-1</v>
      </c>
      <c r="K114" s="206">
        <v>0</v>
      </c>
      <c r="L114" s="206">
        <v>13</v>
      </c>
      <c r="M114" s="206">
        <v>11</v>
      </c>
      <c r="N114" s="206">
        <v>10</v>
      </c>
      <c r="O114" s="206">
        <v>0</v>
      </c>
      <c r="P114" s="206">
        <v>0</v>
      </c>
      <c r="Q114" s="206">
        <v>13</v>
      </c>
      <c r="R114" s="206">
        <v>-1</v>
      </c>
      <c r="S114" s="206">
        <v>14</v>
      </c>
      <c r="T114" s="206">
        <v>10</v>
      </c>
      <c r="U114" s="206">
        <v>14</v>
      </c>
      <c r="V114" s="206">
        <v>0</v>
      </c>
      <c r="W114" s="206">
        <v>14</v>
      </c>
      <c r="X114" s="206">
        <v>11</v>
      </c>
      <c r="Y114" s="206">
        <v>8</v>
      </c>
      <c r="Z114" s="206">
        <v>10</v>
      </c>
      <c r="AA114" s="206">
        <v>8</v>
      </c>
      <c r="AB114" s="206">
        <v>8</v>
      </c>
      <c r="AC114" s="206">
        <v>7</v>
      </c>
      <c r="AD114" s="206">
        <v>11</v>
      </c>
      <c r="AE114" s="206">
        <v>14</v>
      </c>
      <c r="AF114" s="206">
        <v>9</v>
      </c>
      <c r="AG114" s="206">
        <v>13</v>
      </c>
      <c r="AH114" s="2">
        <f t="shared" si="3"/>
        <v>3</v>
      </c>
      <c r="AI114" s="2">
        <f t="shared" si="4"/>
        <v>0</v>
      </c>
      <c r="AJ114" s="2">
        <f t="shared" si="5"/>
        <v>3</v>
      </c>
    </row>
    <row r="115" spans="2:36" x14ac:dyDescent="0.2">
      <c r="B115" s="102"/>
      <c r="C115" s="103">
        <v>112</v>
      </c>
      <c r="D115" s="205">
        <v>4448831.0507666357</v>
      </c>
      <c r="E115" s="205">
        <v>2566221.2901365673</v>
      </c>
      <c r="F115" s="205">
        <v>0</v>
      </c>
      <c r="G115" s="205">
        <v>0</v>
      </c>
      <c r="H115" s="205">
        <v>662926.16195866955</v>
      </c>
      <c r="I115" s="206">
        <v>-1</v>
      </c>
      <c r="J115" s="206">
        <v>-1</v>
      </c>
      <c r="K115" s="206">
        <v>15</v>
      </c>
      <c r="L115" s="206">
        <v>13</v>
      </c>
      <c r="M115" s="206">
        <v>11</v>
      </c>
      <c r="N115" s="206">
        <v>10</v>
      </c>
      <c r="O115" s="206">
        <v>14</v>
      </c>
      <c r="P115" s="206">
        <v>0</v>
      </c>
      <c r="Q115" s="206">
        <v>0</v>
      </c>
      <c r="R115" s="206">
        <v>-1</v>
      </c>
      <c r="S115" s="206">
        <v>0</v>
      </c>
      <c r="T115" s="206">
        <v>0</v>
      </c>
      <c r="U115" s="206">
        <v>14</v>
      </c>
      <c r="V115" s="206">
        <v>12</v>
      </c>
      <c r="W115" s="206">
        <v>0</v>
      </c>
      <c r="X115" s="206">
        <v>0</v>
      </c>
      <c r="Y115" s="206">
        <v>8</v>
      </c>
      <c r="Z115" s="206">
        <v>10</v>
      </c>
      <c r="AA115" s="206">
        <v>8</v>
      </c>
      <c r="AB115" s="206">
        <v>0</v>
      </c>
      <c r="AC115" s="206">
        <v>7</v>
      </c>
      <c r="AD115" s="206">
        <v>11</v>
      </c>
      <c r="AE115" s="206">
        <v>14</v>
      </c>
      <c r="AF115" s="206">
        <v>9</v>
      </c>
      <c r="AG115" s="206">
        <v>13</v>
      </c>
      <c r="AH115" s="2">
        <f t="shared" si="3"/>
        <v>3</v>
      </c>
      <c r="AI115" s="2">
        <f t="shared" si="4"/>
        <v>0</v>
      </c>
      <c r="AJ115" s="2">
        <f t="shared" si="5"/>
        <v>3</v>
      </c>
    </row>
    <row r="116" spans="2:36" x14ac:dyDescent="0.2">
      <c r="B116" s="102"/>
      <c r="C116" s="103">
        <v>113</v>
      </c>
      <c r="D116" s="205">
        <v>6119477.2862474639</v>
      </c>
      <c r="E116" s="205">
        <v>3466084.4657551888</v>
      </c>
      <c r="F116" s="205">
        <v>0</v>
      </c>
      <c r="G116" s="205">
        <v>0</v>
      </c>
      <c r="H116" s="205">
        <v>746259.4952920028</v>
      </c>
      <c r="I116" s="206">
        <v>-1</v>
      </c>
      <c r="J116" s="206">
        <v>-1</v>
      </c>
      <c r="K116" s="206">
        <v>15</v>
      </c>
      <c r="L116" s="206">
        <v>13</v>
      </c>
      <c r="M116" s="206">
        <v>0</v>
      </c>
      <c r="N116" s="206">
        <v>10</v>
      </c>
      <c r="O116" s="206">
        <v>14</v>
      </c>
      <c r="P116" s="206">
        <v>12</v>
      </c>
      <c r="Q116" s="206">
        <v>14</v>
      </c>
      <c r="R116" s="206">
        <v>-1</v>
      </c>
      <c r="S116" s="206">
        <v>0</v>
      </c>
      <c r="T116" s="206">
        <v>0</v>
      </c>
      <c r="U116" s="206">
        <v>14</v>
      </c>
      <c r="V116" s="206">
        <v>12</v>
      </c>
      <c r="W116" s="206">
        <v>0</v>
      </c>
      <c r="X116" s="206">
        <v>0</v>
      </c>
      <c r="Y116" s="206">
        <v>0</v>
      </c>
      <c r="Z116" s="206">
        <v>10</v>
      </c>
      <c r="AA116" s="206">
        <v>8</v>
      </c>
      <c r="AB116" s="206">
        <v>0</v>
      </c>
      <c r="AC116" s="206">
        <v>7</v>
      </c>
      <c r="AD116" s="206">
        <v>0</v>
      </c>
      <c r="AE116" s="206">
        <v>14</v>
      </c>
      <c r="AF116" s="206">
        <v>9</v>
      </c>
      <c r="AG116" s="206">
        <v>13</v>
      </c>
      <c r="AH116" s="2">
        <f t="shared" si="3"/>
        <v>3</v>
      </c>
      <c r="AI116" s="2">
        <f t="shared" si="4"/>
        <v>0</v>
      </c>
      <c r="AJ116" s="2">
        <f t="shared" si="5"/>
        <v>3</v>
      </c>
    </row>
    <row r="117" spans="2:36" x14ac:dyDescent="0.2">
      <c r="B117" s="102"/>
      <c r="C117" s="103">
        <v>114</v>
      </c>
      <c r="D117" s="205">
        <v>5647170.1839462323</v>
      </c>
      <c r="E117" s="205">
        <v>3231622.9558198173</v>
      </c>
      <c r="F117" s="205">
        <v>0</v>
      </c>
      <c r="G117" s="205">
        <v>0</v>
      </c>
      <c r="H117" s="205">
        <v>704592.82862533617</v>
      </c>
      <c r="I117" s="206">
        <v>-1</v>
      </c>
      <c r="J117" s="206">
        <v>-1</v>
      </c>
      <c r="K117" s="206">
        <v>15</v>
      </c>
      <c r="L117" s="206">
        <v>0</v>
      </c>
      <c r="M117" s="206">
        <v>12</v>
      </c>
      <c r="N117" s="206">
        <v>10</v>
      </c>
      <c r="O117" s="206">
        <v>14</v>
      </c>
      <c r="P117" s="206">
        <v>12</v>
      </c>
      <c r="Q117" s="206">
        <v>14</v>
      </c>
      <c r="R117" s="206">
        <v>-1</v>
      </c>
      <c r="S117" s="206">
        <v>0</v>
      </c>
      <c r="T117" s="206">
        <v>11</v>
      </c>
      <c r="U117" s="206">
        <v>14</v>
      </c>
      <c r="V117" s="206">
        <v>12</v>
      </c>
      <c r="W117" s="206">
        <v>15</v>
      </c>
      <c r="X117" s="206">
        <v>12</v>
      </c>
      <c r="Y117" s="206">
        <v>0</v>
      </c>
      <c r="Z117" s="206">
        <v>10</v>
      </c>
      <c r="AA117" s="206">
        <v>8</v>
      </c>
      <c r="AB117" s="206">
        <v>0</v>
      </c>
      <c r="AC117" s="206">
        <v>0</v>
      </c>
      <c r="AD117" s="206">
        <v>12</v>
      </c>
      <c r="AE117" s="206">
        <v>14</v>
      </c>
      <c r="AF117" s="206">
        <v>9</v>
      </c>
      <c r="AG117" s="206">
        <v>13</v>
      </c>
      <c r="AH117" s="2">
        <f t="shared" si="3"/>
        <v>3</v>
      </c>
      <c r="AI117" s="2">
        <f t="shared" si="4"/>
        <v>0</v>
      </c>
      <c r="AJ117" s="2">
        <f t="shared" si="5"/>
        <v>3</v>
      </c>
    </row>
    <row r="118" spans="2:36" x14ac:dyDescent="0.2">
      <c r="B118" s="102"/>
      <c r="C118" s="103">
        <v>115</v>
      </c>
      <c r="D118" s="205">
        <v>7543980.3599252552</v>
      </c>
      <c r="E118" s="205">
        <v>4311044.1632965812</v>
      </c>
      <c r="F118" s="205">
        <v>0</v>
      </c>
      <c r="G118" s="205">
        <v>0</v>
      </c>
      <c r="H118" s="205">
        <v>863884.53746474232</v>
      </c>
      <c r="I118" s="206">
        <v>-1</v>
      </c>
      <c r="J118" s="206">
        <v>-1</v>
      </c>
      <c r="K118" s="206">
        <v>15</v>
      </c>
      <c r="L118" s="206">
        <v>0</v>
      </c>
      <c r="M118" s="206">
        <v>12</v>
      </c>
      <c r="N118" s="206">
        <v>10</v>
      </c>
      <c r="O118" s="206">
        <v>14</v>
      </c>
      <c r="P118" s="206">
        <v>12</v>
      </c>
      <c r="Q118" s="206">
        <v>14</v>
      </c>
      <c r="R118" s="206">
        <v>-1</v>
      </c>
      <c r="S118" s="206">
        <v>15</v>
      </c>
      <c r="T118" s="206">
        <v>11</v>
      </c>
      <c r="U118" s="206">
        <v>14</v>
      </c>
      <c r="V118" s="206">
        <v>12</v>
      </c>
      <c r="W118" s="206">
        <v>15</v>
      </c>
      <c r="X118" s="206">
        <v>12</v>
      </c>
      <c r="Y118" s="206">
        <v>9</v>
      </c>
      <c r="Z118" s="206">
        <v>10</v>
      </c>
      <c r="AA118" s="206">
        <v>8</v>
      </c>
      <c r="AB118" s="206">
        <v>9</v>
      </c>
      <c r="AC118" s="206">
        <v>8</v>
      </c>
      <c r="AD118" s="206">
        <v>0</v>
      </c>
      <c r="AE118" s="206">
        <v>0</v>
      </c>
      <c r="AF118" s="206">
        <v>0</v>
      </c>
      <c r="AG118" s="206">
        <v>0</v>
      </c>
      <c r="AH118" s="2">
        <f t="shared" si="3"/>
        <v>3</v>
      </c>
      <c r="AI118" s="2">
        <f t="shared" si="4"/>
        <v>0</v>
      </c>
      <c r="AJ118" s="2">
        <f t="shared" si="5"/>
        <v>3</v>
      </c>
    </row>
    <row r="119" spans="2:36" x14ac:dyDescent="0.2">
      <c r="B119" s="102"/>
      <c r="C119" s="103">
        <v>116</v>
      </c>
      <c r="D119" s="205">
        <v>9894897.1603078227</v>
      </c>
      <c r="E119" s="205">
        <v>5558392.9646782437</v>
      </c>
      <c r="F119" s="205">
        <v>0</v>
      </c>
      <c r="G119" s="205">
        <v>0</v>
      </c>
      <c r="H119" s="205">
        <v>863884.53746474232</v>
      </c>
      <c r="I119" s="206">
        <v>-1</v>
      </c>
      <c r="J119" s="206">
        <v>-1</v>
      </c>
      <c r="K119" s="206">
        <v>15</v>
      </c>
      <c r="L119" s="206">
        <v>0</v>
      </c>
      <c r="M119" s="206">
        <v>12</v>
      </c>
      <c r="N119" s="206">
        <v>10</v>
      </c>
      <c r="O119" s="206">
        <v>14</v>
      </c>
      <c r="P119" s="206">
        <v>12</v>
      </c>
      <c r="Q119" s="206">
        <v>14</v>
      </c>
      <c r="R119" s="206">
        <v>-1</v>
      </c>
      <c r="S119" s="206">
        <v>15</v>
      </c>
      <c r="T119" s="206">
        <v>11</v>
      </c>
      <c r="U119" s="206">
        <v>14</v>
      </c>
      <c r="V119" s="206">
        <v>12</v>
      </c>
      <c r="W119" s="206">
        <v>15</v>
      </c>
      <c r="X119" s="206">
        <v>12</v>
      </c>
      <c r="Y119" s="206">
        <v>0</v>
      </c>
      <c r="Z119" s="206">
        <v>0</v>
      </c>
      <c r="AA119" s="206">
        <v>8</v>
      </c>
      <c r="AB119" s="206">
        <v>9</v>
      </c>
      <c r="AC119" s="206">
        <v>8</v>
      </c>
      <c r="AD119" s="206">
        <v>0</v>
      </c>
      <c r="AE119" s="206">
        <v>0</v>
      </c>
      <c r="AF119" s="206">
        <v>0</v>
      </c>
      <c r="AG119" s="206">
        <v>0</v>
      </c>
      <c r="AH119" s="2">
        <f t="shared" si="3"/>
        <v>3</v>
      </c>
      <c r="AI119" s="2">
        <f t="shared" si="4"/>
        <v>0</v>
      </c>
      <c r="AJ119" s="2">
        <f t="shared" si="5"/>
        <v>3</v>
      </c>
    </row>
    <row r="120" spans="2:36" x14ac:dyDescent="0.2">
      <c r="B120" s="102"/>
      <c r="C120" s="103">
        <v>117</v>
      </c>
      <c r="D120" s="205">
        <v>9489565.0412427373</v>
      </c>
      <c r="E120" s="205">
        <v>5449905.2623259202</v>
      </c>
      <c r="F120" s="205">
        <v>0</v>
      </c>
      <c r="G120" s="205">
        <v>0</v>
      </c>
      <c r="H120" s="205">
        <v>863884.53746474232</v>
      </c>
      <c r="I120" s="206">
        <v>-1</v>
      </c>
      <c r="J120" s="206">
        <v>-1</v>
      </c>
      <c r="K120" s="206">
        <v>15</v>
      </c>
      <c r="L120" s="206">
        <v>14</v>
      </c>
      <c r="M120" s="206">
        <v>12</v>
      </c>
      <c r="N120" s="206">
        <v>10</v>
      </c>
      <c r="O120" s="206">
        <v>14</v>
      </c>
      <c r="P120" s="206">
        <v>12</v>
      </c>
      <c r="Q120" s="206">
        <v>14</v>
      </c>
      <c r="R120" s="206">
        <v>-1</v>
      </c>
      <c r="S120" s="206">
        <v>15</v>
      </c>
      <c r="T120" s="206">
        <v>11</v>
      </c>
      <c r="U120" s="206">
        <v>0</v>
      </c>
      <c r="V120" s="206">
        <v>0</v>
      </c>
      <c r="W120" s="206">
        <v>15</v>
      </c>
      <c r="X120" s="206">
        <v>12</v>
      </c>
      <c r="Y120" s="206">
        <v>0</v>
      </c>
      <c r="Z120" s="206">
        <v>11</v>
      </c>
      <c r="AA120" s="206">
        <v>0</v>
      </c>
      <c r="AB120" s="206">
        <v>9</v>
      </c>
      <c r="AC120" s="206">
        <v>8</v>
      </c>
      <c r="AD120" s="206">
        <v>0</v>
      </c>
      <c r="AE120" s="206">
        <v>15</v>
      </c>
      <c r="AF120" s="206">
        <v>10</v>
      </c>
      <c r="AG120" s="206">
        <v>0</v>
      </c>
      <c r="AH120" s="2">
        <f t="shared" si="3"/>
        <v>3</v>
      </c>
      <c r="AI120" s="2">
        <f t="shared" si="4"/>
        <v>0</v>
      </c>
      <c r="AJ120" s="2">
        <f t="shared" si="5"/>
        <v>3</v>
      </c>
    </row>
    <row r="121" spans="2:36" x14ac:dyDescent="0.2">
      <c r="B121" s="102"/>
      <c r="C121" s="103">
        <v>118</v>
      </c>
      <c r="D121" s="205">
        <v>5527905.6470431238</v>
      </c>
      <c r="E121" s="205">
        <v>3157479.6267986111</v>
      </c>
      <c r="F121" s="205">
        <v>0</v>
      </c>
      <c r="G121" s="205">
        <v>0</v>
      </c>
      <c r="H121" s="205">
        <v>526896.75019396376</v>
      </c>
      <c r="I121" s="206">
        <v>-1</v>
      </c>
      <c r="J121" s="206">
        <v>-1</v>
      </c>
      <c r="K121" s="206">
        <v>15</v>
      </c>
      <c r="L121" s="206">
        <v>14</v>
      </c>
      <c r="M121" s="206">
        <v>12</v>
      </c>
      <c r="N121" s="206">
        <v>0</v>
      </c>
      <c r="O121" s="206">
        <v>14</v>
      </c>
      <c r="P121" s="206">
        <v>12</v>
      </c>
      <c r="Q121" s="206">
        <v>0</v>
      </c>
      <c r="R121" s="206">
        <v>-1</v>
      </c>
      <c r="S121" s="206">
        <v>15</v>
      </c>
      <c r="T121" s="206">
        <v>11</v>
      </c>
      <c r="U121" s="206">
        <v>15</v>
      </c>
      <c r="V121" s="206">
        <v>0</v>
      </c>
      <c r="W121" s="206">
        <v>15</v>
      </c>
      <c r="X121" s="206">
        <v>12</v>
      </c>
      <c r="Y121" s="206">
        <v>0</v>
      </c>
      <c r="Z121" s="206">
        <v>11</v>
      </c>
      <c r="AA121" s="206">
        <v>9</v>
      </c>
      <c r="AB121" s="206">
        <v>9</v>
      </c>
      <c r="AC121" s="206">
        <v>8</v>
      </c>
      <c r="AD121" s="206">
        <v>13</v>
      </c>
      <c r="AE121" s="206">
        <v>15</v>
      </c>
      <c r="AF121" s="206">
        <v>10</v>
      </c>
      <c r="AG121" s="206">
        <v>14</v>
      </c>
      <c r="AH121" s="2">
        <f t="shared" si="3"/>
        <v>3</v>
      </c>
      <c r="AI121" s="2">
        <f t="shared" si="4"/>
        <v>0</v>
      </c>
      <c r="AJ121" s="2">
        <f t="shared" si="5"/>
        <v>3</v>
      </c>
    </row>
    <row r="122" spans="2:36" x14ac:dyDescent="0.2">
      <c r="B122" s="102"/>
      <c r="C122" s="103">
        <v>119</v>
      </c>
      <c r="D122" s="205">
        <v>6194023.710140924</v>
      </c>
      <c r="E122" s="205">
        <v>3595316.9062519176</v>
      </c>
      <c r="F122" s="205">
        <v>0</v>
      </c>
      <c r="G122" s="205">
        <v>0</v>
      </c>
      <c r="H122" s="205">
        <v>820615.30669551156</v>
      </c>
      <c r="I122" s="206">
        <v>-1</v>
      </c>
      <c r="J122" s="206">
        <v>-1</v>
      </c>
      <c r="K122" s="206">
        <v>15</v>
      </c>
      <c r="L122" s="206">
        <v>14</v>
      </c>
      <c r="M122" s="206">
        <v>12</v>
      </c>
      <c r="N122" s="206">
        <v>0</v>
      </c>
      <c r="O122" s="206">
        <v>14</v>
      </c>
      <c r="P122" s="206">
        <v>12</v>
      </c>
      <c r="Q122" s="206">
        <v>0</v>
      </c>
      <c r="R122" s="206">
        <v>-1</v>
      </c>
      <c r="S122" s="206">
        <v>15</v>
      </c>
      <c r="T122" s="206">
        <v>11</v>
      </c>
      <c r="U122" s="206">
        <v>0</v>
      </c>
      <c r="V122" s="206">
        <v>0</v>
      </c>
      <c r="W122" s="206">
        <v>15</v>
      </c>
      <c r="X122" s="206">
        <v>12</v>
      </c>
      <c r="Y122" s="206">
        <v>10</v>
      </c>
      <c r="Z122" s="206">
        <v>11</v>
      </c>
      <c r="AA122" s="206">
        <v>9</v>
      </c>
      <c r="AB122" s="206">
        <v>0</v>
      </c>
      <c r="AC122" s="206">
        <v>8</v>
      </c>
      <c r="AD122" s="206">
        <v>13</v>
      </c>
      <c r="AE122" s="206">
        <v>15</v>
      </c>
      <c r="AF122" s="206">
        <v>0</v>
      </c>
      <c r="AG122" s="206">
        <v>14</v>
      </c>
      <c r="AH122" s="2">
        <f t="shared" si="3"/>
        <v>3</v>
      </c>
      <c r="AI122" s="2">
        <f t="shared" si="4"/>
        <v>0</v>
      </c>
      <c r="AJ122" s="2">
        <f t="shared" si="5"/>
        <v>3</v>
      </c>
    </row>
    <row r="123" spans="2:36" x14ac:dyDescent="0.2">
      <c r="B123" s="102"/>
      <c r="C123" s="103">
        <v>120</v>
      </c>
      <c r="D123" s="205">
        <v>6948138.4651334696</v>
      </c>
      <c r="E123" s="205">
        <v>3982705.9197238917</v>
      </c>
      <c r="F123" s="205">
        <v>0</v>
      </c>
      <c r="G123" s="205">
        <v>16303285.926766835</v>
      </c>
      <c r="H123" s="205">
        <v>724873.88512688433</v>
      </c>
      <c r="I123" s="206">
        <v>-1</v>
      </c>
      <c r="J123" s="206">
        <v>-1</v>
      </c>
      <c r="K123" s="206">
        <v>15</v>
      </c>
      <c r="L123" s="206">
        <v>14</v>
      </c>
      <c r="M123" s="206">
        <v>-1</v>
      </c>
      <c r="N123" s="206">
        <v>-1</v>
      </c>
      <c r="O123" s="206">
        <v>14</v>
      </c>
      <c r="P123" s="206">
        <v>12</v>
      </c>
      <c r="Q123" s="206">
        <v>15</v>
      </c>
      <c r="R123" s="206">
        <v>-1</v>
      </c>
      <c r="S123" s="206">
        <v>15</v>
      </c>
      <c r="T123" s="206">
        <v>11</v>
      </c>
      <c r="U123" s="206">
        <v>0</v>
      </c>
      <c r="V123" s="206">
        <v>13</v>
      </c>
      <c r="W123" s="206">
        <v>0</v>
      </c>
      <c r="X123" s="206">
        <v>12</v>
      </c>
      <c r="Y123" s="206">
        <v>10</v>
      </c>
      <c r="Z123" s="206">
        <v>11</v>
      </c>
      <c r="AA123" s="206">
        <v>9</v>
      </c>
      <c r="AB123" s="206">
        <v>0</v>
      </c>
      <c r="AC123" s="206">
        <v>8</v>
      </c>
      <c r="AD123" s="206">
        <v>13</v>
      </c>
      <c r="AE123" s="206">
        <v>15</v>
      </c>
      <c r="AF123" s="206">
        <v>0</v>
      </c>
      <c r="AG123" s="206">
        <v>14</v>
      </c>
      <c r="AH123" s="2">
        <f t="shared" si="3"/>
        <v>5</v>
      </c>
      <c r="AI123" s="2">
        <f t="shared" si="4"/>
        <v>0</v>
      </c>
      <c r="AJ123" s="2">
        <f t="shared" si="5"/>
        <v>5</v>
      </c>
    </row>
    <row r="124" spans="2:36" x14ac:dyDescent="0.2">
      <c r="B124" s="102"/>
      <c r="C124" s="103">
        <v>121</v>
      </c>
      <c r="D124" s="205">
        <v>8110773.2019672114</v>
      </c>
      <c r="E124" s="205">
        <v>4647413.7468946595</v>
      </c>
      <c r="F124" s="205">
        <v>0</v>
      </c>
      <c r="G124" s="205">
        <v>0</v>
      </c>
      <c r="H124" s="205">
        <v>724873.88512688433</v>
      </c>
      <c r="I124" s="206">
        <v>-1</v>
      </c>
      <c r="J124" s="206">
        <v>-1</v>
      </c>
      <c r="K124" s="206">
        <v>15</v>
      </c>
      <c r="L124" s="206">
        <v>14</v>
      </c>
      <c r="M124" s="206">
        <v>-1</v>
      </c>
      <c r="N124" s="206">
        <v>-1</v>
      </c>
      <c r="O124" s="206">
        <v>14</v>
      </c>
      <c r="P124" s="206">
        <v>0</v>
      </c>
      <c r="Q124" s="206">
        <v>15</v>
      </c>
      <c r="R124" s="206">
        <v>-1</v>
      </c>
      <c r="S124" s="206">
        <v>0</v>
      </c>
      <c r="T124" s="206">
        <v>11</v>
      </c>
      <c r="U124" s="206">
        <v>16</v>
      </c>
      <c r="V124" s="206">
        <v>13</v>
      </c>
      <c r="W124" s="206">
        <v>0</v>
      </c>
      <c r="X124" s="206">
        <v>12</v>
      </c>
      <c r="Y124" s="206">
        <v>10</v>
      </c>
      <c r="Z124" s="206">
        <v>11</v>
      </c>
      <c r="AA124" s="206">
        <v>9</v>
      </c>
      <c r="AB124" s="206">
        <v>10</v>
      </c>
      <c r="AC124" s="206">
        <v>0</v>
      </c>
      <c r="AD124" s="206">
        <v>13</v>
      </c>
      <c r="AE124" s="206">
        <v>0</v>
      </c>
      <c r="AF124" s="206">
        <v>0</v>
      </c>
      <c r="AG124" s="206">
        <v>14</v>
      </c>
      <c r="AH124" s="2">
        <f t="shared" si="3"/>
        <v>5</v>
      </c>
      <c r="AI124" s="2">
        <f t="shared" si="4"/>
        <v>0</v>
      </c>
      <c r="AJ124" s="2">
        <f t="shared" si="5"/>
        <v>5</v>
      </c>
    </row>
    <row r="125" spans="2:36" x14ac:dyDescent="0.2">
      <c r="B125" s="102"/>
      <c r="C125" s="103">
        <v>122</v>
      </c>
      <c r="D125" s="205">
        <v>6283044.3284745654</v>
      </c>
      <c r="E125" s="205">
        <v>3605797.5090342509</v>
      </c>
      <c r="F125" s="205">
        <v>0</v>
      </c>
      <c r="G125" s="205">
        <v>0</v>
      </c>
      <c r="H125" s="205">
        <v>684509.30179355096</v>
      </c>
      <c r="I125" s="206">
        <v>-1</v>
      </c>
      <c r="J125" s="206">
        <v>-1</v>
      </c>
      <c r="K125" s="206">
        <v>15</v>
      </c>
      <c r="L125" s="206">
        <v>14</v>
      </c>
      <c r="M125" s="206">
        <v>-1</v>
      </c>
      <c r="N125" s="206">
        <v>-1</v>
      </c>
      <c r="O125" s="206">
        <v>14</v>
      </c>
      <c r="P125" s="206">
        <v>13</v>
      </c>
      <c r="Q125" s="206">
        <v>15</v>
      </c>
      <c r="R125" s="206">
        <v>-1</v>
      </c>
      <c r="S125" s="206">
        <v>16</v>
      </c>
      <c r="T125" s="206">
        <v>11</v>
      </c>
      <c r="U125" s="206">
        <v>16</v>
      </c>
      <c r="V125" s="206">
        <v>0</v>
      </c>
      <c r="W125" s="206">
        <v>16</v>
      </c>
      <c r="X125" s="206">
        <v>12</v>
      </c>
      <c r="Y125" s="206">
        <v>10</v>
      </c>
      <c r="Z125" s="206">
        <v>11</v>
      </c>
      <c r="AA125" s="206">
        <v>9</v>
      </c>
      <c r="AB125" s="206">
        <v>10</v>
      </c>
      <c r="AC125" s="206">
        <v>0</v>
      </c>
      <c r="AD125" s="206">
        <v>13</v>
      </c>
      <c r="AE125" s="206">
        <v>0</v>
      </c>
      <c r="AF125" s="206">
        <v>11</v>
      </c>
      <c r="AG125" s="206">
        <v>14</v>
      </c>
      <c r="AH125" s="2">
        <f t="shared" si="3"/>
        <v>5</v>
      </c>
      <c r="AI125" s="2">
        <f t="shared" si="4"/>
        <v>0</v>
      </c>
      <c r="AJ125" s="2">
        <f t="shared" si="5"/>
        <v>5</v>
      </c>
    </row>
    <row r="126" spans="2:36" x14ac:dyDescent="0.2">
      <c r="B126" s="102"/>
      <c r="C126" s="103">
        <v>123</v>
      </c>
      <c r="D126" s="205">
        <v>3668140.2644724417</v>
      </c>
      <c r="E126" s="205">
        <v>2108376.7178581329</v>
      </c>
      <c r="F126" s="205">
        <v>0</v>
      </c>
      <c r="G126" s="205">
        <v>0</v>
      </c>
      <c r="H126" s="205">
        <v>472821.99529200309</v>
      </c>
      <c r="I126" s="206">
        <v>-1</v>
      </c>
      <c r="J126" s="206">
        <v>-1</v>
      </c>
      <c r="K126" s="206">
        <v>15</v>
      </c>
      <c r="L126" s="206">
        <v>0</v>
      </c>
      <c r="M126" s="206">
        <v>-1</v>
      </c>
      <c r="N126" s="206">
        <v>-1</v>
      </c>
      <c r="O126" s="206">
        <v>14</v>
      </c>
      <c r="P126" s="206">
        <v>13</v>
      </c>
      <c r="Q126" s="206">
        <v>15</v>
      </c>
      <c r="R126" s="206">
        <v>-1</v>
      </c>
      <c r="S126" s="206">
        <v>16</v>
      </c>
      <c r="T126" s="206">
        <v>11</v>
      </c>
      <c r="U126" s="206">
        <v>16</v>
      </c>
      <c r="V126" s="206">
        <v>0</v>
      </c>
      <c r="W126" s="206">
        <v>16</v>
      </c>
      <c r="X126" s="206">
        <v>12</v>
      </c>
      <c r="Y126" s="206">
        <v>10</v>
      </c>
      <c r="Z126" s="206">
        <v>0</v>
      </c>
      <c r="AA126" s="206">
        <v>9</v>
      </c>
      <c r="AB126" s="206">
        <v>10</v>
      </c>
      <c r="AC126" s="206">
        <v>9</v>
      </c>
      <c r="AD126" s="206">
        <v>13</v>
      </c>
      <c r="AE126" s="206">
        <v>16</v>
      </c>
      <c r="AF126" s="206">
        <v>11</v>
      </c>
      <c r="AG126" s="206">
        <v>14</v>
      </c>
      <c r="AH126" s="2">
        <f t="shared" si="3"/>
        <v>5</v>
      </c>
      <c r="AI126" s="2">
        <f t="shared" si="4"/>
        <v>0</v>
      </c>
      <c r="AJ126" s="2">
        <f t="shared" si="5"/>
        <v>5</v>
      </c>
    </row>
    <row r="127" spans="2:36" x14ac:dyDescent="0.2">
      <c r="B127" s="102"/>
      <c r="C127" s="103">
        <v>124</v>
      </c>
      <c r="D127" s="205">
        <v>5603793.5940171331</v>
      </c>
      <c r="E127" s="205">
        <v>3189474.6681662891</v>
      </c>
      <c r="F127" s="205">
        <v>0</v>
      </c>
      <c r="G127" s="205">
        <v>0</v>
      </c>
      <c r="H127" s="205">
        <v>525518.07372337568</v>
      </c>
      <c r="I127" s="206">
        <v>-1</v>
      </c>
      <c r="J127" s="206">
        <v>-1</v>
      </c>
      <c r="K127" s="206">
        <v>0</v>
      </c>
      <c r="L127" s="206">
        <v>0</v>
      </c>
      <c r="M127" s="206">
        <v>-1</v>
      </c>
      <c r="N127" s="206">
        <v>-1</v>
      </c>
      <c r="O127" s="206">
        <v>0</v>
      </c>
      <c r="P127" s="206">
        <v>13</v>
      </c>
      <c r="Q127" s="206">
        <v>15</v>
      </c>
      <c r="R127" s="206">
        <v>-1</v>
      </c>
      <c r="S127" s="206">
        <v>16</v>
      </c>
      <c r="T127" s="206">
        <v>11</v>
      </c>
      <c r="U127" s="206">
        <v>16</v>
      </c>
      <c r="V127" s="206">
        <v>14</v>
      </c>
      <c r="W127" s="206">
        <v>16</v>
      </c>
      <c r="X127" s="206">
        <v>12</v>
      </c>
      <c r="Y127" s="206">
        <v>10</v>
      </c>
      <c r="Z127" s="206">
        <v>0</v>
      </c>
      <c r="AA127" s="206">
        <v>0</v>
      </c>
      <c r="AB127" s="206">
        <v>10</v>
      </c>
      <c r="AC127" s="206">
        <v>9</v>
      </c>
      <c r="AD127" s="206">
        <v>13</v>
      </c>
      <c r="AE127" s="206">
        <v>16</v>
      </c>
      <c r="AF127" s="206">
        <v>11</v>
      </c>
      <c r="AG127" s="206">
        <v>14</v>
      </c>
      <c r="AH127" s="2">
        <f t="shared" si="3"/>
        <v>5</v>
      </c>
      <c r="AI127" s="2">
        <f t="shared" si="4"/>
        <v>0</v>
      </c>
      <c r="AJ127" s="2">
        <f t="shared" si="5"/>
        <v>5</v>
      </c>
    </row>
    <row r="128" spans="2:36" x14ac:dyDescent="0.2">
      <c r="B128" s="102"/>
      <c r="C128" s="103">
        <v>125</v>
      </c>
      <c r="D128" s="205">
        <v>4386104.1147243036</v>
      </c>
      <c r="E128" s="205">
        <v>2591151.4295598473</v>
      </c>
      <c r="F128" s="205">
        <v>0</v>
      </c>
      <c r="G128" s="205">
        <v>0</v>
      </c>
      <c r="H128" s="205">
        <v>525518.07372337568</v>
      </c>
      <c r="I128" s="206">
        <v>-1</v>
      </c>
      <c r="J128" s="206">
        <v>-1</v>
      </c>
      <c r="K128" s="206">
        <v>16</v>
      </c>
      <c r="L128" s="206">
        <v>0</v>
      </c>
      <c r="M128" s="206">
        <v>-1</v>
      </c>
      <c r="N128" s="206">
        <v>-1</v>
      </c>
      <c r="O128" s="206">
        <v>0</v>
      </c>
      <c r="P128" s="206">
        <v>13</v>
      </c>
      <c r="Q128" s="206">
        <v>0</v>
      </c>
      <c r="R128" s="206">
        <v>-1</v>
      </c>
      <c r="S128" s="206">
        <v>16</v>
      </c>
      <c r="T128" s="206">
        <v>0</v>
      </c>
      <c r="U128" s="206">
        <v>16</v>
      </c>
      <c r="V128" s="206">
        <v>14</v>
      </c>
      <c r="W128" s="206">
        <v>16</v>
      </c>
      <c r="X128" s="206">
        <v>12</v>
      </c>
      <c r="Y128" s="206">
        <v>10</v>
      </c>
      <c r="Z128" s="206">
        <v>12</v>
      </c>
      <c r="AA128" s="206">
        <v>0</v>
      </c>
      <c r="AB128" s="206">
        <v>10</v>
      </c>
      <c r="AC128" s="206">
        <v>9</v>
      </c>
      <c r="AD128" s="206">
        <v>13</v>
      </c>
      <c r="AE128" s="206">
        <v>16</v>
      </c>
      <c r="AF128" s="206">
        <v>11</v>
      </c>
      <c r="AG128" s="206">
        <v>14</v>
      </c>
      <c r="AH128" s="2">
        <f t="shared" si="3"/>
        <v>5</v>
      </c>
      <c r="AI128" s="2">
        <f t="shared" si="4"/>
        <v>0</v>
      </c>
      <c r="AJ128" s="2">
        <f t="shared" si="5"/>
        <v>5</v>
      </c>
    </row>
    <row r="129" spans="2:36" x14ac:dyDescent="0.2">
      <c r="B129" s="102"/>
      <c r="C129" s="103">
        <v>126</v>
      </c>
      <c r="D129" s="205">
        <v>7438889.716094289</v>
      </c>
      <c r="E129" s="205">
        <v>4277766.5404240293</v>
      </c>
      <c r="F129" s="205">
        <v>0</v>
      </c>
      <c r="G129" s="205">
        <v>0</v>
      </c>
      <c r="H129" s="205">
        <v>684509.30179355096</v>
      </c>
      <c r="I129" s="206">
        <v>-1</v>
      </c>
      <c r="J129" s="206">
        <v>-1</v>
      </c>
      <c r="K129" s="206">
        <v>16</v>
      </c>
      <c r="L129" s="206">
        <v>15</v>
      </c>
      <c r="M129" s="206">
        <v>-1</v>
      </c>
      <c r="N129" s="206">
        <v>-1</v>
      </c>
      <c r="O129" s="206">
        <v>15</v>
      </c>
      <c r="P129" s="206">
        <v>13</v>
      </c>
      <c r="Q129" s="206">
        <v>16</v>
      </c>
      <c r="R129" s="206">
        <v>-1</v>
      </c>
      <c r="S129" s="206">
        <v>16</v>
      </c>
      <c r="T129" s="206">
        <v>12</v>
      </c>
      <c r="U129" s="206">
        <v>0</v>
      </c>
      <c r="V129" s="206">
        <v>14</v>
      </c>
      <c r="W129" s="206">
        <v>16</v>
      </c>
      <c r="X129" s="206">
        <v>0</v>
      </c>
      <c r="Y129" s="206">
        <v>10</v>
      </c>
      <c r="Z129" s="206">
        <v>12</v>
      </c>
      <c r="AA129" s="206">
        <v>10</v>
      </c>
      <c r="AB129" s="206">
        <v>10</v>
      </c>
      <c r="AC129" s="206">
        <v>9</v>
      </c>
      <c r="AD129" s="206">
        <v>13</v>
      </c>
      <c r="AE129" s="206">
        <v>0</v>
      </c>
      <c r="AF129" s="206">
        <v>11</v>
      </c>
      <c r="AG129" s="206">
        <v>14</v>
      </c>
      <c r="AH129" s="2">
        <f t="shared" si="3"/>
        <v>5</v>
      </c>
      <c r="AI129" s="2">
        <f t="shared" si="4"/>
        <v>0</v>
      </c>
      <c r="AJ129" s="2">
        <f t="shared" si="5"/>
        <v>5</v>
      </c>
    </row>
    <row r="130" spans="2:36" x14ac:dyDescent="0.2">
      <c r="B130" s="102"/>
      <c r="C130" s="103">
        <v>127</v>
      </c>
      <c r="D130" s="205">
        <v>6522072.675780802</v>
      </c>
      <c r="E130" s="205">
        <v>3749167.9890138619</v>
      </c>
      <c r="F130" s="205">
        <v>0</v>
      </c>
      <c r="G130" s="205">
        <v>0</v>
      </c>
      <c r="H130" s="205">
        <v>567184.74039004231</v>
      </c>
      <c r="I130" s="206">
        <v>-1</v>
      </c>
      <c r="J130" s="206">
        <v>-1</v>
      </c>
      <c r="K130" s="206">
        <v>16</v>
      </c>
      <c r="L130" s="206">
        <v>15</v>
      </c>
      <c r="M130" s="206">
        <v>-1</v>
      </c>
      <c r="N130" s="206">
        <v>-1</v>
      </c>
      <c r="O130" s="206">
        <v>15</v>
      </c>
      <c r="P130" s="206">
        <v>13</v>
      </c>
      <c r="Q130" s="206">
        <v>16</v>
      </c>
      <c r="R130" s="206">
        <v>-1</v>
      </c>
      <c r="S130" s="206">
        <v>16</v>
      </c>
      <c r="T130" s="206">
        <v>12</v>
      </c>
      <c r="U130" s="206">
        <v>0</v>
      </c>
      <c r="V130" s="206">
        <v>14</v>
      </c>
      <c r="W130" s="206">
        <v>0</v>
      </c>
      <c r="X130" s="206">
        <v>13</v>
      </c>
      <c r="Y130" s="206">
        <v>10</v>
      </c>
      <c r="Z130" s="206">
        <v>12</v>
      </c>
      <c r="AA130" s="206">
        <v>10</v>
      </c>
      <c r="AB130" s="206">
        <v>0</v>
      </c>
      <c r="AC130" s="206">
        <v>9</v>
      </c>
      <c r="AD130" s="206">
        <v>13</v>
      </c>
      <c r="AE130" s="206">
        <v>17</v>
      </c>
      <c r="AF130" s="206">
        <v>11</v>
      </c>
      <c r="AG130" s="206">
        <v>14</v>
      </c>
      <c r="AH130" s="2">
        <f t="shared" si="3"/>
        <v>5</v>
      </c>
      <c r="AI130" s="2">
        <f t="shared" si="4"/>
        <v>0</v>
      </c>
      <c r="AJ130" s="2">
        <f t="shared" si="5"/>
        <v>5</v>
      </c>
    </row>
    <row r="131" spans="2:36" x14ac:dyDescent="0.2">
      <c r="B131" s="102"/>
      <c r="C131" s="103">
        <v>128</v>
      </c>
      <c r="D131" s="205">
        <v>5289501.4963397617</v>
      </c>
      <c r="E131" s="205">
        <v>2988192.0459224689</v>
      </c>
      <c r="F131" s="205">
        <v>0</v>
      </c>
      <c r="G131" s="205">
        <v>0</v>
      </c>
      <c r="H131" s="205">
        <v>650518.07372337556</v>
      </c>
      <c r="I131" s="206">
        <v>-1</v>
      </c>
      <c r="J131" s="206">
        <v>-1</v>
      </c>
      <c r="K131" s="206">
        <v>16</v>
      </c>
      <c r="L131" s="206">
        <v>15</v>
      </c>
      <c r="M131" s="206">
        <v>-1</v>
      </c>
      <c r="N131" s="206">
        <v>-1</v>
      </c>
      <c r="O131" s="206">
        <v>15</v>
      </c>
      <c r="P131" s="206">
        <v>13</v>
      </c>
      <c r="Q131" s="206">
        <v>16</v>
      </c>
      <c r="R131" s="206">
        <v>-1</v>
      </c>
      <c r="S131" s="206">
        <v>0</v>
      </c>
      <c r="T131" s="206">
        <v>12</v>
      </c>
      <c r="U131" s="206">
        <v>0</v>
      </c>
      <c r="V131" s="206">
        <v>14</v>
      </c>
      <c r="W131" s="206">
        <v>0</v>
      </c>
      <c r="X131" s="206">
        <v>13</v>
      </c>
      <c r="Y131" s="206">
        <v>10</v>
      </c>
      <c r="Z131" s="206">
        <v>12</v>
      </c>
      <c r="AA131" s="206">
        <v>10</v>
      </c>
      <c r="AB131" s="206">
        <v>0</v>
      </c>
      <c r="AC131" s="206">
        <v>9</v>
      </c>
      <c r="AD131" s="206">
        <v>0</v>
      </c>
      <c r="AE131" s="206">
        <v>17</v>
      </c>
      <c r="AF131" s="206">
        <v>11</v>
      </c>
      <c r="AG131" s="206">
        <v>14</v>
      </c>
      <c r="AH131" s="2">
        <f t="shared" si="3"/>
        <v>5</v>
      </c>
      <c r="AI131" s="2">
        <f t="shared" si="4"/>
        <v>0</v>
      </c>
      <c r="AJ131" s="2">
        <f t="shared" si="5"/>
        <v>5</v>
      </c>
    </row>
    <row r="132" spans="2:36" x14ac:dyDescent="0.2">
      <c r="B132" s="102"/>
      <c r="C132" s="103">
        <v>129</v>
      </c>
      <c r="D132" s="205">
        <v>5504329.3935383223</v>
      </c>
      <c r="E132" s="205">
        <v>3121579.9717993392</v>
      </c>
      <c r="F132" s="205">
        <v>0</v>
      </c>
      <c r="G132" s="205">
        <v>0</v>
      </c>
      <c r="H132" s="205">
        <v>650518.07372337556</v>
      </c>
      <c r="I132" s="206">
        <v>-1</v>
      </c>
      <c r="J132" s="206">
        <v>-1</v>
      </c>
      <c r="K132" s="206">
        <v>16</v>
      </c>
      <c r="L132" s="206">
        <v>15</v>
      </c>
      <c r="M132" s="206">
        <v>-1</v>
      </c>
      <c r="N132" s="206">
        <v>-1</v>
      </c>
      <c r="O132" s="206">
        <v>15</v>
      </c>
      <c r="P132" s="206">
        <v>13</v>
      </c>
      <c r="Q132" s="206">
        <v>16</v>
      </c>
      <c r="R132" s="206">
        <v>-1</v>
      </c>
      <c r="S132" s="206">
        <v>0</v>
      </c>
      <c r="T132" s="206">
        <v>12</v>
      </c>
      <c r="U132" s="206">
        <v>17</v>
      </c>
      <c r="V132" s="206">
        <v>14</v>
      </c>
      <c r="W132" s="206">
        <v>17</v>
      </c>
      <c r="X132" s="206">
        <v>13</v>
      </c>
      <c r="Y132" s="206">
        <v>10</v>
      </c>
      <c r="Z132" s="206">
        <v>12</v>
      </c>
      <c r="AA132" s="206">
        <v>0</v>
      </c>
      <c r="AB132" s="206">
        <v>0</v>
      </c>
      <c r="AC132" s="206">
        <v>9</v>
      </c>
      <c r="AD132" s="206">
        <v>0</v>
      </c>
      <c r="AE132" s="206">
        <v>17</v>
      </c>
      <c r="AF132" s="206">
        <v>11</v>
      </c>
      <c r="AG132" s="206">
        <v>14</v>
      </c>
      <c r="AH132" s="2">
        <f t="shared" ref="AH132:AH195" si="6">FREQUENCY(I132:AG132,-1)</f>
        <v>5</v>
      </c>
      <c r="AI132" s="2">
        <f t="shared" si="4"/>
        <v>0</v>
      </c>
      <c r="AJ132" s="2">
        <f t="shared" si="5"/>
        <v>5</v>
      </c>
    </row>
    <row r="133" spans="2:36" x14ac:dyDescent="0.2">
      <c r="B133" s="102"/>
      <c r="C133" s="103">
        <v>130</v>
      </c>
      <c r="D133" s="205">
        <v>1618103.0383548257</v>
      </c>
      <c r="E133" s="205">
        <v>919140.85271218489</v>
      </c>
      <c r="F133" s="205">
        <v>0</v>
      </c>
      <c r="G133" s="205">
        <v>0</v>
      </c>
      <c r="H133" s="205">
        <v>191170.79314447736</v>
      </c>
      <c r="I133" s="206">
        <v>-1</v>
      </c>
      <c r="J133" s="206">
        <v>-1</v>
      </c>
      <c r="K133" s="206">
        <v>16</v>
      </c>
      <c r="L133" s="206">
        <v>15</v>
      </c>
      <c r="M133" s="206">
        <v>-1</v>
      </c>
      <c r="N133" s="206">
        <v>-1</v>
      </c>
      <c r="O133" s="206">
        <v>0</v>
      </c>
      <c r="P133" s="206">
        <v>13</v>
      </c>
      <c r="Q133" s="206">
        <v>16</v>
      </c>
      <c r="R133" s="206">
        <v>-1</v>
      </c>
      <c r="S133" s="206">
        <v>17</v>
      </c>
      <c r="T133" s="206">
        <v>12</v>
      </c>
      <c r="U133" s="206">
        <v>17</v>
      </c>
      <c r="V133" s="206">
        <v>14</v>
      </c>
      <c r="W133" s="206">
        <v>17</v>
      </c>
      <c r="X133" s="206">
        <v>13</v>
      </c>
      <c r="Y133" s="206">
        <v>10</v>
      </c>
      <c r="Z133" s="206">
        <v>12</v>
      </c>
      <c r="AA133" s="206">
        <v>11</v>
      </c>
      <c r="AB133" s="206">
        <v>11</v>
      </c>
      <c r="AC133" s="206">
        <v>9</v>
      </c>
      <c r="AD133" s="206">
        <v>14</v>
      </c>
      <c r="AE133" s="206">
        <v>17</v>
      </c>
      <c r="AF133" s="206">
        <v>11</v>
      </c>
      <c r="AG133" s="206">
        <v>14</v>
      </c>
      <c r="AH133" s="2">
        <f t="shared" si="6"/>
        <v>5</v>
      </c>
      <c r="AI133" s="2">
        <f t="shared" ref="AI133:AI196" si="7">COUNTBLANK(I133:AG133)</f>
        <v>0</v>
      </c>
      <c r="AJ133" s="2">
        <f t="shared" ref="AJ133:AJ196" si="8">SUM(AH133:AI133)</f>
        <v>5</v>
      </c>
    </row>
    <row r="134" spans="2:36" x14ac:dyDescent="0.2">
      <c r="B134" s="102"/>
      <c r="C134" s="103">
        <v>131</v>
      </c>
      <c r="D134" s="205">
        <v>5405758.7083605509</v>
      </c>
      <c r="E134" s="205">
        <v>3055073.502083892</v>
      </c>
      <c r="F134" s="205">
        <v>0</v>
      </c>
      <c r="G134" s="205">
        <v>0</v>
      </c>
      <c r="H134" s="205">
        <v>768143.11589611508</v>
      </c>
      <c r="I134" s="206">
        <v>-1</v>
      </c>
      <c r="J134" s="206">
        <v>-1</v>
      </c>
      <c r="K134" s="206">
        <v>0</v>
      </c>
      <c r="L134" s="206">
        <v>0</v>
      </c>
      <c r="M134" s="206">
        <v>-1</v>
      </c>
      <c r="N134" s="206">
        <v>-1</v>
      </c>
      <c r="O134" s="206">
        <v>0</v>
      </c>
      <c r="P134" s="206">
        <v>13</v>
      </c>
      <c r="Q134" s="206">
        <v>16</v>
      </c>
      <c r="R134" s="206">
        <v>-1</v>
      </c>
      <c r="S134" s="206">
        <v>17</v>
      </c>
      <c r="T134" s="206">
        <v>0</v>
      </c>
      <c r="U134" s="206">
        <v>17</v>
      </c>
      <c r="V134" s="206">
        <v>14</v>
      </c>
      <c r="W134" s="206">
        <v>17</v>
      </c>
      <c r="X134" s="206">
        <v>0</v>
      </c>
      <c r="Y134" s="206">
        <v>0</v>
      </c>
      <c r="Z134" s="206">
        <v>12</v>
      </c>
      <c r="AA134" s="206">
        <v>11</v>
      </c>
      <c r="AB134" s="206">
        <v>11</v>
      </c>
      <c r="AC134" s="206">
        <v>9</v>
      </c>
      <c r="AD134" s="206">
        <v>14</v>
      </c>
      <c r="AE134" s="206">
        <v>17</v>
      </c>
      <c r="AF134" s="206">
        <v>11</v>
      </c>
      <c r="AG134" s="206">
        <v>0</v>
      </c>
      <c r="AH134" s="2">
        <f t="shared" si="6"/>
        <v>5</v>
      </c>
      <c r="AI134" s="2">
        <f t="shared" si="7"/>
        <v>0</v>
      </c>
      <c r="AJ134" s="2">
        <f t="shared" si="8"/>
        <v>5</v>
      </c>
    </row>
    <row r="135" spans="2:36" x14ac:dyDescent="0.2">
      <c r="B135" s="102"/>
      <c r="C135" s="103">
        <v>132</v>
      </c>
      <c r="D135" s="205">
        <v>6270513.3331509987</v>
      </c>
      <c r="E135" s="205">
        <v>3597068.6996253878</v>
      </c>
      <c r="F135" s="205">
        <v>0</v>
      </c>
      <c r="G135" s="205">
        <v>0</v>
      </c>
      <c r="H135" s="205">
        <v>768143.11589611508</v>
      </c>
      <c r="I135" s="206">
        <v>-1</v>
      </c>
      <c r="J135" s="206">
        <v>-1</v>
      </c>
      <c r="K135" s="206">
        <v>17</v>
      </c>
      <c r="L135" s="206">
        <v>0</v>
      </c>
      <c r="M135" s="206">
        <v>-1</v>
      </c>
      <c r="N135" s="206">
        <v>-1</v>
      </c>
      <c r="O135" s="206">
        <v>16</v>
      </c>
      <c r="P135" s="206">
        <v>13</v>
      </c>
      <c r="Q135" s="206">
        <v>16</v>
      </c>
      <c r="R135" s="206">
        <v>-1</v>
      </c>
      <c r="S135" s="206">
        <v>17</v>
      </c>
      <c r="T135" s="206">
        <v>0</v>
      </c>
      <c r="U135" s="206">
        <v>17</v>
      </c>
      <c r="V135" s="206">
        <v>14</v>
      </c>
      <c r="W135" s="206">
        <v>0</v>
      </c>
      <c r="X135" s="206">
        <v>0</v>
      </c>
      <c r="Y135" s="206">
        <v>0</v>
      </c>
      <c r="Z135" s="206">
        <v>12</v>
      </c>
      <c r="AA135" s="206">
        <v>11</v>
      </c>
      <c r="AB135" s="206">
        <v>11</v>
      </c>
      <c r="AC135" s="206">
        <v>9</v>
      </c>
      <c r="AD135" s="206">
        <v>14</v>
      </c>
      <c r="AE135" s="206">
        <v>17</v>
      </c>
      <c r="AF135" s="206">
        <v>11</v>
      </c>
      <c r="AG135" s="206">
        <v>0</v>
      </c>
      <c r="AH135" s="2">
        <f t="shared" si="6"/>
        <v>5</v>
      </c>
      <c r="AI135" s="2">
        <f t="shared" si="7"/>
        <v>0</v>
      </c>
      <c r="AJ135" s="2">
        <f t="shared" si="8"/>
        <v>5</v>
      </c>
    </row>
    <row r="136" spans="2:36" x14ac:dyDescent="0.2">
      <c r="B136" s="102"/>
      <c r="C136" s="103">
        <v>133</v>
      </c>
      <c r="D136" s="205">
        <v>6870295.0510148201</v>
      </c>
      <c r="E136" s="205">
        <v>3993909.6052095378</v>
      </c>
      <c r="F136" s="205">
        <v>0</v>
      </c>
      <c r="G136" s="205">
        <v>0</v>
      </c>
      <c r="H136" s="205">
        <v>768143.11589611508</v>
      </c>
      <c r="I136" s="206">
        <v>-1</v>
      </c>
      <c r="J136" s="206">
        <v>-1</v>
      </c>
      <c r="K136" s="206">
        <v>0</v>
      </c>
      <c r="L136" s="206">
        <v>0</v>
      </c>
      <c r="M136" s="206">
        <v>-1</v>
      </c>
      <c r="N136" s="206">
        <v>-1</v>
      </c>
      <c r="O136" s="206">
        <v>16</v>
      </c>
      <c r="P136" s="206">
        <v>13</v>
      </c>
      <c r="Q136" s="206">
        <v>16</v>
      </c>
      <c r="R136" s="206">
        <v>-1</v>
      </c>
      <c r="S136" s="206">
        <v>17</v>
      </c>
      <c r="T136" s="206">
        <v>13</v>
      </c>
      <c r="U136" s="206">
        <v>17</v>
      </c>
      <c r="V136" s="206">
        <v>14</v>
      </c>
      <c r="W136" s="206">
        <v>0</v>
      </c>
      <c r="X136" s="206">
        <v>14</v>
      </c>
      <c r="Y136" s="206">
        <v>11</v>
      </c>
      <c r="Z136" s="206">
        <v>0</v>
      </c>
      <c r="AA136" s="206">
        <v>11</v>
      </c>
      <c r="AB136" s="206">
        <v>11</v>
      </c>
      <c r="AC136" s="206">
        <v>9</v>
      </c>
      <c r="AD136" s="206">
        <v>14</v>
      </c>
      <c r="AE136" s="206">
        <v>0</v>
      </c>
      <c r="AF136" s="206">
        <v>11</v>
      </c>
      <c r="AG136" s="206">
        <v>0</v>
      </c>
      <c r="AH136" s="2">
        <f t="shared" si="6"/>
        <v>5</v>
      </c>
      <c r="AI136" s="2">
        <f t="shared" si="7"/>
        <v>0</v>
      </c>
      <c r="AJ136" s="2">
        <f t="shared" si="8"/>
        <v>5</v>
      </c>
    </row>
    <row r="137" spans="2:36" x14ac:dyDescent="0.2">
      <c r="B137" s="102"/>
      <c r="C137" s="103">
        <v>134</v>
      </c>
      <c r="D137" s="205">
        <v>5013593.260436153</v>
      </c>
      <c r="E137" s="205">
        <v>2891682.1842616606</v>
      </c>
      <c r="F137" s="205">
        <v>0</v>
      </c>
      <c r="G137" s="205">
        <v>0</v>
      </c>
      <c r="H137" s="205">
        <v>724873.88512688433</v>
      </c>
      <c r="I137" s="206">
        <v>-1</v>
      </c>
      <c r="J137" s="206">
        <v>-1</v>
      </c>
      <c r="K137" s="206">
        <v>0</v>
      </c>
      <c r="L137" s="206">
        <v>16</v>
      </c>
      <c r="M137" s="206">
        <v>-1</v>
      </c>
      <c r="N137" s="206">
        <v>-1</v>
      </c>
      <c r="O137" s="206">
        <v>16</v>
      </c>
      <c r="P137" s="206">
        <v>0</v>
      </c>
      <c r="Q137" s="206">
        <v>0</v>
      </c>
      <c r="R137" s="206">
        <v>-1</v>
      </c>
      <c r="S137" s="206">
        <v>0</v>
      </c>
      <c r="T137" s="206">
        <v>13</v>
      </c>
      <c r="U137" s="206">
        <v>17</v>
      </c>
      <c r="V137" s="206">
        <v>14</v>
      </c>
      <c r="W137" s="206">
        <v>18</v>
      </c>
      <c r="X137" s="206">
        <v>14</v>
      </c>
      <c r="Y137" s="206">
        <v>11</v>
      </c>
      <c r="Z137" s="206">
        <v>0</v>
      </c>
      <c r="AA137" s="206">
        <v>11</v>
      </c>
      <c r="AB137" s="206">
        <v>11</v>
      </c>
      <c r="AC137" s="206">
        <v>0</v>
      </c>
      <c r="AD137" s="206">
        <v>14</v>
      </c>
      <c r="AE137" s="206">
        <v>0</v>
      </c>
      <c r="AF137" s="206">
        <v>0</v>
      </c>
      <c r="AG137" s="206">
        <v>15</v>
      </c>
      <c r="AH137" s="2">
        <f t="shared" si="6"/>
        <v>5</v>
      </c>
      <c r="AI137" s="2">
        <f t="shared" si="7"/>
        <v>0</v>
      </c>
      <c r="AJ137" s="2">
        <f t="shared" si="8"/>
        <v>5</v>
      </c>
    </row>
    <row r="138" spans="2:36" x14ac:dyDescent="0.2">
      <c r="B138" s="102"/>
      <c r="C138" s="103">
        <v>135</v>
      </c>
      <c r="D138" s="205">
        <v>5630792.7500632787</v>
      </c>
      <c r="E138" s="205">
        <v>3286347.457947013</v>
      </c>
      <c r="F138" s="205">
        <v>0</v>
      </c>
      <c r="G138" s="205">
        <v>0</v>
      </c>
      <c r="H138" s="205">
        <v>724873.88512688433</v>
      </c>
      <c r="I138" s="206">
        <v>-1</v>
      </c>
      <c r="J138" s="206">
        <v>-1</v>
      </c>
      <c r="K138" s="206">
        <v>0</v>
      </c>
      <c r="L138" s="206">
        <v>16</v>
      </c>
      <c r="M138" s="206">
        <v>-1</v>
      </c>
      <c r="N138" s="206">
        <v>-1</v>
      </c>
      <c r="O138" s="206">
        <v>16</v>
      </c>
      <c r="P138" s="206">
        <v>0</v>
      </c>
      <c r="Q138" s="206">
        <v>0</v>
      </c>
      <c r="R138" s="206">
        <v>-1</v>
      </c>
      <c r="S138" s="206">
        <v>0</v>
      </c>
      <c r="T138" s="206">
        <v>13</v>
      </c>
      <c r="U138" s="206">
        <v>17</v>
      </c>
      <c r="V138" s="206">
        <v>14</v>
      </c>
      <c r="W138" s="206">
        <v>18</v>
      </c>
      <c r="X138" s="206">
        <v>14</v>
      </c>
      <c r="Y138" s="206">
        <v>0</v>
      </c>
      <c r="Z138" s="206">
        <v>13</v>
      </c>
      <c r="AA138" s="206">
        <v>11</v>
      </c>
      <c r="AB138" s="206">
        <v>11</v>
      </c>
      <c r="AC138" s="206">
        <v>10</v>
      </c>
      <c r="AD138" s="206">
        <v>14</v>
      </c>
      <c r="AE138" s="206">
        <v>0</v>
      </c>
      <c r="AF138" s="206">
        <v>0</v>
      </c>
      <c r="AG138" s="206">
        <v>15</v>
      </c>
      <c r="AH138" s="2">
        <f t="shared" si="6"/>
        <v>5</v>
      </c>
      <c r="AI138" s="2">
        <f t="shared" si="7"/>
        <v>0</v>
      </c>
      <c r="AJ138" s="2">
        <f t="shared" si="8"/>
        <v>5</v>
      </c>
    </row>
    <row r="139" spans="2:36" x14ac:dyDescent="0.2">
      <c r="B139" s="102"/>
      <c r="C139" s="103">
        <v>136</v>
      </c>
      <c r="D139" s="205">
        <v>7294178.1608738182</v>
      </c>
      <c r="E139" s="205">
        <v>4260318.6766208736</v>
      </c>
      <c r="F139" s="205">
        <v>0</v>
      </c>
      <c r="G139" s="205">
        <v>0</v>
      </c>
      <c r="H139" s="205">
        <v>724873.88512688433</v>
      </c>
      <c r="I139" s="206">
        <v>-1</v>
      </c>
      <c r="J139" s="206">
        <v>-1</v>
      </c>
      <c r="K139" s="206">
        <v>18</v>
      </c>
      <c r="L139" s="206">
        <v>16</v>
      </c>
      <c r="M139" s="206">
        <v>-1</v>
      </c>
      <c r="N139" s="206">
        <v>-1</v>
      </c>
      <c r="O139" s="206">
        <v>0</v>
      </c>
      <c r="P139" s="206">
        <v>14</v>
      </c>
      <c r="Q139" s="206">
        <v>17</v>
      </c>
      <c r="R139" s="206">
        <v>-1</v>
      </c>
      <c r="S139" s="206">
        <v>18</v>
      </c>
      <c r="T139" s="206">
        <v>13</v>
      </c>
      <c r="U139" s="206">
        <v>17</v>
      </c>
      <c r="V139" s="206">
        <v>0</v>
      </c>
      <c r="W139" s="206">
        <v>18</v>
      </c>
      <c r="X139" s="206">
        <v>14</v>
      </c>
      <c r="Y139" s="206">
        <v>0</v>
      </c>
      <c r="Z139" s="206">
        <v>13</v>
      </c>
      <c r="AA139" s="206">
        <v>11</v>
      </c>
      <c r="AB139" s="206">
        <v>11</v>
      </c>
      <c r="AC139" s="206">
        <v>10</v>
      </c>
      <c r="AD139" s="206">
        <v>0</v>
      </c>
      <c r="AE139" s="206">
        <v>18</v>
      </c>
      <c r="AF139" s="206">
        <v>0</v>
      </c>
      <c r="AG139" s="206">
        <v>15</v>
      </c>
      <c r="AH139" s="2">
        <f t="shared" si="6"/>
        <v>5</v>
      </c>
      <c r="AI139" s="2">
        <f t="shared" si="7"/>
        <v>0</v>
      </c>
      <c r="AJ139" s="2">
        <f t="shared" si="8"/>
        <v>5</v>
      </c>
    </row>
    <row r="140" spans="2:36" x14ac:dyDescent="0.2">
      <c r="B140" s="102"/>
      <c r="C140" s="103">
        <v>137</v>
      </c>
      <c r="D140" s="205">
        <v>7614369.9703902686</v>
      </c>
      <c r="E140" s="205">
        <v>4362337.7737895986</v>
      </c>
      <c r="F140" s="205">
        <v>0</v>
      </c>
      <c r="G140" s="205">
        <v>0</v>
      </c>
      <c r="H140" s="205">
        <v>650518.07372337556</v>
      </c>
      <c r="I140" s="206">
        <v>-1</v>
      </c>
      <c r="J140" s="206">
        <v>-1</v>
      </c>
      <c r="K140" s="206">
        <v>18</v>
      </c>
      <c r="L140" s="206">
        <v>16</v>
      </c>
      <c r="M140" s="206">
        <v>-1</v>
      </c>
      <c r="N140" s="206">
        <v>-1</v>
      </c>
      <c r="O140" s="206">
        <v>0</v>
      </c>
      <c r="P140" s="206">
        <v>14</v>
      </c>
      <c r="Q140" s="206">
        <v>17</v>
      </c>
      <c r="R140" s="206">
        <v>-1</v>
      </c>
      <c r="S140" s="206">
        <v>18</v>
      </c>
      <c r="T140" s="206">
        <v>13</v>
      </c>
      <c r="U140" s="206">
        <v>17</v>
      </c>
      <c r="V140" s="206">
        <v>0</v>
      </c>
      <c r="W140" s="206">
        <v>18</v>
      </c>
      <c r="X140" s="206">
        <v>14</v>
      </c>
      <c r="Y140" s="206">
        <v>12</v>
      </c>
      <c r="Z140" s="206">
        <v>0</v>
      </c>
      <c r="AA140" s="206">
        <v>11</v>
      </c>
      <c r="AB140" s="206">
        <v>11</v>
      </c>
      <c r="AC140" s="206">
        <v>10</v>
      </c>
      <c r="AD140" s="206">
        <v>0</v>
      </c>
      <c r="AE140" s="206">
        <v>18</v>
      </c>
      <c r="AF140" s="206">
        <v>12</v>
      </c>
      <c r="AG140" s="206">
        <v>15</v>
      </c>
      <c r="AH140" s="2">
        <f t="shared" si="6"/>
        <v>5</v>
      </c>
      <c r="AI140" s="2">
        <f t="shared" si="7"/>
        <v>0</v>
      </c>
      <c r="AJ140" s="2">
        <f t="shared" si="8"/>
        <v>5</v>
      </c>
    </row>
    <row r="141" spans="2:36" x14ac:dyDescent="0.2">
      <c r="B141" s="102"/>
      <c r="C141" s="103">
        <v>138</v>
      </c>
      <c r="D141" s="205">
        <v>6154218.5102569349</v>
      </c>
      <c r="E141" s="205">
        <v>3543521.616294615</v>
      </c>
      <c r="F141" s="205">
        <v>0</v>
      </c>
      <c r="G141" s="205">
        <v>0</v>
      </c>
      <c r="H141" s="205">
        <v>567184.74039004231</v>
      </c>
      <c r="I141" s="206">
        <v>-1</v>
      </c>
      <c r="J141" s="206">
        <v>-1</v>
      </c>
      <c r="K141" s="206">
        <v>18</v>
      </c>
      <c r="L141" s="206">
        <v>16</v>
      </c>
      <c r="M141" s="206">
        <v>-1</v>
      </c>
      <c r="N141" s="206">
        <v>-1</v>
      </c>
      <c r="O141" s="206">
        <v>17</v>
      </c>
      <c r="P141" s="206">
        <v>14</v>
      </c>
      <c r="Q141" s="206">
        <v>17</v>
      </c>
      <c r="R141" s="206">
        <v>-1</v>
      </c>
      <c r="S141" s="206">
        <v>18</v>
      </c>
      <c r="T141" s="206">
        <v>0</v>
      </c>
      <c r="U141" s="206">
        <v>17</v>
      </c>
      <c r="V141" s="206">
        <v>15</v>
      </c>
      <c r="W141" s="206">
        <v>18</v>
      </c>
      <c r="X141" s="206">
        <v>14</v>
      </c>
      <c r="Y141" s="206">
        <v>12</v>
      </c>
      <c r="Z141" s="206">
        <v>0</v>
      </c>
      <c r="AA141" s="206">
        <v>11</v>
      </c>
      <c r="AB141" s="206">
        <v>0</v>
      </c>
      <c r="AC141" s="206">
        <v>10</v>
      </c>
      <c r="AD141" s="206">
        <v>15</v>
      </c>
      <c r="AE141" s="206">
        <v>18</v>
      </c>
      <c r="AF141" s="206">
        <v>12</v>
      </c>
      <c r="AG141" s="206">
        <v>15</v>
      </c>
      <c r="AH141" s="2">
        <f t="shared" si="6"/>
        <v>5</v>
      </c>
      <c r="AI141" s="2">
        <f t="shared" si="7"/>
        <v>0</v>
      </c>
      <c r="AJ141" s="2">
        <f t="shared" si="8"/>
        <v>5</v>
      </c>
    </row>
    <row r="142" spans="2:36" x14ac:dyDescent="0.2">
      <c r="B142" s="102"/>
      <c r="C142" s="103">
        <v>139</v>
      </c>
      <c r="D142" s="205">
        <v>9167769.4102664944</v>
      </c>
      <c r="E142" s="205">
        <v>5270466.8098234553</v>
      </c>
      <c r="F142" s="205">
        <v>0</v>
      </c>
      <c r="G142" s="205">
        <v>0</v>
      </c>
      <c r="H142" s="205">
        <v>608851.40705670894</v>
      </c>
      <c r="I142" s="206">
        <v>-1</v>
      </c>
      <c r="J142" s="206">
        <v>-1</v>
      </c>
      <c r="K142" s="206">
        <v>18</v>
      </c>
      <c r="L142" s="206">
        <v>16</v>
      </c>
      <c r="M142" s="206">
        <v>-1</v>
      </c>
      <c r="N142" s="206">
        <v>-1</v>
      </c>
      <c r="O142" s="206">
        <v>17</v>
      </c>
      <c r="P142" s="206">
        <v>14</v>
      </c>
      <c r="Q142" s="206">
        <v>17</v>
      </c>
      <c r="R142" s="206">
        <v>-1</v>
      </c>
      <c r="S142" s="206">
        <v>18</v>
      </c>
      <c r="T142" s="206">
        <v>14</v>
      </c>
      <c r="U142" s="206">
        <v>17</v>
      </c>
      <c r="V142" s="206">
        <v>15</v>
      </c>
      <c r="W142" s="206">
        <v>0</v>
      </c>
      <c r="X142" s="206">
        <v>0</v>
      </c>
      <c r="Y142" s="206">
        <v>12</v>
      </c>
      <c r="Z142" s="206">
        <v>14</v>
      </c>
      <c r="AA142" s="206">
        <v>11</v>
      </c>
      <c r="AB142" s="206">
        <v>12</v>
      </c>
      <c r="AC142" s="206">
        <v>0</v>
      </c>
      <c r="AD142" s="206">
        <v>15</v>
      </c>
      <c r="AE142" s="206">
        <v>18</v>
      </c>
      <c r="AF142" s="206">
        <v>12</v>
      </c>
      <c r="AG142" s="206">
        <v>15</v>
      </c>
      <c r="AH142" s="2">
        <f t="shared" si="6"/>
        <v>5</v>
      </c>
      <c r="AI142" s="2">
        <f t="shared" si="7"/>
        <v>0</v>
      </c>
      <c r="AJ142" s="2">
        <f t="shared" si="8"/>
        <v>5</v>
      </c>
    </row>
    <row r="143" spans="2:36" x14ac:dyDescent="0.2">
      <c r="B143" s="102"/>
      <c r="C143" s="103">
        <v>140</v>
      </c>
      <c r="D143" s="205">
        <v>4005453.0369760683</v>
      </c>
      <c r="E143" s="205">
        <v>2315372.1367974072</v>
      </c>
      <c r="F143" s="205">
        <v>0</v>
      </c>
      <c r="G143" s="205">
        <v>0</v>
      </c>
      <c r="H143" s="205">
        <v>431155.32862533641</v>
      </c>
      <c r="I143" s="206">
        <v>-1</v>
      </c>
      <c r="J143" s="206">
        <v>-1</v>
      </c>
      <c r="K143" s="206">
        <v>18</v>
      </c>
      <c r="L143" s="206">
        <v>16</v>
      </c>
      <c r="M143" s="206">
        <v>-1</v>
      </c>
      <c r="N143" s="206">
        <v>-1</v>
      </c>
      <c r="O143" s="206">
        <v>17</v>
      </c>
      <c r="P143" s="206">
        <v>14</v>
      </c>
      <c r="Q143" s="206">
        <v>17</v>
      </c>
      <c r="R143" s="206">
        <v>-1</v>
      </c>
      <c r="S143" s="206">
        <v>18</v>
      </c>
      <c r="T143" s="206">
        <v>14</v>
      </c>
      <c r="U143" s="206">
        <v>17</v>
      </c>
      <c r="V143" s="206">
        <v>15</v>
      </c>
      <c r="W143" s="206">
        <v>0</v>
      </c>
      <c r="X143" s="206">
        <v>0</v>
      </c>
      <c r="Y143" s="206">
        <v>0</v>
      </c>
      <c r="Z143" s="206">
        <v>14</v>
      </c>
      <c r="AA143" s="206">
        <v>11</v>
      </c>
      <c r="AB143" s="206">
        <v>12</v>
      </c>
      <c r="AC143" s="206">
        <v>11</v>
      </c>
      <c r="AD143" s="206">
        <v>15</v>
      </c>
      <c r="AE143" s="206">
        <v>18</v>
      </c>
      <c r="AF143" s="206">
        <v>12</v>
      </c>
      <c r="AG143" s="206">
        <v>15</v>
      </c>
      <c r="AH143" s="2">
        <f t="shared" si="6"/>
        <v>5</v>
      </c>
      <c r="AI143" s="2">
        <f t="shared" si="7"/>
        <v>0</v>
      </c>
      <c r="AJ143" s="2">
        <f t="shared" si="8"/>
        <v>5</v>
      </c>
    </row>
    <row r="144" spans="2:36" x14ac:dyDescent="0.2">
      <c r="B144" s="102"/>
      <c r="C144" s="103">
        <v>141</v>
      </c>
      <c r="D144" s="205">
        <v>6297464.2317514578</v>
      </c>
      <c r="E144" s="205">
        <v>3589166.8077174216</v>
      </c>
      <c r="F144" s="205">
        <v>0</v>
      </c>
      <c r="G144" s="205">
        <v>0</v>
      </c>
      <c r="H144" s="205">
        <v>431155.32862533641</v>
      </c>
      <c r="I144" s="206">
        <v>-1</v>
      </c>
      <c r="J144" s="206">
        <v>-1</v>
      </c>
      <c r="K144" s="206">
        <v>18</v>
      </c>
      <c r="L144" s="206">
        <v>16</v>
      </c>
      <c r="M144" s="206">
        <v>-1</v>
      </c>
      <c r="N144" s="206">
        <v>-1</v>
      </c>
      <c r="O144" s="206">
        <v>17</v>
      </c>
      <c r="P144" s="206">
        <v>14</v>
      </c>
      <c r="Q144" s="206">
        <v>17</v>
      </c>
      <c r="R144" s="206">
        <v>-1</v>
      </c>
      <c r="S144" s="206">
        <v>18</v>
      </c>
      <c r="T144" s="206">
        <v>14</v>
      </c>
      <c r="U144" s="206">
        <v>0</v>
      </c>
      <c r="V144" s="206">
        <v>15</v>
      </c>
      <c r="W144" s="206">
        <v>19</v>
      </c>
      <c r="X144" s="206">
        <v>15</v>
      </c>
      <c r="Y144" s="206">
        <v>0</v>
      </c>
      <c r="Z144" s="206">
        <v>14</v>
      </c>
      <c r="AA144" s="206">
        <v>11</v>
      </c>
      <c r="AB144" s="206">
        <v>12</v>
      </c>
      <c r="AC144" s="206">
        <v>11</v>
      </c>
      <c r="AD144" s="206">
        <v>15</v>
      </c>
      <c r="AE144" s="206">
        <v>18</v>
      </c>
      <c r="AF144" s="206">
        <v>12</v>
      </c>
      <c r="AG144" s="206">
        <v>15</v>
      </c>
      <c r="AH144" s="2">
        <f t="shared" si="6"/>
        <v>5</v>
      </c>
      <c r="AI144" s="2">
        <f t="shared" si="7"/>
        <v>0</v>
      </c>
      <c r="AJ144" s="2">
        <f t="shared" si="8"/>
        <v>5</v>
      </c>
    </row>
    <row r="145" spans="2:36" x14ac:dyDescent="0.2">
      <c r="B145" s="102"/>
      <c r="C145" s="103">
        <v>142</v>
      </c>
      <c r="D145" s="205">
        <v>8334006.8390093334</v>
      </c>
      <c r="E145" s="205">
        <v>4858435.4832423879</v>
      </c>
      <c r="F145" s="205">
        <v>0</v>
      </c>
      <c r="G145" s="205">
        <v>0</v>
      </c>
      <c r="H145" s="205">
        <v>684509.30179355096</v>
      </c>
      <c r="I145" s="206">
        <v>-1</v>
      </c>
      <c r="J145" s="206">
        <v>-1</v>
      </c>
      <c r="K145" s="206">
        <v>18</v>
      </c>
      <c r="L145" s="206">
        <v>16</v>
      </c>
      <c r="M145" s="206">
        <v>-1</v>
      </c>
      <c r="N145" s="206">
        <v>-1</v>
      </c>
      <c r="O145" s="206">
        <v>0</v>
      </c>
      <c r="P145" s="206">
        <v>14</v>
      </c>
      <c r="Q145" s="206">
        <v>0</v>
      </c>
      <c r="R145" s="206">
        <v>-1</v>
      </c>
      <c r="S145" s="206">
        <v>18</v>
      </c>
      <c r="T145" s="206">
        <v>14</v>
      </c>
      <c r="U145" s="206">
        <v>0</v>
      </c>
      <c r="V145" s="206">
        <v>15</v>
      </c>
      <c r="W145" s="206">
        <v>19</v>
      </c>
      <c r="X145" s="206">
        <v>15</v>
      </c>
      <c r="Y145" s="206">
        <v>13</v>
      </c>
      <c r="Z145" s="206">
        <v>14</v>
      </c>
      <c r="AA145" s="206">
        <v>0</v>
      </c>
      <c r="AB145" s="206">
        <v>12</v>
      </c>
      <c r="AC145" s="206">
        <v>11</v>
      </c>
      <c r="AD145" s="206">
        <v>15</v>
      </c>
      <c r="AE145" s="206">
        <v>0</v>
      </c>
      <c r="AF145" s="206">
        <v>12</v>
      </c>
      <c r="AG145" s="206">
        <v>15</v>
      </c>
      <c r="AH145" s="2">
        <f t="shared" si="6"/>
        <v>5</v>
      </c>
      <c r="AI145" s="2">
        <f t="shared" si="7"/>
        <v>0</v>
      </c>
      <c r="AJ145" s="2">
        <f t="shared" si="8"/>
        <v>5</v>
      </c>
    </row>
    <row r="146" spans="2:36" x14ac:dyDescent="0.2">
      <c r="B146" s="102"/>
      <c r="C146" s="103">
        <v>143</v>
      </c>
      <c r="D146" s="205">
        <v>10254328.199674565</v>
      </c>
      <c r="E146" s="205">
        <v>5896407.6432059342</v>
      </c>
      <c r="F146" s="205">
        <v>0</v>
      </c>
      <c r="G146" s="205">
        <v>0</v>
      </c>
      <c r="H146" s="205">
        <v>684509.30179355096</v>
      </c>
      <c r="I146" s="206">
        <v>-1</v>
      </c>
      <c r="J146" s="206">
        <v>-1</v>
      </c>
      <c r="K146" s="206">
        <v>18</v>
      </c>
      <c r="L146" s="206">
        <v>16</v>
      </c>
      <c r="M146" s="206">
        <v>-1</v>
      </c>
      <c r="N146" s="206">
        <v>-1</v>
      </c>
      <c r="O146" s="206">
        <v>18</v>
      </c>
      <c r="P146" s="206">
        <v>14</v>
      </c>
      <c r="Q146" s="206">
        <v>18</v>
      </c>
      <c r="R146" s="206">
        <v>-1</v>
      </c>
      <c r="S146" s="206">
        <v>18</v>
      </c>
      <c r="T146" s="206">
        <v>14</v>
      </c>
      <c r="U146" s="206">
        <v>18</v>
      </c>
      <c r="V146" s="206">
        <v>15</v>
      </c>
      <c r="W146" s="206">
        <v>19</v>
      </c>
      <c r="X146" s="206">
        <v>15</v>
      </c>
      <c r="Y146" s="206">
        <v>13</v>
      </c>
      <c r="Z146" s="206">
        <v>14</v>
      </c>
      <c r="AA146" s="206">
        <v>0</v>
      </c>
      <c r="AB146" s="206">
        <v>12</v>
      </c>
      <c r="AC146" s="206">
        <v>11</v>
      </c>
      <c r="AD146" s="206">
        <v>15</v>
      </c>
      <c r="AE146" s="206">
        <v>0</v>
      </c>
      <c r="AF146" s="206">
        <v>12</v>
      </c>
      <c r="AG146" s="206">
        <v>15</v>
      </c>
      <c r="AH146" s="2">
        <f t="shared" si="6"/>
        <v>5</v>
      </c>
      <c r="AI146" s="2">
        <f t="shared" si="7"/>
        <v>0</v>
      </c>
      <c r="AJ146" s="2">
        <f t="shared" si="8"/>
        <v>5</v>
      </c>
    </row>
    <row r="147" spans="2:36" x14ac:dyDescent="0.2">
      <c r="B147" s="102"/>
      <c r="C147" s="103">
        <v>144</v>
      </c>
      <c r="D147" s="205">
        <v>9142969.4767054282</v>
      </c>
      <c r="E147" s="205">
        <v>5256353.9350646036</v>
      </c>
      <c r="F147" s="205">
        <v>3849312.1084271157</v>
      </c>
      <c r="G147" s="205">
        <v>0</v>
      </c>
      <c r="H147" s="205">
        <v>618321.10402640584</v>
      </c>
      <c r="I147" s="206">
        <v>-1</v>
      </c>
      <c r="J147" s="206">
        <v>-1</v>
      </c>
      <c r="K147" s="206"/>
      <c r="L147" s="206">
        <v>16</v>
      </c>
      <c r="M147" s="206">
        <v>-1</v>
      </c>
      <c r="N147" s="206">
        <v>-1</v>
      </c>
      <c r="O147" s="206">
        <v>18</v>
      </c>
      <c r="P147" s="206">
        <v>14</v>
      </c>
      <c r="Q147" s="206">
        <v>0</v>
      </c>
      <c r="R147" s="206">
        <v>-1</v>
      </c>
      <c r="S147" s="206">
        <v>18</v>
      </c>
      <c r="T147" s="206">
        <v>14</v>
      </c>
      <c r="U147" s="206">
        <v>18</v>
      </c>
      <c r="V147" s="206">
        <v>15</v>
      </c>
      <c r="W147" s="206">
        <v>19</v>
      </c>
      <c r="X147" s="206">
        <v>15</v>
      </c>
      <c r="Y147" s="206">
        <v>13</v>
      </c>
      <c r="Z147" s="206">
        <v>14</v>
      </c>
      <c r="AA147" s="206">
        <v>0</v>
      </c>
      <c r="AB147" s="206">
        <v>12</v>
      </c>
      <c r="AC147" s="206">
        <v>11</v>
      </c>
      <c r="AD147" s="206">
        <v>0</v>
      </c>
      <c r="AE147" s="206">
        <v>19</v>
      </c>
      <c r="AF147" s="206">
        <v>12</v>
      </c>
      <c r="AG147" s="206">
        <v>15</v>
      </c>
      <c r="AH147" s="2">
        <f t="shared" si="6"/>
        <v>5</v>
      </c>
      <c r="AI147" s="2">
        <f t="shared" si="7"/>
        <v>1</v>
      </c>
      <c r="AJ147" s="2">
        <f t="shared" si="8"/>
        <v>6</v>
      </c>
    </row>
    <row r="148" spans="2:36" x14ac:dyDescent="0.2">
      <c r="B148" s="102"/>
      <c r="C148" s="103">
        <v>145</v>
      </c>
      <c r="D148" s="205">
        <v>6130670.5945497248</v>
      </c>
      <c r="E148" s="205">
        <v>3518272.7119315844</v>
      </c>
      <c r="F148" s="205">
        <v>0</v>
      </c>
      <c r="G148" s="205">
        <v>0</v>
      </c>
      <c r="H148" s="205">
        <v>692676.9154299146</v>
      </c>
      <c r="I148" s="206">
        <v>-1</v>
      </c>
      <c r="J148" s="206">
        <v>-1</v>
      </c>
      <c r="K148" s="206"/>
      <c r="L148" s="206">
        <v>16</v>
      </c>
      <c r="M148" s="206">
        <v>-1</v>
      </c>
      <c r="N148" s="206">
        <v>-1</v>
      </c>
      <c r="O148" s="206">
        <v>18</v>
      </c>
      <c r="P148" s="206">
        <v>14</v>
      </c>
      <c r="Q148" s="206">
        <v>0</v>
      </c>
      <c r="R148" s="206">
        <v>-1</v>
      </c>
      <c r="S148" s="206">
        <v>18</v>
      </c>
      <c r="T148" s="206">
        <v>0</v>
      </c>
      <c r="U148" s="206">
        <v>18</v>
      </c>
      <c r="V148" s="206">
        <v>15</v>
      </c>
      <c r="W148" s="206">
        <v>0</v>
      </c>
      <c r="X148" s="206">
        <v>15</v>
      </c>
      <c r="Y148" s="206">
        <v>13</v>
      </c>
      <c r="Z148" s="206">
        <v>14</v>
      </c>
      <c r="AA148" s="206">
        <v>12</v>
      </c>
      <c r="AB148" s="206">
        <v>0</v>
      </c>
      <c r="AC148" s="206">
        <v>11</v>
      </c>
      <c r="AD148" s="206">
        <v>0</v>
      </c>
      <c r="AE148" s="206">
        <v>19</v>
      </c>
      <c r="AF148" s="206">
        <v>0</v>
      </c>
      <c r="AG148" s="206">
        <v>15</v>
      </c>
      <c r="AH148" s="2">
        <f t="shared" si="6"/>
        <v>5</v>
      </c>
      <c r="AI148" s="2">
        <f t="shared" si="7"/>
        <v>1</v>
      </c>
      <c r="AJ148" s="2">
        <f t="shared" si="8"/>
        <v>6</v>
      </c>
    </row>
    <row r="149" spans="2:36" x14ac:dyDescent="0.2">
      <c r="B149" s="102"/>
      <c r="C149" s="103">
        <v>146</v>
      </c>
      <c r="D149" s="205">
        <v>8298317.063049566</v>
      </c>
      <c r="E149" s="205">
        <v>4755391.0145603828</v>
      </c>
      <c r="F149" s="205">
        <v>0</v>
      </c>
      <c r="G149" s="205">
        <v>0</v>
      </c>
      <c r="H149" s="205">
        <v>735946.14619914535</v>
      </c>
      <c r="I149" s="206">
        <v>-1</v>
      </c>
      <c r="J149" s="206">
        <v>-1</v>
      </c>
      <c r="K149" s="206"/>
      <c r="L149" s="206">
        <v>16</v>
      </c>
      <c r="M149" s="206">
        <v>-1</v>
      </c>
      <c r="N149" s="206">
        <v>-1</v>
      </c>
      <c r="O149" s="206">
        <v>18</v>
      </c>
      <c r="P149" s="206">
        <v>14</v>
      </c>
      <c r="Q149" s="206">
        <v>19</v>
      </c>
      <c r="R149" s="206">
        <v>-1</v>
      </c>
      <c r="S149" s="206">
        <v>18</v>
      </c>
      <c r="T149" s="206">
        <v>0</v>
      </c>
      <c r="U149" s="206">
        <v>0</v>
      </c>
      <c r="V149" s="206">
        <v>15</v>
      </c>
      <c r="W149" s="206">
        <v>0</v>
      </c>
      <c r="X149" s="206">
        <v>15</v>
      </c>
      <c r="Y149" s="206">
        <v>13</v>
      </c>
      <c r="Z149" s="206">
        <v>14</v>
      </c>
      <c r="AA149" s="206">
        <v>12</v>
      </c>
      <c r="AB149" s="206">
        <v>0</v>
      </c>
      <c r="AC149" s="206">
        <v>11</v>
      </c>
      <c r="AD149" s="206">
        <v>16</v>
      </c>
      <c r="AE149" s="206">
        <v>19</v>
      </c>
      <c r="AF149" s="206">
        <v>0</v>
      </c>
      <c r="AG149" s="206">
        <v>0</v>
      </c>
      <c r="AH149" s="2">
        <f t="shared" si="6"/>
        <v>5</v>
      </c>
      <c r="AI149" s="2">
        <f t="shared" si="7"/>
        <v>1</v>
      </c>
      <c r="AJ149" s="2">
        <f t="shared" si="8"/>
        <v>6</v>
      </c>
    </row>
    <row r="150" spans="2:36" x14ac:dyDescent="0.2">
      <c r="B150" s="102"/>
      <c r="C150" s="103">
        <v>147</v>
      </c>
      <c r="D150" s="205">
        <v>6978145.7120865798</v>
      </c>
      <c r="E150" s="205">
        <v>4008757.9544183072</v>
      </c>
      <c r="F150" s="205">
        <v>0</v>
      </c>
      <c r="G150" s="205">
        <v>0</v>
      </c>
      <c r="H150" s="205">
        <v>735946.14619914535</v>
      </c>
      <c r="I150" s="206">
        <v>-1</v>
      </c>
      <c r="J150" s="206">
        <v>-1</v>
      </c>
      <c r="K150" s="206"/>
      <c r="L150" s="206">
        <v>16</v>
      </c>
      <c r="M150" s="206">
        <v>-1</v>
      </c>
      <c r="N150" s="206">
        <v>-1</v>
      </c>
      <c r="O150" s="206">
        <v>18</v>
      </c>
      <c r="P150" s="206">
        <v>14</v>
      </c>
      <c r="Q150" s="206">
        <v>19</v>
      </c>
      <c r="R150" s="206">
        <v>-1</v>
      </c>
      <c r="S150" s="206">
        <v>18</v>
      </c>
      <c r="T150" s="206">
        <v>0</v>
      </c>
      <c r="U150" s="206">
        <v>0</v>
      </c>
      <c r="V150" s="206">
        <v>0</v>
      </c>
      <c r="W150" s="206">
        <v>20</v>
      </c>
      <c r="X150" s="206">
        <v>15</v>
      </c>
      <c r="Y150" s="206">
        <v>13</v>
      </c>
      <c r="Z150" s="206">
        <v>0</v>
      </c>
      <c r="AA150" s="206">
        <v>12</v>
      </c>
      <c r="AB150" s="206">
        <v>0</v>
      </c>
      <c r="AC150" s="206">
        <v>11</v>
      </c>
      <c r="AD150" s="206">
        <v>16</v>
      </c>
      <c r="AE150" s="206">
        <v>0</v>
      </c>
      <c r="AF150" s="206">
        <v>13</v>
      </c>
      <c r="AG150" s="206">
        <v>0</v>
      </c>
      <c r="AH150" s="2">
        <f t="shared" si="6"/>
        <v>5</v>
      </c>
      <c r="AI150" s="2">
        <f t="shared" si="7"/>
        <v>1</v>
      </c>
      <c r="AJ150" s="2">
        <f t="shared" si="8"/>
        <v>6</v>
      </c>
    </row>
    <row r="151" spans="2:36" x14ac:dyDescent="0.2">
      <c r="B151" s="102"/>
      <c r="C151" s="103">
        <v>148</v>
      </c>
      <c r="D151" s="205">
        <v>7126695.0768778669</v>
      </c>
      <c r="E151" s="205">
        <v>4139440.4734236342</v>
      </c>
      <c r="F151" s="205">
        <v>0</v>
      </c>
      <c r="G151" s="205">
        <v>0</v>
      </c>
      <c r="H151" s="205">
        <v>652312.33209658123</v>
      </c>
      <c r="I151" s="206">
        <v>-1</v>
      </c>
      <c r="J151" s="206">
        <v>-1</v>
      </c>
      <c r="K151" s="206"/>
      <c r="L151" s="206">
        <v>0</v>
      </c>
      <c r="M151" s="206">
        <v>-1</v>
      </c>
      <c r="N151" s="206">
        <v>-1</v>
      </c>
      <c r="O151" s="206">
        <v>18</v>
      </c>
      <c r="P151" s="206">
        <v>0</v>
      </c>
      <c r="Q151" s="206">
        <v>19</v>
      </c>
      <c r="R151" s="206">
        <v>-1</v>
      </c>
      <c r="S151" s="206">
        <v>18</v>
      </c>
      <c r="T151" s="206">
        <v>15</v>
      </c>
      <c r="U151" s="206">
        <v>19</v>
      </c>
      <c r="V151" s="206">
        <v>0</v>
      </c>
      <c r="W151" s="206">
        <v>20</v>
      </c>
      <c r="X151" s="206">
        <v>15</v>
      </c>
      <c r="Y151" s="206">
        <v>0</v>
      </c>
      <c r="Z151" s="206">
        <v>0</v>
      </c>
      <c r="AA151" s="206">
        <v>12</v>
      </c>
      <c r="AB151" s="206">
        <v>13</v>
      </c>
      <c r="AC151" s="206">
        <v>11</v>
      </c>
      <c r="AD151" s="206">
        <v>16</v>
      </c>
      <c r="AE151" s="206">
        <v>0</v>
      </c>
      <c r="AF151" s="206">
        <v>13</v>
      </c>
      <c r="AG151" s="206">
        <v>16</v>
      </c>
      <c r="AH151" s="2">
        <f t="shared" si="6"/>
        <v>5</v>
      </c>
      <c r="AI151" s="2">
        <f t="shared" si="7"/>
        <v>1</v>
      </c>
      <c r="AJ151" s="2">
        <f t="shared" si="8"/>
        <v>6</v>
      </c>
    </row>
    <row r="152" spans="2:36" x14ac:dyDescent="0.2">
      <c r="B152" s="102"/>
      <c r="C152" s="103">
        <v>149</v>
      </c>
      <c r="D152" s="205">
        <v>4881251.0104878955</v>
      </c>
      <c r="E152" s="205">
        <v>2871580.1040730486</v>
      </c>
      <c r="F152" s="205">
        <v>0</v>
      </c>
      <c r="G152" s="205">
        <v>0</v>
      </c>
      <c r="H152" s="205">
        <v>652312.33209658123</v>
      </c>
      <c r="I152" s="206">
        <v>-1</v>
      </c>
      <c r="J152" s="206">
        <v>-1</v>
      </c>
      <c r="K152" s="206"/>
      <c r="L152" s="206">
        <v>0</v>
      </c>
      <c r="M152" s="206">
        <v>-1</v>
      </c>
      <c r="N152" s="206">
        <v>-1</v>
      </c>
      <c r="O152" s="206">
        <v>0</v>
      </c>
      <c r="P152" s="206">
        <v>0</v>
      </c>
      <c r="Q152" s="206">
        <v>19</v>
      </c>
      <c r="R152" s="206">
        <v>-1</v>
      </c>
      <c r="S152" s="206">
        <v>18</v>
      </c>
      <c r="T152" s="206">
        <v>0</v>
      </c>
      <c r="U152" s="206">
        <v>19</v>
      </c>
      <c r="V152" s="206">
        <v>16</v>
      </c>
      <c r="W152" s="206">
        <v>20</v>
      </c>
      <c r="X152" s="206">
        <v>0</v>
      </c>
      <c r="Y152" s="206">
        <v>14</v>
      </c>
      <c r="Z152" s="206">
        <v>0</v>
      </c>
      <c r="AA152" s="206">
        <v>12</v>
      </c>
      <c r="AB152" s="206">
        <v>13</v>
      </c>
      <c r="AC152" s="206">
        <v>0</v>
      </c>
      <c r="AD152" s="206">
        <v>16</v>
      </c>
      <c r="AE152" s="206">
        <v>0</v>
      </c>
      <c r="AF152" s="206">
        <v>13</v>
      </c>
      <c r="AG152" s="206">
        <v>16</v>
      </c>
      <c r="AH152" s="2">
        <f t="shared" si="6"/>
        <v>5</v>
      </c>
      <c r="AI152" s="2">
        <f t="shared" si="7"/>
        <v>1</v>
      </c>
      <c r="AJ152" s="2">
        <f t="shared" si="8"/>
        <v>6</v>
      </c>
    </row>
    <row r="153" spans="2:36" x14ac:dyDescent="0.2">
      <c r="B153" s="102"/>
      <c r="C153" s="103">
        <v>150</v>
      </c>
      <c r="D153" s="205">
        <v>6478854.4447384244</v>
      </c>
      <c r="E153" s="205">
        <v>3819309.871367407</v>
      </c>
      <c r="F153" s="205">
        <v>0</v>
      </c>
      <c r="G153" s="205">
        <v>0</v>
      </c>
      <c r="H153" s="205">
        <v>576654.43735973921</v>
      </c>
      <c r="I153" s="206">
        <v>-1</v>
      </c>
      <c r="J153" s="206">
        <v>-1</v>
      </c>
      <c r="K153" s="206"/>
      <c r="L153" s="206">
        <v>0</v>
      </c>
      <c r="M153" s="206">
        <v>-1</v>
      </c>
      <c r="N153" s="206">
        <v>-1</v>
      </c>
      <c r="O153" s="206">
        <v>0</v>
      </c>
      <c r="P153" s="206">
        <v>15</v>
      </c>
      <c r="Q153" s="206">
        <v>19</v>
      </c>
      <c r="R153" s="206">
        <v>-1</v>
      </c>
      <c r="S153" s="206">
        <v>0</v>
      </c>
      <c r="T153" s="206">
        <v>0</v>
      </c>
      <c r="U153" s="206">
        <v>19</v>
      </c>
      <c r="V153" s="206">
        <v>16</v>
      </c>
      <c r="W153" s="206">
        <v>20</v>
      </c>
      <c r="X153" s="206">
        <v>0</v>
      </c>
      <c r="Y153" s="206">
        <v>14</v>
      </c>
      <c r="Z153" s="206">
        <v>15</v>
      </c>
      <c r="AA153" s="206">
        <v>12</v>
      </c>
      <c r="AB153" s="206">
        <v>13</v>
      </c>
      <c r="AC153" s="206">
        <v>0</v>
      </c>
      <c r="AD153" s="206">
        <v>16</v>
      </c>
      <c r="AE153" s="206">
        <v>20</v>
      </c>
      <c r="AF153" s="206">
        <v>13</v>
      </c>
      <c r="AG153" s="206">
        <v>16</v>
      </c>
      <c r="AH153" s="2">
        <f t="shared" si="6"/>
        <v>5</v>
      </c>
      <c r="AI153" s="2">
        <f t="shared" si="7"/>
        <v>1</v>
      </c>
      <c r="AJ153" s="2">
        <f t="shared" si="8"/>
        <v>6</v>
      </c>
    </row>
    <row r="154" spans="2:36" x14ac:dyDescent="0.2">
      <c r="B154" s="102"/>
      <c r="C154" s="103">
        <v>151</v>
      </c>
      <c r="D154" s="205">
        <v>6091369.0917595932</v>
      </c>
      <c r="E154" s="205">
        <v>3565675.2281830609</v>
      </c>
      <c r="F154" s="205">
        <v>0</v>
      </c>
      <c r="G154" s="205">
        <v>0</v>
      </c>
      <c r="H154" s="205">
        <v>618321.10402640584</v>
      </c>
      <c r="I154" s="206">
        <v>-1</v>
      </c>
      <c r="J154" s="206">
        <v>-1</v>
      </c>
      <c r="K154" s="206"/>
      <c r="L154" s="206">
        <v>17</v>
      </c>
      <c r="M154" s="206">
        <v>-1</v>
      </c>
      <c r="N154" s="206">
        <v>-1</v>
      </c>
      <c r="O154" s="206">
        <v>0</v>
      </c>
      <c r="P154" s="206">
        <v>15</v>
      </c>
      <c r="Q154" s="206">
        <v>19</v>
      </c>
      <c r="R154" s="206">
        <v>-1</v>
      </c>
      <c r="S154" s="206">
        <v>0</v>
      </c>
      <c r="T154" s="206">
        <v>16</v>
      </c>
      <c r="U154" s="206">
        <v>19</v>
      </c>
      <c r="V154" s="206">
        <v>16</v>
      </c>
      <c r="W154" s="206">
        <v>20</v>
      </c>
      <c r="X154" s="206">
        <v>0</v>
      </c>
      <c r="Y154" s="206">
        <v>14</v>
      </c>
      <c r="Z154" s="206">
        <v>15</v>
      </c>
      <c r="AA154" s="206">
        <v>0</v>
      </c>
      <c r="AB154" s="206">
        <v>0</v>
      </c>
      <c r="AC154" s="206">
        <v>12</v>
      </c>
      <c r="AD154" s="206">
        <v>0</v>
      </c>
      <c r="AE154" s="206">
        <v>20</v>
      </c>
      <c r="AF154" s="206">
        <v>13</v>
      </c>
      <c r="AG154" s="206">
        <v>16</v>
      </c>
      <c r="AH154" s="2">
        <f t="shared" si="6"/>
        <v>5</v>
      </c>
      <c r="AI154" s="2">
        <f t="shared" si="7"/>
        <v>1</v>
      </c>
      <c r="AJ154" s="2">
        <f t="shared" si="8"/>
        <v>6</v>
      </c>
    </row>
    <row r="155" spans="2:36" x14ac:dyDescent="0.2">
      <c r="B155" s="102"/>
      <c r="C155" s="103">
        <v>152</v>
      </c>
      <c r="D155" s="205">
        <v>5783493.6746136872</v>
      </c>
      <c r="E155" s="205">
        <v>3360465.2899741218</v>
      </c>
      <c r="F155" s="205">
        <v>0</v>
      </c>
      <c r="G155" s="205">
        <v>0</v>
      </c>
      <c r="H155" s="205">
        <v>618321.10402640584</v>
      </c>
      <c r="I155" s="206">
        <v>-1</v>
      </c>
      <c r="J155" s="206">
        <v>-1</v>
      </c>
      <c r="K155" s="206"/>
      <c r="L155" s="206">
        <v>17</v>
      </c>
      <c r="M155" s="206">
        <v>-1</v>
      </c>
      <c r="N155" s="206">
        <v>-1</v>
      </c>
      <c r="O155" s="206">
        <v>19</v>
      </c>
      <c r="P155" s="206">
        <v>15</v>
      </c>
      <c r="Q155" s="206">
        <v>0</v>
      </c>
      <c r="R155" s="206">
        <v>-1</v>
      </c>
      <c r="S155" s="206">
        <v>19</v>
      </c>
      <c r="T155" s="206">
        <v>16</v>
      </c>
      <c r="U155" s="206">
        <v>0</v>
      </c>
      <c r="V155" s="206">
        <v>16</v>
      </c>
      <c r="W155" s="206">
        <v>0</v>
      </c>
      <c r="X155" s="206">
        <v>16</v>
      </c>
      <c r="Y155" s="206">
        <v>0</v>
      </c>
      <c r="Z155" s="206">
        <v>15</v>
      </c>
      <c r="AA155" s="206">
        <v>0</v>
      </c>
      <c r="AB155" s="206">
        <v>0</v>
      </c>
      <c r="AC155" s="206">
        <v>12</v>
      </c>
      <c r="AD155" s="206">
        <v>0</v>
      </c>
      <c r="AE155" s="206">
        <v>20</v>
      </c>
      <c r="AF155" s="206">
        <v>13</v>
      </c>
      <c r="AG155" s="206">
        <v>16</v>
      </c>
      <c r="AH155" s="2">
        <f t="shared" si="6"/>
        <v>5</v>
      </c>
      <c r="AI155" s="2">
        <f t="shared" si="7"/>
        <v>1</v>
      </c>
      <c r="AJ155" s="2">
        <f t="shared" si="8"/>
        <v>6</v>
      </c>
    </row>
    <row r="156" spans="2:36" x14ac:dyDescent="0.2">
      <c r="B156" s="102"/>
      <c r="C156" s="103">
        <v>153</v>
      </c>
      <c r="D156" s="205">
        <v>7573196.9820073433</v>
      </c>
      <c r="E156" s="205">
        <v>4417519.8530046185</v>
      </c>
      <c r="F156" s="205">
        <v>0</v>
      </c>
      <c r="G156" s="205">
        <v>0</v>
      </c>
      <c r="H156" s="205">
        <v>652312.33209658123</v>
      </c>
      <c r="I156" s="206">
        <v>-1</v>
      </c>
      <c r="J156" s="206">
        <v>-1</v>
      </c>
      <c r="K156" s="206"/>
      <c r="L156" s="206">
        <v>17</v>
      </c>
      <c r="M156" s="206">
        <v>-1</v>
      </c>
      <c r="N156" s="206">
        <v>-1</v>
      </c>
      <c r="O156" s="206">
        <v>19</v>
      </c>
      <c r="P156" s="206">
        <v>15</v>
      </c>
      <c r="Q156" s="206">
        <v>0</v>
      </c>
      <c r="R156" s="206">
        <v>-1</v>
      </c>
      <c r="S156" s="206">
        <v>19</v>
      </c>
      <c r="T156" s="206">
        <v>16</v>
      </c>
      <c r="U156" s="206">
        <v>0</v>
      </c>
      <c r="V156" s="206">
        <v>0</v>
      </c>
      <c r="W156" s="206">
        <v>0</v>
      </c>
      <c r="X156" s="206">
        <v>16</v>
      </c>
      <c r="Y156" s="206">
        <v>15</v>
      </c>
      <c r="Z156" s="206">
        <v>15</v>
      </c>
      <c r="AA156" s="206">
        <v>13</v>
      </c>
      <c r="AB156" s="206">
        <v>14</v>
      </c>
      <c r="AC156" s="206">
        <v>12</v>
      </c>
      <c r="AD156" s="206">
        <v>17</v>
      </c>
      <c r="AE156" s="206">
        <v>0</v>
      </c>
      <c r="AF156" s="206">
        <v>13</v>
      </c>
      <c r="AG156" s="206">
        <v>16</v>
      </c>
      <c r="AH156" s="2">
        <f t="shared" si="6"/>
        <v>5</v>
      </c>
      <c r="AI156" s="2">
        <f t="shared" si="7"/>
        <v>1</v>
      </c>
      <c r="AJ156" s="2">
        <f t="shared" si="8"/>
        <v>6</v>
      </c>
    </row>
    <row r="157" spans="2:36" x14ac:dyDescent="0.2">
      <c r="B157" s="102"/>
      <c r="C157" s="103">
        <v>154</v>
      </c>
      <c r="D157" s="205">
        <v>7943200.3774101688</v>
      </c>
      <c r="E157" s="205">
        <v>4575579.4678515289</v>
      </c>
      <c r="F157" s="205">
        <v>0</v>
      </c>
      <c r="G157" s="205">
        <v>0</v>
      </c>
      <c r="H157" s="205">
        <v>652312.33209658123</v>
      </c>
      <c r="I157" s="206">
        <v>-1</v>
      </c>
      <c r="J157" s="206">
        <v>-1</v>
      </c>
      <c r="K157" s="206"/>
      <c r="L157" s="206">
        <v>17</v>
      </c>
      <c r="M157" s="206">
        <v>-1</v>
      </c>
      <c r="N157" s="206">
        <v>-1</v>
      </c>
      <c r="O157" s="206">
        <v>19</v>
      </c>
      <c r="P157" s="206">
        <v>15</v>
      </c>
      <c r="Q157" s="206">
        <v>20</v>
      </c>
      <c r="R157" s="206">
        <v>-1</v>
      </c>
      <c r="S157" s="206">
        <v>19</v>
      </c>
      <c r="T157" s="206">
        <v>16</v>
      </c>
      <c r="U157" s="206">
        <v>0</v>
      </c>
      <c r="V157" s="206">
        <v>17</v>
      </c>
      <c r="W157" s="206">
        <v>0</v>
      </c>
      <c r="X157" s="206">
        <v>0</v>
      </c>
      <c r="Y157" s="206">
        <v>15</v>
      </c>
      <c r="Z157" s="206">
        <v>15</v>
      </c>
      <c r="AA157" s="206">
        <v>13</v>
      </c>
      <c r="AB157" s="206">
        <v>14</v>
      </c>
      <c r="AC157" s="206">
        <v>12</v>
      </c>
      <c r="AD157" s="206">
        <v>17</v>
      </c>
      <c r="AE157" s="206">
        <v>0</v>
      </c>
      <c r="AF157" s="206">
        <v>13</v>
      </c>
      <c r="AG157" s="206">
        <v>16</v>
      </c>
      <c r="AH157" s="2">
        <f t="shared" si="6"/>
        <v>5</v>
      </c>
      <c r="AI157" s="2">
        <f t="shared" si="7"/>
        <v>1</v>
      </c>
      <c r="AJ157" s="2">
        <f t="shared" si="8"/>
        <v>6</v>
      </c>
    </row>
    <row r="158" spans="2:36" x14ac:dyDescent="0.2">
      <c r="B158" s="102"/>
      <c r="C158" s="103">
        <v>155</v>
      </c>
      <c r="D158" s="205">
        <v>10151300.119343173</v>
      </c>
      <c r="E158" s="205">
        <v>5907724.9571857192</v>
      </c>
      <c r="F158" s="205">
        <v>0</v>
      </c>
      <c r="G158" s="205">
        <v>0</v>
      </c>
      <c r="H158" s="205">
        <v>692676.9154299146</v>
      </c>
      <c r="I158" s="206">
        <v>-1</v>
      </c>
      <c r="J158" s="206">
        <v>-1</v>
      </c>
      <c r="K158" s="206"/>
      <c r="L158" s="206">
        <v>0</v>
      </c>
      <c r="M158" s="206">
        <v>-1</v>
      </c>
      <c r="N158" s="206">
        <v>-1</v>
      </c>
      <c r="O158" s="206">
        <v>19</v>
      </c>
      <c r="P158" s="206">
        <v>15</v>
      </c>
      <c r="Q158" s="206">
        <v>20</v>
      </c>
      <c r="R158" s="206">
        <v>-1</v>
      </c>
      <c r="S158" s="206">
        <v>19</v>
      </c>
      <c r="T158" s="206">
        <v>16</v>
      </c>
      <c r="U158" s="206">
        <v>20</v>
      </c>
      <c r="V158" s="206">
        <v>17</v>
      </c>
      <c r="W158" s="206">
        <v>21</v>
      </c>
      <c r="X158" s="206">
        <v>17</v>
      </c>
      <c r="Y158" s="206">
        <v>15</v>
      </c>
      <c r="Z158" s="206">
        <v>15</v>
      </c>
      <c r="AA158" s="206">
        <v>13</v>
      </c>
      <c r="AB158" s="206">
        <v>14</v>
      </c>
      <c r="AC158" s="206">
        <v>12</v>
      </c>
      <c r="AD158" s="206">
        <v>17</v>
      </c>
      <c r="AE158" s="206">
        <v>21</v>
      </c>
      <c r="AF158" s="206">
        <v>0</v>
      </c>
      <c r="AG158" s="206">
        <v>16</v>
      </c>
      <c r="AH158" s="2">
        <f t="shared" si="6"/>
        <v>5</v>
      </c>
      <c r="AI158" s="2">
        <f t="shared" si="7"/>
        <v>1</v>
      </c>
      <c r="AJ158" s="2">
        <f t="shared" si="8"/>
        <v>6</v>
      </c>
    </row>
    <row r="159" spans="2:36" x14ac:dyDescent="0.2">
      <c r="B159" s="102"/>
      <c r="C159" s="103">
        <v>156</v>
      </c>
      <c r="D159" s="205">
        <v>8431825.5306553263</v>
      </c>
      <c r="E159" s="205">
        <v>4821539.6072727311</v>
      </c>
      <c r="F159" s="205">
        <v>0</v>
      </c>
      <c r="G159" s="205">
        <v>0</v>
      </c>
      <c r="H159" s="205">
        <v>735946.14619914535</v>
      </c>
      <c r="I159" s="206">
        <v>-1</v>
      </c>
      <c r="J159" s="206">
        <v>-1</v>
      </c>
      <c r="K159" s="206"/>
      <c r="L159" s="206">
        <v>0</v>
      </c>
      <c r="M159" s="206">
        <v>-1</v>
      </c>
      <c r="N159" s="206">
        <v>-1</v>
      </c>
      <c r="O159" s="206">
        <v>19</v>
      </c>
      <c r="P159" s="206">
        <v>15</v>
      </c>
      <c r="Q159" s="206">
        <v>20</v>
      </c>
      <c r="R159" s="206">
        <v>-1</v>
      </c>
      <c r="S159" s="206">
        <v>19</v>
      </c>
      <c r="T159" s="206">
        <v>0</v>
      </c>
      <c r="U159" s="206">
        <v>20</v>
      </c>
      <c r="V159" s="206">
        <v>17</v>
      </c>
      <c r="W159" s="206">
        <v>21</v>
      </c>
      <c r="X159" s="206">
        <v>17</v>
      </c>
      <c r="Y159" s="206">
        <v>15</v>
      </c>
      <c r="Z159" s="206">
        <v>0</v>
      </c>
      <c r="AA159" s="206">
        <v>13</v>
      </c>
      <c r="AB159" s="206">
        <v>14</v>
      </c>
      <c r="AC159" s="206">
        <v>12</v>
      </c>
      <c r="AD159" s="206">
        <v>17</v>
      </c>
      <c r="AE159" s="206">
        <v>21</v>
      </c>
      <c r="AF159" s="206">
        <v>0</v>
      </c>
      <c r="AG159" s="206">
        <v>0</v>
      </c>
      <c r="AH159" s="2">
        <f t="shared" si="6"/>
        <v>5</v>
      </c>
      <c r="AI159" s="2">
        <f t="shared" si="7"/>
        <v>1</v>
      </c>
      <c r="AJ159" s="2">
        <f t="shared" si="8"/>
        <v>6</v>
      </c>
    </row>
    <row r="160" spans="2:36" x14ac:dyDescent="0.2">
      <c r="B160" s="102"/>
      <c r="C160" s="103">
        <v>157</v>
      </c>
      <c r="D160" s="205">
        <v>10136895.152377954</v>
      </c>
      <c r="E160" s="205">
        <v>5962220.9496492129</v>
      </c>
      <c r="F160" s="205">
        <v>0</v>
      </c>
      <c r="G160" s="205">
        <v>0</v>
      </c>
      <c r="H160" s="205">
        <v>735946.14619914535</v>
      </c>
      <c r="I160" s="206">
        <v>-1</v>
      </c>
      <c r="J160" s="206">
        <v>-1</v>
      </c>
      <c r="K160" s="206"/>
      <c r="L160" s="206">
        <v>18</v>
      </c>
      <c r="M160" s="206">
        <v>-1</v>
      </c>
      <c r="N160" s="206">
        <v>-1</v>
      </c>
      <c r="O160" s="206">
        <v>19</v>
      </c>
      <c r="P160" s="206">
        <v>15</v>
      </c>
      <c r="Q160" s="206">
        <v>20</v>
      </c>
      <c r="R160" s="206">
        <v>-1</v>
      </c>
      <c r="S160" s="206">
        <v>19</v>
      </c>
      <c r="T160" s="206">
        <v>0</v>
      </c>
      <c r="U160" s="206">
        <v>20</v>
      </c>
      <c r="V160" s="206">
        <v>17</v>
      </c>
      <c r="W160" s="206">
        <v>21</v>
      </c>
      <c r="X160" s="206">
        <v>17</v>
      </c>
      <c r="Y160" s="206">
        <v>0</v>
      </c>
      <c r="Z160" s="206">
        <v>0</v>
      </c>
      <c r="AA160" s="206">
        <v>13</v>
      </c>
      <c r="AB160" s="206">
        <v>14</v>
      </c>
      <c r="AC160" s="206">
        <v>12</v>
      </c>
      <c r="AD160" s="206">
        <v>17</v>
      </c>
      <c r="AE160" s="206">
        <v>21</v>
      </c>
      <c r="AF160" s="206">
        <v>0</v>
      </c>
      <c r="AG160" s="206">
        <v>0</v>
      </c>
      <c r="AH160" s="2">
        <f t="shared" si="6"/>
        <v>5</v>
      </c>
      <c r="AI160" s="2">
        <f t="shared" si="7"/>
        <v>1</v>
      </c>
      <c r="AJ160" s="2">
        <f t="shared" si="8"/>
        <v>6</v>
      </c>
    </row>
    <row r="161" spans="2:36" x14ac:dyDescent="0.2">
      <c r="B161" s="102"/>
      <c r="C161" s="103">
        <v>158</v>
      </c>
      <c r="D161" s="205">
        <v>4344383.636733409</v>
      </c>
      <c r="E161" s="205">
        <v>2555237.5498496629</v>
      </c>
      <c r="F161" s="205">
        <v>0</v>
      </c>
      <c r="G161" s="205">
        <v>0</v>
      </c>
      <c r="H161" s="205">
        <v>398958.35892836668</v>
      </c>
      <c r="I161" s="206">
        <v>-1</v>
      </c>
      <c r="J161" s="206">
        <v>-1</v>
      </c>
      <c r="K161" s="206"/>
      <c r="L161" s="206">
        <v>18</v>
      </c>
      <c r="M161" s="206">
        <v>-1</v>
      </c>
      <c r="N161" s="206">
        <v>-1</v>
      </c>
      <c r="O161" s="206">
        <v>19</v>
      </c>
      <c r="P161" s="206">
        <v>15</v>
      </c>
      <c r="Q161" s="206">
        <v>20</v>
      </c>
      <c r="R161" s="206">
        <v>-1</v>
      </c>
      <c r="S161" s="206">
        <v>0</v>
      </c>
      <c r="T161" s="206">
        <v>0</v>
      </c>
      <c r="U161" s="206">
        <v>0</v>
      </c>
      <c r="V161" s="206">
        <v>17</v>
      </c>
      <c r="W161" s="206">
        <v>0</v>
      </c>
      <c r="X161" s="206">
        <v>17</v>
      </c>
      <c r="Y161" s="206">
        <v>0</v>
      </c>
      <c r="Z161" s="206">
        <v>16</v>
      </c>
      <c r="AA161" s="206">
        <v>13</v>
      </c>
      <c r="AB161" s="206">
        <v>14</v>
      </c>
      <c r="AC161" s="206">
        <v>12</v>
      </c>
      <c r="AD161" s="206">
        <v>17</v>
      </c>
      <c r="AE161" s="206">
        <v>21</v>
      </c>
      <c r="AF161" s="206">
        <v>14</v>
      </c>
      <c r="AG161" s="206">
        <v>17</v>
      </c>
      <c r="AH161" s="2">
        <f t="shared" si="6"/>
        <v>5</v>
      </c>
      <c r="AI161" s="2">
        <f t="shared" si="7"/>
        <v>1</v>
      </c>
      <c r="AJ161" s="2">
        <f t="shared" si="8"/>
        <v>6</v>
      </c>
    </row>
    <row r="162" spans="2:36" x14ac:dyDescent="0.2">
      <c r="B162" s="102"/>
      <c r="C162" s="103">
        <v>159</v>
      </c>
      <c r="D162" s="205">
        <v>6519998.1013414916</v>
      </c>
      <c r="E162" s="205">
        <v>3865421.452477098</v>
      </c>
      <c r="F162" s="205">
        <v>0</v>
      </c>
      <c r="G162" s="205">
        <v>0</v>
      </c>
      <c r="H162" s="205">
        <v>618321.10402640584</v>
      </c>
      <c r="I162" s="206">
        <v>-1</v>
      </c>
      <c r="J162" s="206">
        <v>-1</v>
      </c>
      <c r="K162" s="206"/>
      <c r="L162" s="206">
        <v>0</v>
      </c>
      <c r="M162" s="206">
        <v>-1</v>
      </c>
      <c r="N162" s="206">
        <v>-1</v>
      </c>
      <c r="O162" s="206">
        <v>19</v>
      </c>
      <c r="P162" s="206">
        <v>15</v>
      </c>
      <c r="Q162" s="206">
        <v>20</v>
      </c>
      <c r="R162" s="206">
        <v>-1</v>
      </c>
      <c r="S162" s="206">
        <v>20</v>
      </c>
      <c r="T162" s="206">
        <v>17</v>
      </c>
      <c r="U162" s="206">
        <v>0</v>
      </c>
      <c r="V162" s="206">
        <v>17</v>
      </c>
      <c r="W162" s="206">
        <v>0</v>
      </c>
      <c r="X162" s="206">
        <v>17</v>
      </c>
      <c r="Y162" s="206">
        <v>16</v>
      </c>
      <c r="Z162" s="206">
        <v>16</v>
      </c>
      <c r="AA162" s="206">
        <v>0</v>
      </c>
      <c r="AB162" s="206">
        <v>0</v>
      </c>
      <c r="AC162" s="206">
        <v>12</v>
      </c>
      <c r="AD162" s="206">
        <v>0</v>
      </c>
      <c r="AE162" s="206">
        <v>21</v>
      </c>
      <c r="AF162" s="206">
        <v>14</v>
      </c>
      <c r="AG162" s="206">
        <v>17</v>
      </c>
      <c r="AH162" s="2">
        <f t="shared" si="6"/>
        <v>5</v>
      </c>
      <c r="AI162" s="2">
        <f t="shared" si="7"/>
        <v>1</v>
      </c>
      <c r="AJ162" s="2">
        <f t="shared" si="8"/>
        <v>6</v>
      </c>
    </row>
    <row r="163" spans="2:36" x14ac:dyDescent="0.2">
      <c r="B163" s="102"/>
      <c r="C163" s="103">
        <v>160</v>
      </c>
      <c r="D163" s="205">
        <v>4607307.5666210549</v>
      </c>
      <c r="E163" s="205">
        <v>2726784.2391354139</v>
      </c>
      <c r="F163" s="205">
        <v>0</v>
      </c>
      <c r="G163" s="205">
        <v>0</v>
      </c>
      <c r="H163" s="205">
        <v>618321.10402640584</v>
      </c>
      <c r="I163" s="206">
        <v>-1</v>
      </c>
      <c r="J163" s="206">
        <v>-1</v>
      </c>
      <c r="K163" s="206"/>
      <c r="L163" s="206">
        <v>0</v>
      </c>
      <c r="M163" s="206">
        <v>-1</v>
      </c>
      <c r="N163" s="206">
        <v>-1</v>
      </c>
      <c r="O163" s="206">
        <v>19</v>
      </c>
      <c r="P163" s="206">
        <v>15</v>
      </c>
      <c r="Q163" s="206">
        <v>0</v>
      </c>
      <c r="R163" s="206">
        <v>-1</v>
      </c>
      <c r="S163" s="206">
        <v>20</v>
      </c>
      <c r="T163" s="206">
        <v>17</v>
      </c>
      <c r="U163" s="206">
        <v>0</v>
      </c>
      <c r="V163" s="206">
        <v>17</v>
      </c>
      <c r="W163" s="206">
        <v>0</v>
      </c>
      <c r="X163" s="206">
        <v>17</v>
      </c>
      <c r="Y163" s="206">
        <v>16</v>
      </c>
      <c r="Z163" s="206">
        <v>16</v>
      </c>
      <c r="AA163" s="206">
        <v>0</v>
      </c>
      <c r="AB163" s="206">
        <v>0</v>
      </c>
      <c r="AC163" s="206">
        <v>12</v>
      </c>
      <c r="AD163" s="206">
        <v>0</v>
      </c>
      <c r="AE163" s="206">
        <v>21</v>
      </c>
      <c r="AF163" s="206">
        <v>14</v>
      </c>
      <c r="AG163" s="206">
        <v>17</v>
      </c>
      <c r="AH163" s="2">
        <f t="shared" si="6"/>
        <v>5</v>
      </c>
      <c r="AI163" s="2">
        <f t="shared" si="7"/>
        <v>1</v>
      </c>
      <c r="AJ163" s="2">
        <f t="shared" si="8"/>
        <v>6</v>
      </c>
    </row>
    <row r="164" spans="2:36" x14ac:dyDescent="0.2">
      <c r="B164" s="102"/>
      <c r="C164" s="103">
        <v>161</v>
      </c>
      <c r="D164" s="205">
        <v>10438540.413211104</v>
      </c>
      <c r="E164" s="205">
        <v>6072106.3364887377</v>
      </c>
      <c r="F164" s="205">
        <v>0</v>
      </c>
      <c r="G164" s="205">
        <v>0</v>
      </c>
      <c r="H164" s="205">
        <v>735946.14619914535</v>
      </c>
      <c r="I164" s="206">
        <v>-1</v>
      </c>
      <c r="J164" s="206">
        <v>-1</v>
      </c>
      <c r="K164" s="206"/>
      <c r="L164" s="206">
        <v>19</v>
      </c>
      <c r="M164" s="206">
        <v>-1</v>
      </c>
      <c r="N164" s="206">
        <v>-1</v>
      </c>
      <c r="O164" s="206">
        <v>19</v>
      </c>
      <c r="P164" s="206">
        <v>15</v>
      </c>
      <c r="Q164" s="206">
        <v>0</v>
      </c>
      <c r="R164" s="206">
        <v>-1</v>
      </c>
      <c r="S164" s="206">
        <v>20</v>
      </c>
      <c r="T164" s="206">
        <v>17</v>
      </c>
      <c r="U164" s="206">
        <v>21</v>
      </c>
      <c r="V164" s="206">
        <v>17</v>
      </c>
      <c r="W164" s="206">
        <v>22</v>
      </c>
      <c r="X164" s="206">
        <v>17</v>
      </c>
      <c r="Y164" s="206">
        <v>16</v>
      </c>
      <c r="Z164" s="206">
        <v>16</v>
      </c>
      <c r="AA164" s="206">
        <v>14</v>
      </c>
      <c r="AB164" s="206">
        <v>15</v>
      </c>
      <c r="AC164" s="206">
        <v>12</v>
      </c>
      <c r="AD164" s="206">
        <v>18</v>
      </c>
      <c r="AE164" s="206">
        <v>0</v>
      </c>
      <c r="AF164" s="206">
        <v>14</v>
      </c>
      <c r="AG164" s="206">
        <v>0</v>
      </c>
      <c r="AH164" s="2">
        <f t="shared" si="6"/>
        <v>5</v>
      </c>
      <c r="AI164" s="2">
        <f t="shared" si="7"/>
        <v>1</v>
      </c>
      <c r="AJ164" s="2">
        <f t="shared" si="8"/>
        <v>6</v>
      </c>
    </row>
    <row r="165" spans="2:36" x14ac:dyDescent="0.2">
      <c r="B165" s="102"/>
      <c r="C165" s="103">
        <v>162</v>
      </c>
      <c r="D165" s="205">
        <v>10147227.630744852</v>
      </c>
      <c r="E165" s="205">
        <v>5834845.0686244005</v>
      </c>
      <c r="F165" s="205">
        <v>0</v>
      </c>
      <c r="G165" s="205">
        <v>0</v>
      </c>
      <c r="H165" s="205">
        <v>735946.14619914535</v>
      </c>
      <c r="I165" s="206">
        <v>-1</v>
      </c>
      <c r="J165" s="206">
        <v>-1</v>
      </c>
      <c r="K165" s="206"/>
      <c r="L165" s="206">
        <v>19</v>
      </c>
      <c r="M165" s="206">
        <v>-1</v>
      </c>
      <c r="N165" s="206">
        <v>-1</v>
      </c>
      <c r="O165" s="206">
        <v>19</v>
      </c>
      <c r="P165" s="206">
        <v>0</v>
      </c>
      <c r="Q165" s="206">
        <v>0</v>
      </c>
      <c r="R165" s="206">
        <v>-1</v>
      </c>
      <c r="S165" s="206">
        <v>20</v>
      </c>
      <c r="T165" s="206">
        <v>17</v>
      </c>
      <c r="U165" s="206">
        <v>0</v>
      </c>
      <c r="V165" s="206">
        <v>17</v>
      </c>
      <c r="W165" s="206">
        <v>0</v>
      </c>
      <c r="X165" s="206">
        <v>17</v>
      </c>
      <c r="Y165" s="206">
        <v>16</v>
      </c>
      <c r="Z165" s="206">
        <v>16</v>
      </c>
      <c r="AA165" s="206">
        <v>14</v>
      </c>
      <c r="AB165" s="206">
        <v>0</v>
      </c>
      <c r="AC165" s="206">
        <v>0</v>
      </c>
      <c r="AD165" s="206">
        <v>18</v>
      </c>
      <c r="AE165" s="206">
        <v>22</v>
      </c>
      <c r="AF165" s="206">
        <v>14</v>
      </c>
      <c r="AG165" s="206">
        <v>0</v>
      </c>
      <c r="AH165" s="2">
        <f t="shared" si="6"/>
        <v>5</v>
      </c>
      <c r="AI165" s="2">
        <f t="shared" si="7"/>
        <v>1</v>
      </c>
      <c r="AJ165" s="2">
        <f t="shared" si="8"/>
        <v>6</v>
      </c>
    </row>
    <row r="166" spans="2:36" x14ac:dyDescent="0.2">
      <c r="B166" s="102"/>
      <c r="C166" s="103">
        <v>163</v>
      </c>
      <c r="D166" s="205">
        <v>6342225.0097377058</v>
      </c>
      <c r="E166" s="205">
        <v>3668441.6422800324</v>
      </c>
      <c r="F166" s="205">
        <v>0</v>
      </c>
      <c r="G166" s="205">
        <v>0</v>
      </c>
      <c r="H166" s="205">
        <v>576654.43735973921</v>
      </c>
      <c r="I166" s="206">
        <v>-1</v>
      </c>
      <c r="J166" s="206">
        <v>-1</v>
      </c>
      <c r="K166" s="206"/>
      <c r="L166" s="206">
        <v>19</v>
      </c>
      <c r="M166" s="206">
        <v>-1</v>
      </c>
      <c r="N166" s="206">
        <v>-1</v>
      </c>
      <c r="O166" s="206">
        <v>19</v>
      </c>
      <c r="P166" s="206">
        <v>0</v>
      </c>
      <c r="Q166" s="206">
        <v>21</v>
      </c>
      <c r="R166" s="206">
        <v>-1</v>
      </c>
      <c r="S166" s="206">
        <v>0</v>
      </c>
      <c r="T166" s="206">
        <v>17</v>
      </c>
      <c r="U166" s="206">
        <v>22</v>
      </c>
      <c r="V166" s="206">
        <v>17</v>
      </c>
      <c r="W166" s="206">
        <v>0</v>
      </c>
      <c r="X166" s="206">
        <v>17</v>
      </c>
      <c r="Y166" s="206">
        <v>16</v>
      </c>
      <c r="Z166" s="206">
        <v>16</v>
      </c>
      <c r="AA166" s="206">
        <v>14</v>
      </c>
      <c r="AB166" s="206">
        <v>0</v>
      </c>
      <c r="AC166" s="206">
        <v>0</v>
      </c>
      <c r="AD166" s="206">
        <v>18</v>
      </c>
      <c r="AE166" s="206">
        <v>22</v>
      </c>
      <c r="AF166" s="206">
        <v>14</v>
      </c>
      <c r="AG166" s="206">
        <v>18</v>
      </c>
      <c r="AH166" s="2">
        <f t="shared" si="6"/>
        <v>5</v>
      </c>
      <c r="AI166" s="2">
        <f t="shared" si="7"/>
        <v>1</v>
      </c>
      <c r="AJ166" s="2">
        <f t="shared" si="8"/>
        <v>6</v>
      </c>
    </row>
    <row r="167" spans="2:36" x14ac:dyDescent="0.2">
      <c r="B167" s="102"/>
      <c r="C167" s="103">
        <v>164</v>
      </c>
      <c r="D167" s="205">
        <v>5742568.7132804506</v>
      </c>
      <c r="E167" s="205">
        <v>3354711.5579105434</v>
      </c>
      <c r="F167" s="205">
        <v>0</v>
      </c>
      <c r="G167" s="205">
        <v>0</v>
      </c>
      <c r="H167" s="205">
        <v>576654.43735973921</v>
      </c>
      <c r="I167" s="206">
        <v>-1</v>
      </c>
      <c r="J167" s="206">
        <v>-1</v>
      </c>
      <c r="K167" s="206"/>
      <c r="L167" s="206">
        <v>0</v>
      </c>
      <c r="M167" s="206">
        <v>-1</v>
      </c>
      <c r="N167" s="206">
        <v>-1</v>
      </c>
      <c r="O167" s="206">
        <v>0</v>
      </c>
      <c r="P167" s="206">
        <v>0</v>
      </c>
      <c r="Q167" s="206">
        <v>21</v>
      </c>
      <c r="R167" s="206">
        <v>-1</v>
      </c>
      <c r="S167" s="206">
        <v>0</v>
      </c>
      <c r="T167" s="206">
        <v>17</v>
      </c>
      <c r="U167" s="206">
        <v>22</v>
      </c>
      <c r="V167" s="206">
        <v>0</v>
      </c>
      <c r="W167" s="206">
        <v>23</v>
      </c>
      <c r="X167" s="206">
        <v>17</v>
      </c>
      <c r="Y167" s="206">
        <v>16</v>
      </c>
      <c r="Z167" s="206">
        <v>16</v>
      </c>
      <c r="AA167" s="206">
        <v>14</v>
      </c>
      <c r="AB167" s="206">
        <v>0</v>
      </c>
      <c r="AC167" s="206">
        <v>0</v>
      </c>
      <c r="AD167" s="206">
        <v>18</v>
      </c>
      <c r="AE167" s="206">
        <v>22</v>
      </c>
      <c r="AF167" s="206">
        <v>14</v>
      </c>
      <c r="AG167" s="206">
        <v>18</v>
      </c>
      <c r="AH167" s="2">
        <f t="shared" si="6"/>
        <v>5</v>
      </c>
      <c r="AI167" s="2">
        <f t="shared" si="7"/>
        <v>1</v>
      </c>
      <c r="AJ167" s="2">
        <f t="shared" si="8"/>
        <v>6</v>
      </c>
    </row>
    <row r="168" spans="2:36" x14ac:dyDescent="0.2">
      <c r="B168" s="102"/>
      <c r="C168" s="103">
        <v>165</v>
      </c>
      <c r="D168" s="205">
        <v>7450934.2299673334</v>
      </c>
      <c r="E168" s="205">
        <v>4377754.6573812263</v>
      </c>
      <c r="F168" s="205">
        <v>0</v>
      </c>
      <c r="G168" s="205">
        <v>0</v>
      </c>
      <c r="H168" s="205">
        <v>652312.33209658123</v>
      </c>
      <c r="I168" s="206">
        <v>-1</v>
      </c>
      <c r="J168" s="206">
        <v>-1</v>
      </c>
      <c r="K168" s="206"/>
      <c r="L168" s="206">
        <v>20</v>
      </c>
      <c r="M168" s="206">
        <v>-1</v>
      </c>
      <c r="N168" s="206">
        <v>-1</v>
      </c>
      <c r="O168" s="206">
        <v>20</v>
      </c>
      <c r="P168" s="206">
        <v>16</v>
      </c>
      <c r="Q168" s="206">
        <v>21</v>
      </c>
      <c r="R168" s="206">
        <v>-1</v>
      </c>
      <c r="S168" s="206">
        <v>0</v>
      </c>
      <c r="T168" s="206">
        <v>0</v>
      </c>
      <c r="U168" s="206">
        <v>22</v>
      </c>
      <c r="V168" s="206">
        <v>0</v>
      </c>
      <c r="W168" s="206">
        <v>23</v>
      </c>
      <c r="X168" s="206">
        <v>17</v>
      </c>
      <c r="Y168" s="206">
        <v>16</v>
      </c>
      <c r="Z168" s="206">
        <v>16</v>
      </c>
      <c r="AA168" s="206">
        <v>14</v>
      </c>
      <c r="AB168" s="206">
        <v>16</v>
      </c>
      <c r="AC168" s="206">
        <v>13</v>
      </c>
      <c r="AD168" s="206">
        <v>18</v>
      </c>
      <c r="AE168" s="206">
        <v>0</v>
      </c>
      <c r="AF168" s="206">
        <v>14</v>
      </c>
      <c r="AG168" s="206">
        <v>18</v>
      </c>
      <c r="AH168" s="2">
        <f t="shared" si="6"/>
        <v>5</v>
      </c>
      <c r="AI168" s="2">
        <f t="shared" si="7"/>
        <v>1</v>
      </c>
      <c r="AJ168" s="2">
        <f t="shared" si="8"/>
        <v>6</v>
      </c>
    </row>
    <row r="169" spans="2:36" x14ac:dyDescent="0.2">
      <c r="B169" s="102"/>
      <c r="C169" s="103">
        <v>166</v>
      </c>
      <c r="D169" s="205">
        <v>8636603.1655197032</v>
      </c>
      <c r="E169" s="205">
        <v>5075283.5779573657</v>
      </c>
      <c r="F169" s="205">
        <v>0</v>
      </c>
      <c r="G169" s="205">
        <v>0</v>
      </c>
      <c r="H169" s="205">
        <v>652312.33209658123</v>
      </c>
      <c r="I169" s="206">
        <v>-1</v>
      </c>
      <c r="J169" s="206">
        <v>-1</v>
      </c>
      <c r="K169" s="206"/>
      <c r="L169" s="206">
        <v>20</v>
      </c>
      <c r="M169" s="206">
        <v>-1</v>
      </c>
      <c r="N169" s="206">
        <v>-1</v>
      </c>
      <c r="O169" s="206">
        <v>20</v>
      </c>
      <c r="P169" s="206">
        <v>16</v>
      </c>
      <c r="Q169" s="206">
        <v>21</v>
      </c>
      <c r="R169" s="206">
        <v>-1</v>
      </c>
      <c r="S169" s="206">
        <v>21</v>
      </c>
      <c r="T169" s="206">
        <v>18</v>
      </c>
      <c r="U169" s="206">
        <v>22</v>
      </c>
      <c r="V169" s="206">
        <v>0</v>
      </c>
      <c r="W169" s="206">
        <v>23</v>
      </c>
      <c r="X169" s="206">
        <v>17</v>
      </c>
      <c r="Y169" s="206">
        <v>16</v>
      </c>
      <c r="Z169" s="206">
        <v>16</v>
      </c>
      <c r="AA169" s="206">
        <v>0</v>
      </c>
      <c r="AB169" s="206">
        <v>16</v>
      </c>
      <c r="AC169" s="206">
        <v>13</v>
      </c>
      <c r="AD169" s="206">
        <v>18</v>
      </c>
      <c r="AE169" s="206">
        <v>0</v>
      </c>
      <c r="AF169" s="206">
        <v>14</v>
      </c>
      <c r="AG169" s="206">
        <v>18</v>
      </c>
      <c r="AH169" s="2">
        <f t="shared" si="6"/>
        <v>5</v>
      </c>
      <c r="AI169" s="2">
        <f t="shared" si="7"/>
        <v>1</v>
      </c>
      <c r="AJ169" s="2">
        <f t="shared" si="8"/>
        <v>6</v>
      </c>
    </row>
    <row r="170" spans="2:36" x14ac:dyDescent="0.2">
      <c r="B170" s="102"/>
      <c r="C170" s="103">
        <v>167</v>
      </c>
      <c r="D170" s="205">
        <v>9083264.6355444212</v>
      </c>
      <c r="E170" s="205">
        <v>5327976.3564091614</v>
      </c>
      <c r="F170" s="205">
        <v>0</v>
      </c>
      <c r="G170" s="205">
        <v>0</v>
      </c>
      <c r="H170" s="205">
        <v>735946.14619914535</v>
      </c>
      <c r="I170" s="206">
        <v>-1</v>
      </c>
      <c r="J170" s="206">
        <v>-1</v>
      </c>
      <c r="K170" s="206"/>
      <c r="L170" s="206">
        <v>20</v>
      </c>
      <c r="M170" s="206">
        <v>-1</v>
      </c>
      <c r="N170" s="206">
        <v>-1</v>
      </c>
      <c r="O170" s="206">
        <v>20</v>
      </c>
      <c r="P170" s="206">
        <v>16</v>
      </c>
      <c r="Q170" s="206">
        <v>21</v>
      </c>
      <c r="R170" s="206">
        <v>-1</v>
      </c>
      <c r="S170" s="206">
        <v>0</v>
      </c>
      <c r="T170" s="206">
        <v>18</v>
      </c>
      <c r="U170" s="206">
        <v>22</v>
      </c>
      <c r="V170" s="206">
        <v>18</v>
      </c>
      <c r="W170" s="206">
        <v>23</v>
      </c>
      <c r="X170" s="206">
        <v>0</v>
      </c>
      <c r="Y170" s="206">
        <v>16</v>
      </c>
      <c r="Z170" s="206">
        <v>16</v>
      </c>
      <c r="AA170" s="206">
        <v>0</v>
      </c>
      <c r="AB170" s="206">
        <v>16</v>
      </c>
      <c r="AC170" s="206">
        <v>13</v>
      </c>
      <c r="AD170" s="206">
        <v>18</v>
      </c>
      <c r="AE170" s="206">
        <v>23</v>
      </c>
      <c r="AF170" s="206">
        <v>14</v>
      </c>
      <c r="AG170" s="206">
        <v>0</v>
      </c>
      <c r="AH170" s="2">
        <f t="shared" si="6"/>
        <v>5</v>
      </c>
      <c r="AI170" s="2">
        <f t="shared" si="7"/>
        <v>1</v>
      </c>
      <c r="AJ170" s="2">
        <f t="shared" si="8"/>
        <v>6</v>
      </c>
    </row>
    <row r="171" spans="2:36" x14ac:dyDescent="0.2">
      <c r="B171" s="102"/>
      <c r="C171" s="103">
        <v>168</v>
      </c>
      <c r="D171" s="205">
        <v>1940298.3461536111</v>
      </c>
      <c r="E171" s="205">
        <v>1115759.1283386238</v>
      </c>
      <c r="F171" s="205">
        <v>0</v>
      </c>
      <c r="G171" s="205">
        <v>10116197.235283446</v>
      </c>
      <c r="H171" s="205">
        <v>136487.05096073519</v>
      </c>
      <c r="I171" s="206">
        <v>-1</v>
      </c>
      <c r="J171" s="206">
        <v>-1</v>
      </c>
      <c r="K171" s="206"/>
      <c r="L171" s="206">
        <v>20</v>
      </c>
      <c r="M171" s="206">
        <v>-1</v>
      </c>
      <c r="N171" s="206">
        <v>-1</v>
      </c>
      <c r="O171" s="206">
        <v>-1</v>
      </c>
      <c r="P171" s="206">
        <v>16</v>
      </c>
      <c r="Q171" s="206">
        <v>21</v>
      </c>
      <c r="R171" s="206">
        <v>-1</v>
      </c>
      <c r="S171" s="206">
        <v>0</v>
      </c>
      <c r="T171" s="206">
        <v>18</v>
      </c>
      <c r="U171" s="206">
        <v>22</v>
      </c>
      <c r="V171" s="206">
        <v>-1</v>
      </c>
      <c r="W171" s="206">
        <v>23</v>
      </c>
      <c r="X171" s="206">
        <v>18</v>
      </c>
      <c r="Y171" s="206">
        <v>16</v>
      </c>
      <c r="Z171" s="206"/>
      <c r="AA171" s="206">
        <v>15</v>
      </c>
      <c r="AB171" s="206">
        <v>16</v>
      </c>
      <c r="AC171" s="206">
        <v>13</v>
      </c>
      <c r="AD171" s="206">
        <v>18</v>
      </c>
      <c r="AE171" s="206">
        <v>23</v>
      </c>
      <c r="AF171" s="206">
        <v>14</v>
      </c>
      <c r="AG171" s="206"/>
      <c r="AH171" s="2">
        <f t="shared" si="6"/>
        <v>7</v>
      </c>
      <c r="AI171" s="2">
        <f t="shared" si="7"/>
        <v>3</v>
      </c>
      <c r="AJ171" s="2">
        <f t="shared" si="8"/>
        <v>10</v>
      </c>
    </row>
    <row r="172" spans="2:36" x14ac:dyDescent="0.2">
      <c r="B172" s="102"/>
      <c r="C172" s="103">
        <v>169</v>
      </c>
      <c r="D172" s="205">
        <v>4989646.2227900522</v>
      </c>
      <c r="E172" s="205">
        <v>2919249.4966039592</v>
      </c>
      <c r="F172" s="205">
        <v>0</v>
      </c>
      <c r="G172" s="205">
        <v>0</v>
      </c>
      <c r="H172" s="205">
        <v>313599.56263207039</v>
      </c>
      <c r="I172" s="206">
        <v>-1</v>
      </c>
      <c r="J172" s="206">
        <v>-1</v>
      </c>
      <c r="K172" s="206"/>
      <c r="L172" s="206">
        <v>0</v>
      </c>
      <c r="M172" s="206">
        <v>-1</v>
      </c>
      <c r="N172" s="206">
        <v>-1</v>
      </c>
      <c r="O172" s="206">
        <v>-1</v>
      </c>
      <c r="P172" s="206">
        <v>16</v>
      </c>
      <c r="Q172" s="206">
        <v>21</v>
      </c>
      <c r="R172" s="206">
        <v>-1</v>
      </c>
      <c r="S172" s="206">
        <v>0</v>
      </c>
      <c r="T172" s="206">
        <v>18</v>
      </c>
      <c r="U172" s="206">
        <v>22</v>
      </c>
      <c r="V172" s="206">
        <v>-1</v>
      </c>
      <c r="W172" s="206">
        <v>23</v>
      </c>
      <c r="X172" s="206">
        <v>18</v>
      </c>
      <c r="Y172" s="206">
        <v>0</v>
      </c>
      <c r="Z172" s="206"/>
      <c r="AA172" s="206">
        <v>15</v>
      </c>
      <c r="AB172" s="206">
        <v>16</v>
      </c>
      <c r="AC172" s="206">
        <v>13</v>
      </c>
      <c r="AD172" s="206">
        <v>18</v>
      </c>
      <c r="AE172" s="206">
        <v>23</v>
      </c>
      <c r="AF172" s="206">
        <v>14</v>
      </c>
      <c r="AG172" s="206"/>
      <c r="AH172" s="2">
        <f t="shared" si="6"/>
        <v>7</v>
      </c>
      <c r="AI172" s="2">
        <f t="shared" si="7"/>
        <v>3</v>
      </c>
      <c r="AJ172" s="2">
        <f t="shared" si="8"/>
        <v>10</v>
      </c>
    </row>
    <row r="173" spans="2:36" x14ac:dyDescent="0.2">
      <c r="B173" s="102"/>
      <c r="C173" s="103">
        <v>170</v>
      </c>
      <c r="D173" s="205">
        <v>10090564.604779907</v>
      </c>
      <c r="E173" s="205">
        <v>5985960.2968286648</v>
      </c>
      <c r="F173" s="205">
        <v>0</v>
      </c>
      <c r="G173" s="205">
        <v>0</v>
      </c>
      <c r="H173" s="205">
        <v>565651.4524669518</v>
      </c>
      <c r="I173" s="206">
        <v>-1</v>
      </c>
      <c r="J173" s="206">
        <v>-1</v>
      </c>
      <c r="K173" s="206"/>
      <c r="L173" s="206">
        <v>0</v>
      </c>
      <c r="M173" s="206">
        <v>-1</v>
      </c>
      <c r="N173" s="206">
        <v>-1</v>
      </c>
      <c r="O173" s="206">
        <v>-1</v>
      </c>
      <c r="P173" s="206">
        <v>16</v>
      </c>
      <c r="Q173" s="206">
        <v>21</v>
      </c>
      <c r="R173" s="206">
        <v>-1</v>
      </c>
      <c r="S173" s="206">
        <v>22</v>
      </c>
      <c r="T173" s="206">
        <v>18</v>
      </c>
      <c r="U173" s="206">
        <v>22</v>
      </c>
      <c r="V173" s="206">
        <v>-1</v>
      </c>
      <c r="W173" s="206">
        <v>0</v>
      </c>
      <c r="X173" s="206">
        <v>18</v>
      </c>
      <c r="Y173" s="206">
        <v>0</v>
      </c>
      <c r="Z173" s="206"/>
      <c r="AA173" s="206">
        <v>15</v>
      </c>
      <c r="AB173" s="206">
        <v>16</v>
      </c>
      <c r="AC173" s="206">
        <v>13</v>
      </c>
      <c r="AD173" s="206">
        <v>0</v>
      </c>
      <c r="AE173" s="206">
        <v>23</v>
      </c>
      <c r="AF173" s="206">
        <v>0</v>
      </c>
      <c r="AG173" s="206"/>
      <c r="AH173" s="2">
        <f t="shared" si="6"/>
        <v>7</v>
      </c>
      <c r="AI173" s="2">
        <f t="shared" si="7"/>
        <v>3</v>
      </c>
      <c r="AJ173" s="2">
        <f t="shared" si="8"/>
        <v>10</v>
      </c>
    </row>
    <row r="174" spans="2:36" x14ac:dyDescent="0.2">
      <c r="B174" s="102"/>
      <c r="C174" s="103">
        <v>171</v>
      </c>
      <c r="D174" s="205">
        <v>7182875.5767544098</v>
      </c>
      <c r="E174" s="205">
        <v>4234508.2820993457</v>
      </c>
      <c r="F174" s="205">
        <v>0</v>
      </c>
      <c r="G174" s="205">
        <v>0</v>
      </c>
      <c r="H174" s="205">
        <v>565651.4524669518</v>
      </c>
      <c r="I174" s="206">
        <v>-1</v>
      </c>
      <c r="J174" s="206">
        <v>-1</v>
      </c>
      <c r="K174" s="206"/>
      <c r="L174" s="206">
        <v>21</v>
      </c>
      <c r="M174" s="206">
        <v>-1</v>
      </c>
      <c r="N174" s="206">
        <v>-1</v>
      </c>
      <c r="O174" s="206">
        <v>-1</v>
      </c>
      <c r="P174" s="206">
        <v>16</v>
      </c>
      <c r="Q174" s="206">
        <v>21</v>
      </c>
      <c r="R174" s="206">
        <v>-1</v>
      </c>
      <c r="S174" s="206">
        <v>22</v>
      </c>
      <c r="T174" s="206">
        <v>18</v>
      </c>
      <c r="U174" s="206">
        <v>22</v>
      </c>
      <c r="V174" s="206">
        <v>-1</v>
      </c>
      <c r="W174" s="206">
        <v>24</v>
      </c>
      <c r="X174" s="206">
        <v>18</v>
      </c>
      <c r="Y174" s="206">
        <v>17</v>
      </c>
      <c r="Z174" s="206"/>
      <c r="AA174" s="206">
        <v>0</v>
      </c>
      <c r="AB174" s="206">
        <v>16</v>
      </c>
      <c r="AC174" s="206">
        <v>0</v>
      </c>
      <c r="AD174" s="206">
        <v>0</v>
      </c>
      <c r="AE174" s="206">
        <v>23</v>
      </c>
      <c r="AF174" s="206">
        <v>0</v>
      </c>
      <c r="AG174" s="206"/>
      <c r="AH174" s="2">
        <f t="shared" si="6"/>
        <v>7</v>
      </c>
      <c r="AI174" s="2">
        <f t="shared" si="7"/>
        <v>3</v>
      </c>
      <c r="AJ174" s="2">
        <f t="shared" si="8"/>
        <v>10</v>
      </c>
    </row>
    <row r="175" spans="2:36" x14ac:dyDescent="0.2">
      <c r="B175" s="102"/>
      <c r="C175" s="103">
        <v>172</v>
      </c>
      <c r="D175" s="205">
        <v>5809000.7873623595</v>
      </c>
      <c r="E175" s="205">
        <v>3456524.5196091612</v>
      </c>
      <c r="F175" s="205">
        <v>0</v>
      </c>
      <c r="G175" s="205">
        <v>0</v>
      </c>
      <c r="H175" s="205">
        <v>449628.97439677629</v>
      </c>
      <c r="I175" s="206">
        <v>-1</v>
      </c>
      <c r="J175" s="206">
        <v>-1</v>
      </c>
      <c r="K175" s="206"/>
      <c r="L175" s="206">
        <v>21</v>
      </c>
      <c r="M175" s="206">
        <v>-1</v>
      </c>
      <c r="N175" s="206">
        <v>-1</v>
      </c>
      <c r="O175" s="206">
        <v>-1</v>
      </c>
      <c r="P175" s="206">
        <v>16</v>
      </c>
      <c r="Q175" s="206">
        <v>21</v>
      </c>
      <c r="R175" s="206">
        <v>-1</v>
      </c>
      <c r="S175" s="206">
        <v>22</v>
      </c>
      <c r="T175" s="206">
        <v>18</v>
      </c>
      <c r="U175" s="206">
        <v>22</v>
      </c>
      <c r="V175" s="206">
        <v>-1</v>
      </c>
      <c r="W175" s="206">
        <v>24</v>
      </c>
      <c r="X175" s="206">
        <v>18</v>
      </c>
      <c r="Y175" s="206">
        <v>17</v>
      </c>
      <c r="Z175" s="206"/>
      <c r="AA175" s="206">
        <v>0</v>
      </c>
      <c r="AB175" s="206">
        <v>16</v>
      </c>
      <c r="AC175" s="206">
        <v>0</v>
      </c>
      <c r="AD175" s="206">
        <v>19</v>
      </c>
      <c r="AE175" s="206">
        <v>23</v>
      </c>
      <c r="AF175" s="206">
        <v>15</v>
      </c>
      <c r="AG175" s="206"/>
      <c r="AH175" s="2">
        <f t="shared" si="6"/>
        <v>7</v>
      </c>
      <c r="AI175" s="2">
        <f t="shared" si="7"/>
        <v>3</v>
      </c>
      <c r="AJ175" s="2">
        <f t="shared" si="8"/>
        <v>10</v>
      </c>
    </row>
    <row r="176" spans="2:36" x14ac:dyDescent="0.2">
      <c r="B176" s="102"/>
      <c r="C176" s="103">
        <v>173</v>
      </c>
      <c r="D176" s="205">
        <v>5220624.4706146242</v>
      </c>
      <c r="E176" s="205">
        <v>3073077.994399501</v>
      </c>
      <c r="F176" s="205">
        <v>0</v>
      </c>
      <c r="G176" s="205">
        <v>0</v>
      </c>
      <c r="H176" s="205">
        <v>407962.30773010961</v>
      </c>
      <c r="I176" s="206">
        <v>-1</v>
      </c>
      <c r="J176" s="206">
        <v>-1</v>
      </c>
      <c r="K176" s="206"/>
      <c r="L176" s="206">
        <v>21</v>
      </c>
      <c r="M176" s="206">
        <v>-1</v>
      </c>
      <c r="N176" s="206">
        <v>-1</v>
      </c>
      <c r="O176" s="206">
        <v>-1</v>
      </c>
      <c r="P176" s="206">
        <v>16</v>
      </c>
      <c r="Q176" s="206">
        <v>21</v>
      </c>
      <c r="R176" s="206">
        <v>-1</v>
      </c>
      <c r="S176" s="206">
        <v>22</v>
      </c>
      <c r="T176" s="206">
        <v>18</v>
      </c>
      <c r="U176" s="206">
        <v>22</v>
      </c>
      <c r="V176" s="206">
        <v>-1</v>
      </c>
      <c r="W176" s="206">
        <v>24</v>
      </c>
      <c r="X176" s="206">
        <v>18</v>
      </c>
      <c r="Y176" s="206">
        <v>17</v>
      </c>
      <c r="Z176" s="206"/>
      <c r="AA176" s="206">
        <v>0</v>
      </c>
      <c r="AB176" s="206">
        <v>0</v>
      </c>
      <c r="AC176" s="206">
        <v>14</v>
      </c>
      <c r="AD176" s="206">
        <v>19</v>
      </c>
      <c r="AE176" s="206">
        <v>23</v>
      </c>
      <c r="AF176" s="206">
        <v>15</v>
      </c>
      <c r="AG176" s="206"/>
      <c r="AH176" s="2">
        <f t="shared" si="6"/>
        <v>7</v>
      </c>
      <c r="AI176" s="2">
        <f t="shared" si="7"/>
        <v>3</v>
      </c>
      <c r="AJ176" s="2">
        <f t="shared" si="8"/>
        <v>10</v>
      </c>
    </row>
    <row r="177" spans="2:36" x14ac:dyDescent="0.2">
      <c r="B177" s="102"/>
      <c r="C177" s="103">
        <v>174</v>
      </c>
      <c r="D177" s="205">
        <v>8526781.6425743736</v>
      </c>
      <c r="E177" s="205">
        <v>4938597.0146957515</v>
      </c>
      <c r="F177" s="205">
        <v>0</v>
      </c>
      <c r="G177" s="205">
        <v>0</v>
      </c>
      <c r="H177" s="205">
        <v>525286.86913361843</v>
      </c>
      <c r="I177" s="206">
        <v>-1</v>
      </c>
      <c r="J177" s="206">
        <v>-1</v>
      </c>
      <c r="K177" s="206"/>
      <c r="L177" s="206">
        <v>21</v>
      </c>
      <c r="M177" s="206">
        <v>-1</v>
      </c>
      <c r="N177" s="206">
        <v>-1</v>
      </c>
      <c r="O177" s="206">
        <v>-1</v>
      </c>
      <c r="P177" s="206">
        <v>16</v>
      </c>
      <c r="Q177" s="206">
        <v>21</v>
      </c>
      <c r="R177" s="206">
        <v>-1</v>
      </c>
      <c r="S177" s="206">
        <v>22</v>
      </c>
      <c r="T177" s="206">
        <v>18</v>
      </c>
      <c r="U177" s="206">
        <v>22</v>
      </c>
      <c r="V177" s="206">
        <v>-1</v>
      </c>
      <c r="W177" s="206">
        <v>24</v>
      </c>
      <c r="X177" s="206">
        <v>18</v>
      </c>
      <c r="Y177" s="206">
        <v>17</v>
      </c>
      <c r="Z177" s="206"/>
      <c r="AA177" s="206">
        <v>16</v>
      </c>
      <c r="AB177" s="206">
        <v>0</v>
      </c>
      <c r="AC177" s="206">
        <v>14</v>
      </c>
      <c r="AD177" s="206">
        <v>0</v>
      </c>
      <c r="AE177" s="206">
        <v>0</v>
      </c>
      <c r="AF177" s="206">
        <v>15</v>
      </c>
      <c r="AG177" s="206"/>
      <c r="AH177" s="2">
        <f t="shared" si="6"/>
        <v>7</v>
      </c>
      <c r="AI177" s="2">
        <f t="shared" si="7"/>
        <v>3</v>
      </c>
      <c r="AJ177" s="2">
        <f t="shared" si="8"/>
        <v>10</v>
      </c>
    </row>
    <row r="178" spans="2:36" x14ac:dyDescent="0.2">
      <c r="B178" s="102"/>
      <c r="C178" s="103">
        <v>175</v>
      </c>
      <c r="D178" s="205">
        <v>5077111.4113203604</v>
      </c>
      <c r="E178" s="205">
        <v>2969721.2043992681</v>
      </c>
      <c r="F178" s="205">
        <v>0</v>
      </c>
      <c r="G178" s="205">
        <v>0</v>
      </c>
      <c r="H178" s="205">
        <v>525286.86913361843</v>
      </c>
      <c r="I178" s="206">
        <v>-1</v>
      </c>
      <c r="J178" s="206">
        <v>-1</v>
      </c>
      <c r="K178" s="206"/>
      <c r="L178" s="206">
        <v>21</v>
      </c>
      <c r="M178" s="206">
        <v>-1</v>
      </c>
      <c r="N178" s="206">
        <v>-1</v>
      </c>
      <c r="O178" s="206">
        <v>-1</v>
      </c>
      <c r="P178" s="206">
        <v>16</v>
      </c>
      <c r="Q178" s="206">
        <v>0</v>
      </c>
      <c r="R178" s="206">
        <v>-1</v>
      </c>
      <c r="S178" s="206">
        <v>22</v>
      </c>
      <c r="T178" s="206">
        <v>18</v>
      </c>
      <c r="U178" s="206">
        <v>0</v>
      </c>
      <c r="V178" s="206">
        <v>-1</v>
      </c>
      <c r="W178" s="206">
        <v>24</v>
      </c>
      <c r="X178" s="206">
        <v>18</v>
      </c>
      <c r="Y178" s="206">
        <v>17</v>
      </c>
      <c r="Z178" s="206"/>
      <c r="AA178" s="206">
        <v>16</v>
      </c>
      <c r="AB178" s="206">
        <v>0</v>
      </c>
      <c r="AC178" s="206">
        <v>14</v>
      </c>
      <c r="AD178" s="206">
        <v>0</v>
      </c>
      <c r="AE178" s="206">
        <v>0</v>
      </c>
      <c r="AF178" s="206">
        <v>15</v>
      </c>
      <c r="AG178" s="206"/>
      <c r="AH178" s="2">
        <f t="shared" si="6"/>
        <v>7</v>
      </c>
      <c r="AI178" s="2">
        <f t="shared" si="7"/>
        <v>3</v>
      </c>
      <c r="AJ178" s="2">
        <f t="shared" si="8"/>
        <v>10</v>
      </c>
    </row>
    <row r="179" spans="2:36" x14ac:dyDescent="0.2">
      <c r="B179" s="102"/>
      <c r="C179" s="103">
        <v>176</v>
      </c>
      <c r="D179" s="205">
        <v>4758319.9553275164</v>
      </c>
      <c r="E179" s="205">
        <v>2786065.5327444389</v>
      </c>
      <c r="F179" s="205">
        <v>0</v>
      </c>
      <c r="G179" s="205">
        <v>0</v>
      </c>
      <c r="H179" s="205">
        <v>565651.4524669518</v>
      </c>
      <c r="I179" s="206">
        <v>-1</v>
      </c>
      <c r="J179" s="206">
        <v>-1</v>
      </c>
      <c r="K179" s="206"/>
      <c r="L179" s="206">
        <v>21</v>
      </c>
      <c r="M179" s="206">
        <v>-1</v>
      </c>
      <c r="N179" s="206">
        <v>-1</v>
      </c>
      <c r="O179" s="206">
        <v>-1</v>
      </c>
      <c r="P179" s="206">
        <v>16</v>
      </c>
      <c r="Q179" s="206">
        <v>0</v>
      </c>
      <c r="R179" s="206">
        <v>-1</v>
      </c>
      <c r="S179" s="206">
        <v>22</v>
      </c>
      <c r="T179" s="206">
        <v>18</v>
      </c>
      <c r="U179" s="206">
        <v>0</v>
      </c>
      <c r="V179" s="206">
        <v>-1</v>
      </c>
      <c r="W179" s="206">
        <v>24</v>
      </c>
      <c r="X179" s="206">
        <v>18</v>
      </c>
      <c r="Y179" s="206">
        <v>17</v>
      </c>
      <c r="Z179" s="206"/>
      <c r="AA179" s="206">
        <v>0</v>
      </c>
      <c r="AB179" s="206">
        <v>17</v>
      </c>
      <c r="AC179" s="206">
        <v>0</v>
      </c>
      <c r="AD179" s="206">
        <v>0</v>
      </c>
      <c r="AE179" s="206">
        <v>0</v>
      </c>
      <c r="AF179" s="206">
        <v>0</v>
      </c>
      <c r="AG179" s="206"/>
      <c r="AH179" s="2">
        <f t="shared" si="6"/>
        <v>7</v>
      </c>
      <c r="AI179" s="2">
        <f t="shared" si="7"/>
        <v>3</v>
      </c>
      <c r="AJ179" s="2">
        <f t="shared" si="8"/>
        <v>10</v>
      </c>
    </row>
    <row r="180" spans="2:36" x14ac:dyDescent="0.2">
      <c r="B180" s="102"/>
      <c r="C180" s="103">
        <v>177</v>
      </c>
      <c r="D180" s="205">
        <v>9338752.8736488987</v>
      </c>
      <c r="E180" s="205">
        <v>5442642.8320683362</v>
      </c>
      <c r="F180" s="205">
        <v>0</v>
      </c>
      <c r="G180" s="205">
        <v>0</v>
      </c>
      <c r="H180" s="205">
        <v>565651.4524669518</v>
      </c>
      <c r="I180" s="206">
        <v>-1</v>
      </c>
      <c r="J180" s="206">
        <v>-1</v>
      </c>
      <c r="K180" s="206"/>
      <c r="L180" s="206">
        <v>0</v>
      </c>
      <c r="M180" s="206">
        <v>-1</v>
      </c>
      <c r="N180" s="206">
        <v>-1</v>
      </c>
      <c r="O180" s="206">
        <v>-1</v>
      </c>
      <c r="P180" s="206">
        <v>16</v>
      </c>
      <c r="Q180" s="206">
        <v>22</v>
      </c>
      <c r="R180" s="206">
        <v>-1</v>
      </c>
      <c r="S180" s="206">
        <v>22</v>
      </c>
      <c r="T180" s="206">
        <v>0</v>
      </c>
      <c r="U180" s="206">
        <v>23</v>
      </c>
      <c r="V180" s="206">
        <v>-1</v>
      </c>
      <c r="W180" s="206">
        <v>24</v>
      </c>
      <c r="X180" s="206">
        <v>0</v>
      </c>
      <c r="Y180" s="206">
        <v>17</v>
      </c>
      <c r="Z180" s="206"/>
      <c r="AA180" s="206">
        <v>17</v>
      </c>
      <c r="AB180" s="206">
        <v>17</v>
      </c>
      <c r="AC180" s="206">
        <v>0</v>
      </c>
      <c r="AD180" s="206">
        <v>20</v>
      </c>
      <c r="AE180" s="206">
        <v>24</v>
      </c>
      <c r="AF180" s="206">
        <v>0</v>
      </c>
      <c r="AG180" s="206"/>
      <c r="AH180" s="2">
        <f t="shared" si="6"/>
        <v>7</v>
      </c>
      <c r="AI180" s="2">
        <f t="shared" si="7"/>
        <v>3</v>
      </c>
      <c r="AJ180" s="2">
        <f t="shared" si="8"/>
        <v>10</v>
      </c>
    </row>
    <row r="181" spans="2:36" x14ac:dyDescent="0.2">
      <c r="B181" s="102"/>
      <c r="C181" s="103">
        <v>178</v>
      </c>
      <c r="D181" s="205">
        <v>6307432.4525777353</v>
      </c>
      <c r="E181" s="205">
        <v>3721002.5520297252</v>
      </c>
      <c r="F181" s="205">
        <v>0</v>
      </c>
      <c r="G181" s="205">
        <v>0</v>
      </c>
      <c r="H181" s="205">
        <v>525286.86913361843</v>
      </c>
      <c r="I181" s="206">
        <v>-1</v>
      </c>
      <c r="J181" s="206">
        <v>-1</v>
      </c>
      <c r="K181" s="206"/>
      <c r="L181" s="206">
        <v>0</v>
      </c>
      <c r="M181" s="206">
        <v>-1</v>
      </c>
      <c r="N181" s="206">
        <v>-1</v>
      </c>
      <c r="O181" s="206">
        <v>-1</v>
      </c>
      <c r="P181" s="206">
        <v>0</v>
      </c>
      <c r="Q181" s="206">
        <v>22</v>
      </c>
      <c r="R181" s="206">
        <v>-1</v>
      </c>
      <c r="S181" s="206">
        <v>0</v>
      </c>
      <c r="T181" s="206">
        <v>19</v>
      </c>
      <c r="U181" s="206">
        <v>23</v>
      </c>
      <c r="V181" s="206">
        <v>-1</v>
      </c>
      <c r="W181" s="206">
        <v>24</v>
      </c>
      <c r="X181" s="206">
        <v>0</v>
      </c>
      <c r="Y181" s="206">
        <v>0</v>
      </c>
      <c r="Z181" s="206"/>
      <c r="AA181" s="206">
        <v>17</v>
      </c>
      <c r="AB181" s="206">
        <v>17</v>
      </c>
      <c r="AC181" s="206">
        <v>15</v>
      </c>
      <c r="AD181" s="206">
        <v>20</v>
      </c>
      <c r="AE181" s="206">
        <v>0</v>
      </c>
      <c r="AF181" s="206">
        <v>16</v>
      </c>
      <c r="AG181" s="206"/>
      <c r="AH181" s="2">
        <f t="shared" si="6"/>
        <v>7</v>
      </c>
      <c r="AI181" s="2">
        <f t="shared" si="7"/>
        <v>3</v>
      </c>
      <c r="AJ181" s="2">
        <f t="shared" si="8"/>
        <v>10</v>
      </c>
    </row>
    <row r="182" spans="2:36" x14ac:dyDescent="0.2">
      <c r="B182" s="102"/>
      <c r="C182" s="103">
        <v>179</v>
      </c>
      <c r="D182" s="205">
        <v>2314549.0001693331</v>
      </c>
      <c r="E182" s="205">
        <v>1361844.535033257</v>
      </c>
      <c r="F182" s="205">
        <v>0</v>
      </c>
      <c r="G182" s="205">
        <v>0</v>
      </c>
      <c r="H182" s="205">
        <v>313599.56263207039</v>
      </c>
      <c r="I182" s="206">
        <v>-1</v>
      </c>
      <c r="J182" s="206">
        <v>-1</v>
      </c>
      <c r="K182" s="206"/>
      <c r="L182" s="206">
        <v>0</v>
      </c>
      <c r="M182" s="206">
        <v>-1</v>
      </c>
      <c r="N182" s="206">
        <v>-1</v>
      </c>
      <c r="O182" s="206">
        <v>-1</v>
      </c>
      <c r="P182" s="206">
        <v>0</v>
      </c>
      <c r="Q182" s="206">
        <v>22</v>
      </c>
      <c r="R182" s="206">
        <v>-1</v>
      </c>
      <c r="S182" s="206">
        <v>0</v>
      </c>
      <c r="T182" s="206">
        <v>19</v>
      </c>
      <c r="U182" s="206">
        <v>23</v>
      </c>
      <c r="V182" s="206">
        <v>-1</v>
      </c>
      <c r="W182" s="206">
        <v>24</v>
      </c>
      <c r="X182" s="206">
        <v>0</v>
      </c>
      <c r="Y182" s="206">
        <v>0</v>
      </c>
      <c r="Z182" s="206"/>
      <c r="AA182" s="206">
        <v>17</v>
      </c>
      <c r="AB182" s="206">
        <v>17</v>
      </c>
      <c r="AC182" s="206">
        <v>15</v>
      </c>
      <c r="AD182" s="206">
        <v>20</v>
      </c>
      <c r="AE182" s="206">
        <v>25</v>
      </c>
      <c r="AF182" s="206">
        <v>16</v>
      </c>
      <c r="AG182" s="206"/>
      <c r="AH182" s="2">
        <f t="shared" si="6"/>
        <v>7</v>
      </c>
      <c r="AI182" s="2">
        <f t="shared" si="7"/>
        <v>3</v>
      </c>
      <c r="AJ182" s="2">
        <f t="shared" si="8"/>
        <v>10</v>
      </c>
    </row>
    <row r="183" spans="2:36" x14ac:dyDescent="0.2">
      <c r="B183" s="102"/>
      <c r="C183" s="103">
        <v>180</v>
      </c>
      <c r="D183" s="205">
        <v>1838242.8328440851</v>
      </c>
      <c r="E183" s="205">
        <v>1093450.882865354</v>
      </c>
      <c r="F183" s="205">
        <v>14759219.397462089</v>
      </c>
      <c r="G183" s="205">
        <v>0</v>
      </c>
      <c r="H183" s="205">
        <v>104274.16580667354</v>
      </c>
      <c r="I183" s="206">
        <v>-1</v>
      </c>
      <c r="J183" s="206">
        <v>-1</v>
      </c>
      <c r="K183" s="206"/>
      <c r="L183" s="206">
        <v>22</v>
      </c>
      <c r="M183" s="206">
        <v>-1</v>
      </c>
      <c r="N183" s="206">
        <v>-1</v>
      </c>
      <c r="O183" s="206">
        <v>-1</v>
      </c>
      <c r="P183" s="206"/>
      <c r="Q183" s="206">
        <v>22</v>
      </c>
      <c r="R183" s="206">
        <v>-1</v>
      </c>
      <c r="S183" s="206"/>
      <c r="T183" s="206"/>
      <c r="U183" s="206">
        <v>23</v>
      </c>
      <c r="V183" s="206">
        <v>-1</v>
      </c>
      <c r="W183" s="206">
        <v>24</v>
      </c>
      <c r="X183" s="206">
        <v>19</v>
      </c>
      <c r="Y183" s="206"/>
      <c r="Z183" s="206"/>
      <c r="AA183" s="206">
        <v>17</v>
      </c>
      <c r="AB183" s="206">
        <v>17</v>
      </c>
      <c r="AC183" s="206">
        <v>15</v>
      </c>
      <c r="AD183" s="206">
        <v>20</v>
      </c>
      <c r="AE183" s="206">
        <v>25</v>
      </c>
      <c r="AF183" s="206">
        <v>16</v>
      </c>
      <c r="AG183" s="206"/>
      <c r="AH183" s="2">
        <f t="shared" si="6"/>
        <v>7</v>
      </c>
      <c r="AI183" s="2">
        <f t="shared" si="7"/>
        <v>7</v>
      </c>
      <c r="AJ183" s="2">
        <f t="shared" si="8"/>
        <v>14</v>
      </c>
    </row>
    <row r="184" spans="2:36" x14ac:dyDescent="0.2">
      <c r="B184" s="102"/>
      <c r="C184" s="103">
        <v>181</v>
      </c>
      <c r="D184" s="205">
        <v>5858941.2999014659</v>
      </c>
      <c r="E184" s="205">
        <v>3485402.6635749084</v>
      </c>
      <c r="F184" s="205">
        <v>0</v>
      </c>
      <c r="G184" s="205">
        <v>0</v>
      </c>
      <c r="H184" s="205">
        <v>425770.50008599932</v>
      </c>
      <c r="I184" s="206">
        <v>-1</v>
      </c>
      <c r="J184" s="206">
        <v>-1</v>
      </c>
      <c r="K184" s="206"/>
      <c r="L184" s="206">
        <v>22</v>
      </c>
      <c r="M184" s="206">
        <v>-1</v>
      </c>
      <c r="N184" s="206">
        <v>-1</v>
      </c>
      <c r="O184" s="206">
        <v>-1</v>
      </c>
      <c r="P184" s="206"/>
      <c r="Q184" s="206">
        <v>22</v>
      </c>
      <c r="R184" s="206">
        <v>-1</v>
      </c>
      <c r="S184" s="206"/>
      <c r="T184" s="206"/>
      <c r="U184" s="206">
        <v>23</v>
      </c>
      <c r="V184" s="206">
        <v>-1</v>
      </c>
      <c r="W184" s="206">
        <v>24</v>
      </c>
      <c r="X184" s="206">
        <v>19</v>
      </c>
      <c r="Y184" s="206"/>
      <c r="Z184" s="206"/>
      <c r="AA184" s="206">
        <v>17</v>
      </c>
      <c r="AB184" s="206">
        <v>17</v>
      </c>
      <c r="AC184" s="206">
        <v>15</v>
      </c>
      <c r="AD184" s="206">
        <v>20</v>
      </c>
      <c r="AE184" s="206">
        <v>25</v>
      </c>
      <c r="AF184" s="206">
        <v>0</v>
      </c>
      <c r="AG184" s="206"/>
      <c r="AH184" s="2">
        <f t="shared" si="6"/>
        <v>7</v>
      </c>
      <c r="AI184" s="2">
        <f t="shared" si="7"/>
        <v>7</v>
      </c>
      <c r="AJ184" s="2">
        <f t="shared" si="8"/>
        <v>14</v>
      </c>
    </row>
    <row r="185" spans="2:36" x14ac:dyDescent="0.2">
      <c r="B185" s="102"/>
      <c r="C185" s="103">
        <v>182</v>
      </c>
      <c r="D185" s="205">
        <v>5273047.1699113194</v>
      </c>
      <c r="E185" s="205">
        <v>3136862.3972174176</v>
      </c>
      <c r="F185" s="205">
        <v>0</v>
      </c>
      <c r="G185" s="205">
        <v>0</v>
      </c>
      <c r="H185" s="205">
        <v>425770.50008599932</v>
      </c>
      <c r="I185" s="206">
        <v>-1</v>
      </c>
      <c r="J185" s="206">
        <v>-1</v>
      </c>
      <c r="K185" s="206"/>
      <c r="L185" s="206">
        <v>22</v>
      </c>
      <c r="M185" s="206">
        <v>-1</v>
      </c>
      <c r="N185" s="206">
        <v>-1</v>
      </c>
      <c r="O185" s="206">
        <v>-1</v>
      </c>
      <c r="P185" s="206"/>
      <c r="Q185" s="206">
        <v>0</v>
      </c>
      <c r="R185" s="206">
        <v>-1</v>
      </c>
      <c r="S185" s="206"/>
      <c r="T185" s="206"/>
      <c r="U185" s="206">
        <v>23</v>
      </c>
      <c r="V185" s="206">
        <v>-1</v>
      </c>
      <c r="W185" s="206">
        <v>24</v>
      </c>
      <c r="X185" s="206">
        <v>19</v>
      </c>
      <c r="Y185" s="206"/>
      <c r="Z185" s="206"/>
      <c r="AA185" s="206">
        <v>17</v>
      </c>
      <c r="AB185" s="206">
        <v>17</v>
      </c>
      <c r="AC185" s="206">
        <v>15</v>
      </c>
      <c r="AD185" s="206">
        <v>20</v>
      </c>
      <c r="AE185" s="206">
        <v>25</v>
      </c>
      <c r="AF185" s="206">
        <v>0</v>
      </c>
      <c r="AG185" s="206"/>
      <c r="AH185" s="2">
        <f t="shared" si="6"/>
        <v>7</v>
      </c>
      <c r="AI185" s="2">
        <f t="shared" si="7"/>
        <v>7</v>
      </c>
      <c r="AJ185" s="2">
        <f t="shared" si="8"/>
        <v>14</v>
      </c>
    </row>
    <row r="186" spans="2:36" x14ac:dyDescent="0.2">
      <c r="B186" s="102"/>
      <c r="C186" s="103">
        <v>183</v>
      </c>
      <c r="D186" s="205">
        <v>2459153.3766230624</v>
      </c>
      <c r="E186" s="205">
        <v>1438465.4005629211</v>
      </c>
      <c r="F186" s="205">
        <v>0</v>
      </c>
      <c r="G186" s="205">
        <v>0</v>
      </c>
      <c r="H186" s="205">
        <v>132051.94358445131</v>
      </c>
      <c r="I186" s="206">
        <v>-1</v>
      </c>
      <c r="J186" s="206">
        <v>-1</v>
      </c>
      <c r="K186" s="206"/>
      <c r="L186" s="206">
        <v>22</v>
      </c>
      <c r="M186" s="206">
        <v>-1</v>
      </c>
      <c r="N186" s="206">
        <v>-1</v>
      </c>
      <c r="O186" s="206">
        <v>-1</v>
      </c>
      <c r="P186" s="206"/>
      <c r="Q186" s="206">
        <v>23</v>
      </c>
      <c r="R186" s="206">
        <v>-1</v>
      </c>
      <c r="S186" s="206"/>
      <c r="T186" s="206"/>
      <c r="U186" s="206">
        <v>23</v>
      </c>
      <c r="V186" s="206">
        <v>-1</v>
      </c>
      <c r="W186" s="206">
        <v>0</v>
      </c>
      <c r="X186" s="206">
        <v>19</v>
      </c>
      <c r="Y186" s="206"/>
      <c r="Z186" s="206"/>
      <c r="AA186" s="206">
        <v>17</v>
      </c>
      <c r="AB186" s="206">
        <v>17</v>
      </c>
      <c r="AC186" s="206">
        <v>15</v>
      </c>
      <c r="AD186" s="206">
        <v>20</v>
      </c>
      <c r="AE186" s="206">
        <v>25</v>
      </c>
      <c r="AF186" s="206">
        <v>17</v>
      </c>
      <c r="AG186" s="206"/>
      <c r="AH186" s="2">
        <f t="shared" si="6"/>
        <v>7</v>
      </c>
      <c r="AI186" s="2">
        <f t="shared" si="7"/>
        <v>7</v>
      </c>
      <c r="AJ186" s="2">
        <f t="shared" si="8"/>
        <v>14</v>
      </c>
    </row>
    <row r="187" spans="2:36" x14ac:dyDescent="0.2">
      <c r="B187" s="102"/>
      <c r="C187" s="103">
        <v>184</v>
      </c>
      <c r="D187" s="205">
        <v>4234761.5947818579</v>
      </c>
      <c r="E187" s="205">
        <v>2505916.269159066</v>
      </c>
      <c r="F187" s="205">
        <v>0</v>
      </c>
      <c r="G187" s="205">
        <v>0</v>
      </c>
      <c r="H187" s="205">
        <v>309748.02201582387</v>
      </c>
      <c r="I187" s="206">
        <v>-1</v>
      </c>
      <c r="J187" s="206">
        <v>-1</v>
      </c>
      <c r="K187" s="206"/>
      <c r="L187" s="206">
        <v>22</v>
      </c>
      <c r="M187" s="206">
        <v>-1</v>
      </c>
      <c r="N187" s="206">
        <v>-1</v>
      </c>
      <c r="O187" s="206">
        <v>-1</v>
      </c>
      <c r="P187" s="206"/>
      <c r="Q187" s="206">
        <v>23</v>
      </c>
      <c r="R187" s="206">
        <v>-1</v>
      </c>
      <c r="S187" s="206"/>
      <c r="T187" s="206"/>
      <c r="U187" s="206">
        <v>23</v>
      </c>
      <c r="V187" s="206">
        <v>-1</v>
      </c>
      <c r="W187" s="206">
        <v>0</v>
      </c>
      <c r="X187" s="206">
        <v>19</v>
      </c>
      <c r="Y187" s="206"/>
      <c r="Z187" s="206"/>
      <c r="AA187" s="206">
        <v>17</v>
      </c>
      <c r="AB187" s="206">
        <v>0</v>
      </c>
      <c r="AC187" s="206">
        <v>0</v>
      </c>
      <c r="AD187" s="206">
        <v>20</v>
      </c>
      <c r="AE187" s="206">
        <v>25</v>
      </c>
      <c r="AF187" s="206">
        <v>17</v>
      </c>
      <c r="AG187" s="206"/>
      <c r="AH187" s="2">
        <f t="shared" si="6"/>
        <v>7</v>
      </c>
      <c r="AI187" s="2">
        <f t="shared" si="7"/>
        <v>7</v>
      </c>
      <c r="AJ187" s="2">
        <f t="shared" si="8"/>
        <v>14</v>
      </c>
    </row>
    <row r="188" spans="2:36" x14ac:dyDescent="0.2">
      <c r="B188" s="102"/>
      <c r="C188" s="103">
        <v>185</v>
      </c>
      <c r="D188" s="205">
        <v>4006111.5550229605</v>
      </c>
      <c r="E188" s="205">
        <v>2360671.7730799979</v>
      </c>
      <c r="F188" s="205">
        <v>0</v>
      </c>
      <c r="G188" s="205">
        <v>0</v>
      </c>
      <c r="H188" s="205">
        <v>309748.02201582387</v>
      </c>
      <c r="I188" s="206">
        <v>-1</v>
      </c>
      <c r="J188" s="206">
        <v>-1</v>
      </c>
      <c r="K188" s="206"/>
      <c r="L188" s="206">
        <v>0</v>
      </c>
      <c r="M188" s="206">
        <v>-1</v>
      </c>
      <c r="N188" s="206">
        <v>-1</v>
      </c>
      <c r="O188" s="206">
        <v>-1</v>
      </c>
      <c r="P188" s="206"/>
      <c r="Q188" s="206">
        <v>23</v>
      </c>
      <c r="R188" s="206">
        <v>-1</v>
      </c>
      <c r="S188" s="206"/>
      <c r="T188" s="206"/>
      <c r="U188" s="206">
        <v>23</v>
      </c>
      <c r="V188" s="206">
        <v>-1</v>
      </c>
      <c r="W188" s="206">
        <v>25</v>
      </c>
      <c r="X188" s="206">
        <v>19</v>
      </c>
      <c r="Y188" s="206"/>
      <c r="Z188" s="206"/>
      <c r="AA188" s="206">
        <v>0</v>
      </c>
      <c r="AB188" s="206">
        <v>18</v>
      </c>
      <c r="AC188" s="206">
        <v>0</v>
      </c>
      <c r="AD188" s="206">
        <v>20</v>
      </c>
      <c r="AE188" s="206">
        <v>25</v>
      </c>
      <c r="AF188" s="206">
        <v>17</v>
      </c>
      <c r="AG188" s="206"/>
      <c r="AH188" s="2">
        <f t="shared" si="6"/>
        <v>7</v>
      </c>
      <c r="AI188" s="2">
        <f t="shared" si="7"/>
        <v>7</v>
      </c>
      <c r="AJ188" s="2">
        <f t="shared" si="8"/>
        <v>14</v>
      </c>
    </row>
    <row r="189" spans="2:36" x14ac:dyDescent="0.2">
      <c r="B189" s="102"/>
      <c r="C189" s="103">
        <v>186</v>
      </c>
      <c r="D189" s="205">
        <v>3392583.0748866061</v>
      </c>
      <c r="E189" s="205">
        <v>2006914.2695268069</v>
      </c>
      <c r="F189" s="205">
        <v>0</v>
      </c>
      <c r="G189" s="205">
        <v>0</v>
      </c>
      <c r="H189" s="205">
        <v>268081.35534915718</v>
      </c>
      <c r="I189" s="206">
        <v>-1</v>
      </c>
      <c r="J189" s="206">
        <v>-1</v>
      </c>
      <c r="K189" s="206"/>
      <c r="L189" s="206">
        <v>0</v>
      </c>
      <c r="M189" s="206">
        <v>-1</v>
      </c>
      <c r="N189" s="206">
        <v>-1</v>
      </c>
      <c r="O189" s="206">
        <v>-1</v>
      </c>
      <c r="P189" s="206"/>
      <c r="Q189" s="206">
        <v>23</v>
      </c>
      <c r="R189" s="206">
        <v>-1</v>
      </c>
      <c r="S189" s="206"/>
      <c r="T189" s="206"/>
      <c r="U189" s="206">
        <v>23</v>
      </c>
      <c r="V189" s="206">
        <v>-1</v>
      </c>
      <c r="W189" s="206">
        <v>25</v>
      </c>
      <c r="X189" s="206">
        <v>19</v>
      </c>
      <c r="Y189" s="206"/>
      <c r="Z189" s="206"/>
      <c r="AA189" s="206">
        <v>0</v>
      </c>
      <c r="AB189" s="206">
        <v>0</v>
      </c>
      <c r="AC189" s="206">
        <v>16</v>
      </c>
      <c r="AD189" s="206">
        <v>20</v>
      </c>
      <c r="AE189" s="206">
        <v>25</v>
      </c>
      <c r="AF189" s="206">
        <v>17</v>
      </c>
      <c r="AG189" s="206"/>
      <c r="AH189" s="2">
        <f t="shared" si="6"/>
        <v>7</v>
      </c>
      <c r="AI189" s="2">
        <f t="shared" si="7"/>
        <v>7</v>
      </c>
      <c r="AJ189" s="2">
        <f t="shared" si="8"/>
        <v>14</v>
      </c>
    </row>
    <row r="190" spans="2:36" x14ac:dyDescent="0.2">
      <c r="B190" s="102"/>
      <c r="C190" s="103">
        <v>187</v>
      </c>
      <c r="D190" s="205">
        <v>4854041.0231048977</v>
      </c>
      <c r="E190" s="205">
        <v>2878377.6141013461</v>
      </c>
      <c r="F190" s="205">
        <v>0</v>
      </c>
      <c r="G190" s="205">
        <v>0</v>
      </c>
      <c r="H190" s="205">
        <v>268081.35534915718</v>
      </c>
      <c r="I190" s="206">
        <v>-1</v>
      </c>
      <c r="J190" s="206">
        <v>-1</v>
      </c>
      <c r="K190" s="206"/>
      <c r="L190" s="206">
        <v>23</v>
      </c>
      <c r="M190" s="206">
        <v>-1</v>
      </c>
      <c r="N190" s="206">
        <v>-1</v>
      </c>
      <c r="O190" s="206">
        <v>-1</v>
      </c>
      <c r="P190" s="206"/>
      <c r="Q190" s="206">
        <v>23</v>
      </c>
      <c r="R190" s="206">
        <v>-1</v>
      </c>
      <c r="S190" s="206"/>
      <c r="T190" s="206"/>
      <c r="U190" s="206">
        <v>23</v>
      </c>
      <c r="V190" s="206">
        <v>-1</v>
      </c>
      <c r="W190" s="206">
        <v>25</v>
      </c>
      <c r="X190" s="206">
        <v>19</v>
      </c>
      <c r="Y190" s="206"/>
      <c r="Z190" s="206"/>
      <c r="AA190" s="206">
        <v>18</v>
      </c>
      <c r="AB190" s="206">
        <v>0</v>
      </c>
      <c r="AC190" s="206">
        <v>16</v>
      </c>
      <c r="AD190" s="206">
        <v>20</v>
      </c>
      <c r="AE190" s="206">
        <v>25</v>
      </c>
      <c r="AF190" s="206">
        <v>17</v>
      </c>
      <c r="AG190" s="206"/>
      <c r="AH190" s="2">
        <f t="shared" si="6"/>
        <v>7</v>
      </c>
      <c r="AI190" s="2">
        <f t="shared" si="7"/>
        <v>7</v>
      </c>
      <c r="AJ190" s="2">
        <f t="shared" si="8"/>
        <v>14</v>
      </c>
    </row>
    <row r="191" spans="2:36" x14ac:dyDescent="0.2">
      <c r="B191" s="102"/>
      <c r="C191" s="103">
        <v>188</v>
      </c>
      <c r="D191" s="205">
        <v>3820831.0266168164</v>
      </c>
      <c r="E191" s="205">
        <v>2248452.2834978262</v>
      </c>
      <c r="F191" s="205">
        <v>0</v>
      </c>
      <c r="G191" s="205">
        <v>0</v>
      </c>
      <c r="H191" s="205">
        <v>104274.16580667354</v>
      </c>
      <c r="I191" s="206">
        <v>-1</v>
      </c>
      <c r="J191" s="206">
        <v>-1</v>
      </c>
      <c r="K191" s="206"/>
      <c r="L191" s="206">
        <v>23</v>
      </c>
      <c r="M191" s="206">
        <v>-1</v>
      </c>
      <c r="N191" s="206">
        <v>-1</v>
      </c>
      <c r="O191" s="206">
        <v>-1</v>
      </c>
      <c r="P191" s="206"/>
      <c r="Q191" s="206">
        <v>23</v>
      </c>
      <c r="R191" s="206">
        <v>-1</v>
      </c>
      <c r="S191" s="206"/>
      <c r="T191" s="206"/>
      <c r="U191" s="206">
        <v>23</v>
      </c>
      <c r="V191" s="206">
        <v>-1</v>
      </c>
      <c r="W191" s="206">
        <v>25</v>
      </c>
      <c r="X191" s="206">
        <v>19</v>
      </c>
      <c r="Y191" s="206"/>
      <c r="Z191" s="206"/>
      <c r="AA191" s="206">
        <v>18</v>
      </c>
      <c r="AB191" s="206">
        <v>19</v>
      </c>
      <c r="AC191" s="206">
        <v>16</v>
      </c>
      <c r="AD191" s="206">
        <v>20</v>
      </c>
      <c r="AE191" s="206">
        <v>25</v>
      </c>
      <c r="AF191" s="206">
        <v>17</v>
      </c>
      <c r="AG191" s="206"/>
      <c r="AH191" s="2">
        <f t="shared" si="6"/>
        <v>7</v>
      </c>
      <c r="AI191" s="2">
        <f t="shared" si="7"/>
        <v>7</v>
      </c>
      <c r="AJ191" s="2">
        <f t="shared" si="8"/>
        <v>14</v>
      </c>
    </row>
    <row r="192" spans="2:36" x14ac:dyDescent="0.2">
      <c r="B192" s="102"/>
      <c r="C192" s="103">
        <v>189</v>
      </c>
      <c r="D192" s="205">
        <v>4324410.8038145965</v>
      </c>
      <c r="E192" s="205">
        <v>2558283.1009897357</v>
      </c>
      <c r="F192" s="205">
        <v>0</v>
      </c>
      <c r="G192" s="205">
        <v>0</v>
      </c>
      <c r="H192" s="205">
        <v>351414.68868249055</v>
      </c>
      <c r="I192" s="206">
        <v>-1</v>
      </c>
      <c r="J192" s="206">
        <v>-1</v>
      </c>
      <c r="K192" s="206"/>
      <c r="L192" s="206">
        <v>23</v>
      </c>
      <c r="M192" s="206">
        <v>-1</v>
      </c>
      <c r="N192" s="206">
        <v>-1</v>
      </c>
      <c r="O192" s="206">
        <v>-1</v>
      </c>
      <c r="P192" s="206"/>
      <c r="Q192" s="206">
        <v>23</v>
      </c>
      <c r="R192" s="206">
        <v>-1</v>
      </c>
      <c r="S192" s="206"/>
      <c r="T192" s="206"/>
      <c r="U192" s="206">
        <v>0</v>
      </c>
      <c r="V192" s="206">
        <v>-1</v>
      </c>
      <c r="W192" s="206">
        <v>25</v>
      </c>
      <c r="X192" s="206">
        <v>19</v>
      </c>
      <c r="Y192" s="206"/>
      <c r="Z192" s="206"/>
      <c r="AA192" s="206">
        <v>18</v>
      </c>
      <c r="AB192" s="206">
        <v>19</v>
      </c>
      <c r="AC192" s="206">
        <v>16</v>
      </c>
      <c r="AD192" s="206">
        <v>0</v>
      </c>
      <c r="AE192" s="206">
        <v>25</v>
      </c>
      <c r="AF192" s="206">
        <v>17</v>
      </c>
      <c r="AG192" s="206"/>
      <c r="AH192" s="2">
        <f t="shared" si="6"/>
        <v>7</v>
      </c>
      <c r="AI192" s="2">
        <f t="shared" si="7"/>
        <v>7</v>
      </c>
      <c r="AJ192" s="2">
        <f t="shared" si="8"/>
        <v>14</v>
      </c>
    </row>
    <row r="193" spans="2:36" x14ac:dyDescent="0.2">
      <c r="B193" s="102"/>
      <c r="C193" s="103">
        <v>190</v>
      </c>
      <c r="D193" s="205">
        <v>1235545.9439470277</v>
      </c>
      <c r="E193" s="205">
        <v>730938.02885421028</v>
      </c>
      <c r="F193" s="205">
        <v>0</v>
      </c>
      <c r="G193" s="205">
        <v>0</v>
      </c>
      <c r="H193" s="205">
        <v>173718.61025111796</v>
      </c>
      <c r="I193" s="206">
        <v>-1</v>
      </c>
      <c r="J193" s="206">
        <v>-1</v>
      </c>
      <c r="K193" s="206"/>
      <c r="L193" s="206">
        <v>23</v>
      </c>
      <c r="M193" s="206">
        <v>-1</v>
      </c>
      <c r="N193" s="206">
        <v>-1</v>
      </c>
      <c r="O193" s="206">
        <v>-1</v>
      </c>
      <c r="P193" s="206"/>
      <c r="Q193" s="206">
        <v>23</v>
      </c>
      <c r="R193" s="206">
        <v>-1</v>
      </c>
      <c r="S193" s="206"/>
      <c r="T193" s="206"/>
      <c r="U193" s="206">
        <v>0</v>
      </c>
      <c r="V193" s="206">
        <v>-1</v>
      </c>
      <c r="W193" s="206">
        <v>0</v>
      </c>
      <c r="X193" s="206">
        <v>0</v>
      </c>
      <c r="Y193" s="206"/>
      <c r="Z193" s="206"/>
      <c r="AA193" s="206">
        <v>18</v>
      </c>
      <c r="AB193" s="206">
        <v>19</v>
      </c>
      <c r="AC193" s="206">
        <v>16</v>
      </c>
      <c r="AD193" s="206">
        <v>21</v>
      </c>
      <c r="AE193" s="206">
        <v>25</v>
      </c>
      <c r="AF193" s="206">
        <v>17</v>
      </c>
      <c r="AG193" s="206"/>
      <c r="AH193" s="2">
        <f t="shared" si="6"/>
        <v>7</v>
      </c>
      <c r="AI193" s="2">
        <f t="shared" si="7"/>
        <v>7</v>
      </c>
      <c r="AJ193" s="2">
        <f t="shared" si="8"/>
        <v>14</v>
      </c>
    </row>
    <row r="194" spans="2:36" x14ac:dyDescent="0.2">
      <c r="B194" s="102"/>
      <c r="C194" s="103">
        <v>191</v>
      </c>
      <c r="D194" s="205">
        <v>4400123.0535250958</v>
      </c>
      <c r="E194" s="205">
        <v>2580336.4614459416</v>
      </c>
      <c r="F194" s="205">
        <v>0</v>
      </c>
      <c r="G194" s="205">
        <v>0</v>
      </c>
      <c r="H194" s="205">
        <v>425770.50008599932</v>
      </c>
      <c r="I194" s="206">
        <v>-1</v>
      </c>
      <c r="J194" s="206">
        <v>-1</v>
      </c>
      <c r="K194" s="206"/>
      <c r="L194" s="206">
        <v>23</v>
      </c>
      <c r="M194" s="206">
        <v>-1</v>
      </c>
      <c r="N194" s="206">
        <v>-1</v>
      </c>
      <c r="O194" s="206">
        <v>-1</v>
      </c>
      <c r="P194" s="206"/>
      <c r="Q194" s="206">
        <v>23</v>
      </c>
      <c r="R194" s="206">
        <v>-1</v>
      </c>
      <c r="S194" s="206"/>
      <c r="T194" s="206"/>
      <c r="U194" s="206">
        <v>24</v>
      </c>
      <c r="V194" s="206">
        <v>-1</v>
      </c>
      <c r="W194" s="206">
        <v>0</v>
      </c>
      <c r="X194" s="206">
        <v>0</v>
      </c>
      <c r="Y194" s="206"/>
      <c r="Z194" s="206"/>
      <c r="AA194" s="206">
        <v>18</v>
      </c>
      <c r="AB194" s="206">
        <v>19</v>
      </c>
      <c r="AC194" s="206">
        <v>16</v>
      </c>
      <c r="AD194" s="206">
        <v>21</v>
      </c>
      <c r="AE194" s="206">
        <v>0</v>
      </c>
      <c r="AF194" s="206">
        <v>0</v>
      </c>
      <c r="AG194" s="206"/>
      <c r="AH194" s="2">
        <f t="shared" si="6"/>
        <v>7</v>
      </c>
      <c r="AI194" s="2">
        <f t="shared" si="7"/>
        <v>7</v>
      </c>
      <c r="AJ194" s="2">
        <f t="shared" si="8"/>
        <v>14</v>
      </c>
    </row>
    <row r="195" spans="2:36" x14ac:dyDescent="0.2">
      <c r="B195" s="102"/>
      <c r="C195" s="103">
        <v>192</v>
      </c>
      <c r="D195" s="205">
        <v>1893167.468399751</v>
      </c>
      <c r="E195" s="205">
        <v>1113817.2214536555</v>
      </c>
      <c r="F195" s="205">
        <v>13482673.878514081</v>
      </c>
      <c r="G195" s="205">
        <v>0</v>
      </c>
      <c r="H195" s="205">
        <v>156970.24423804611</v>
      </c>
      <c r="I195" s="206">
        <v>-1</v>
      </c>
      <c r="J195" s="206"/>
      <c r="K195" s="206"/>
      <c r="L195" s="206"/>
      <c r="M195" s="206">
        <v>-1</v>
      </c>
      <c r="N195" s="206">
        <v>-1</v>
      </c>
      <c r="O195" s="206">
        <v>-1</v>
      </c>
      <c r="P195" s="206"/>
      <c r="Q195" s="206">
        <v>23</v>
      </c>
      <c r="R195" s="206">
        <v>-1</v>
      </c>
      <c r="S195" s="206"/>
      <c r="T195" s="206"/>
      <c r="U195" s="206">
        <v>24</v>
      </c>
      <c r="V195" s="206">
        <v>-1</v>
      </c>
      <c r="W195" s="206">
        <v>26</v>
      </c>
      <c r="X195" s="206"/>
      <c r="Y195" s="206"/>
      <c r="Z195" s="206"/>
      <c r="AA195" s="206">
        <v>0</v>
      </c>
      <c r="AB195" s="206">
        <v>19</v>
      </c>
      <c r="AC195" s="206">
        <v>16</v>
      </c>
      <c r="AD195" s="206">
        <v>21</v>
      </c>
      <c r="AE195" s="206">
        <v>26</v>
      </c>
      <c r="AF195" s="206">
        <v>18</v>
      </c>
      <c r="AG195" s="206"/>
      <c r="AH195" s="2">
        <f t="shared" si="6"/>
        <v>6</v>
      </c>
      <c r="AI195" s="2">
        <f t="shared" si="7"/>
        <v>10</v>
      </c>
      <c r="AJ195" s="2">
        <f t="shared" si="8"/>
        <v>16</v>
      </c>
    </row>
    <row r="196" spans="2:36" x14ac:dyDescent="0.2">
      <c r="B196" s="102"/>
      <c r="C196" s="103">
        <v>193</v>
      </c>
      <c r="D196" s="205">
        <v>897759.22336736321</v>
      </c>
      <c r="E196" s="205">
        <v>534086.6172188567</v>
      </c>
      <c r="F196" s="205">
        <v>0</v>
      </c>
      <c r="G196" s="205">
        <v>0</v>
      </c>
      <c r="H196" s="205">
        <v>76496.388028895773</v>
      </c>
      <c r="I196" s="206">
        <v>-1</v>
      </c>
      <c r="J196" s="206"/>
      <c r="K196" s="206"/>
      <c r="L196" s="206"/>
      <c r="M196" s="206">
        <v>-1</v>
      </c>
      <c r="N196" s="206">
        <v>-1</v>
      </c>
      <c r="O196" s="206">
        <v>-1</v>
      </c>
      <c r="P196" s="206"/>
      <c r="Q196" s="206">
        <v>23</v>
      </c>
      <c r="R196" s="206">
        <v>-1</v>
      </c>
      <c r="S196" s="206"/>
      <c r="T196" s="206"/>
      <c r="U196" s="206">
        <v>0</v>
      </c>
      <c r="V196" s="206">
        <v>-1</v>
      </c>
      <c r="W196" s="206">
        <v>26</v>
      </c>
      <c r="X196" s="206"/>
      <c r="Y196" s="206"/>
      <c r="Z196" s="206"/>
      <c r="AA196" s="206">
        <v>19</v>
      </c>
      <c r="AB196" s="206">
        <v>19</v>
      </c>
      <c r="AC196" s="206">
        <v>16</v>
      </c>
      <c r="AD196" s="206">
        <v>21</v>
      </c>
      <c r="AE196" s="206">
        <v>26</v>
      </c>
      <c r="AF196" s="206">
        <v>18</v>
      </c>
      <c r="AG196" s="206"/>
      <c r="AH196" s="2">
        <f t="shared" ref="AH196:AH259" si="9">FREQUENCY(I196:AG196,-1)</f>
        <v>6</v>
      </c>
      <c r="AI196" s="2">
        <f t="shared" si="7"/>
        <v>10</v>
      </c>
      <c r="AJ196" s="2">
        <f t="shared" si="8"/>
        <v>16</v>
      </c>
    </row>
    <row r="197" spans="2:36" x14ac:dyDescent="0.2">
      <c r="B197" s="102"/>
      <c r="C197" s="103">
        <v>194</v>
      </c>
      <c r="D197" s="205">
        <v>642303.12126132264</v>
      </c>
      <c r="E197" s="205">
        <v>379908.72255038691</v>
      </c>
      <c r="F197" s="205">
        <v>0</v>
      </c>
      <c r="G197" s="205">
        <v>0</v>
      </c>
      <c r="H197" s="205">
        <v>104274.16580667355</v>
      </c>
      <c r="I197" s="206">
        <v>-1</v>
      </c>
      <c r="J197" s="206"/>
      <c r="K197" s="206"/>
      <c r="L197" s="206"/>
      <c r="M197" s="206">
        <v>-1</v>
      </c>
      <c r="N197" s="206">
        <v>-1</v>
      </c>
      <c r="O197" s="206">
        <v>-1</v>
      </c>
      <c r="P197" s="206"/>
      <c r="Q197" s="206">
        <v>0</v>
      </c>
      <c r="R197" s="206">
        <v>-1</v>
      </c>
      <c r="S197" s="206"/>
      <c r="T197" s="206"/>
      <c r="U197" s="206">
        <v>25</v>
      </c>
      <c r="V197" s="206">
        <v>-1</v>
      </c>
      <c r="W197" s="206">
        <v>0</v>
      </c>
      <c r="X197" s="206"/>
      <c r="Y197" s="206"/>
      <c r="Z197" s="206"/>
      <c r="AA197" s="206">
        <v>19</v>
      </c>
      <c r="AB197" s="206">
        <v>19</v>
      </c>
      <c r="AC197" s="206">
        <v>16</v>
      </c>
      <c r="AD197" s="206">
        <v>21</v>
      </c>
      <c r="AE197" s="206">
        <v>26</v>
      </c>
      <c r="AF197" s="206">
        <v>18</v>
      </c>
      <c r="AG197" s="206"/>
      <c r="AH197" s="2">
        <f t="shared" si="9"/>
        <v>6</v>
      </c>
      <c r="AI197" s="2">
        <f t="shared" ref="AI197:AI260" si="10">COUNTBLANK(I197:AG197)</f>
        <v>10</v>
      </c>
      <c r="AJ197" s="2">
        <f t="shared" ref="AJ197:AJ260" si="11">SUM(AH197:AI197)</f>
        <v>16</v>
      </c>
    </row>
    <row r="198" spans="2:36" x14ac:dyDescent="0.2">
      <c r="B198" s="102"/>
      <c r="C198" s="103">
        <v>195</v>
      </c>
      <c r="D198" s="205">
        <v>642303.12126132264</v>
      </c>
      <c r="E198" s="205">
        <v>379908.72255038691</v>
      </c>
      <c r="F198" s="205">
        <v>0</v>
      </c>
      <c r="G198" s="205">
        <v>0</v>
      </c>
      <c r="H198" s="205">
        <v>104274.16580667355</v>
      </c>
      <c r="I198" s="206">
        <v>-1</v>
      </c>
      <c r="J198" s="206"/>
      <c r="K198" s="206"/>
      <c r="L198" s="206"/>
      <c r="M198" s="206">
        <v>-1</v>
      </c>
      <c r="N198" s="206">
        <v>-1</v>
      </c>
      <c r="O198" s="206">
        <v>-1</v>
      </c>
      <c r="P198" s="206"/>
      <c r="Q198" s="206">
        <v>0</v>
      </c>
      <c r="R198" s="206">
        <v>-1</v>
      </c>
      <c r="S198" s="206"/>
      <c r="T198" s="206"/>
      <c r="U198" s="206">
        <v>25</v>
      </c>
      <c r="V198" s="206">
        <v>-1</v>
      </c>
      <c r="W198" s="206">
        <v>0</v>
      </c>
      <c r="X198" s="206"/>
      <c r="Y198" s="206"/>
      <c r="Z198" s="206"/>
      <c r="AA198" s="206">
        <v>19</v>
      </c>
      <c r="AB198" s="206">
        <v>19</v>
      </c>
      <c r="AC198" s="206">
        <v>16</v>
      </c>
      <c r="AD198" s="206">
        <v>21</v>
      </c>
      <c r="AE198" s="206">
        <v>26</v>
      </c>
      <c r="AF198" s="206">
        <v>18</v>
      </c>
      <c r="AG198" s="206"/>
      <c r="AH198" s="2">
        <f t="shared" si="9"/>
        <v>6</v>
      </c>
      <c r="AI198" s="2">
        <f t="shared" si="10"/>
        <v>10</v>
      </c>
      <c r="AJ198" s="2">
        <f t="shared" si="11"/>
        <v>16</v>
      </c>
    </row>
    <row r="199" spans="2:36" x14ac:dyDescent="0.2">
      <c r="B199" s="102"/>
      <c r="C199" s="103">
        <v>196</v>
      </c>
      <c r="D199" s="205">
        <v>1507904.084808087</v>
      </c>
      <c r="E199" s="205">
        <v>882544.82356968091</v>
      </c>
      <c r="F199" s="205">
        <v>0</v>
      </c>
      <c r="G199" s="205">
        <v>0</v>
      </c>
      <c r="H199" s="205">
        <v>104274.16580667355</v>
      </c>
      <c r="I199" s="206">
        <v>-1</v>
      </c>
      <c r="J199" s="206"/>
      <c r="K199" s="206"/>
      <c r="L199" s="206"/>
      <c r="M199" s="206">
        <v>-1</v>
      </c>
      <c r="N199" s="206">
        <v>-1</v>
      </c>
      <c r="O199" s="206">
        <v>-1</v>
      </c>
      <c r="P199" s="206"/>
      <c r="Q199" s="206">
        <v>24</v>
      </c>
      <c r="R199" s="206">
        <v>-1</v>
      </c>
      <c r="S199" s="206"/>
      <c r="T199" s="206"/>
      <c r="U199" s="206">
        <v>25</v>
      </c>
      <c r="V199" s="206">
        <v>-1</v>
      </c>
      <c r="W199" s="206">
        <v>0</v>
      </c>
      <c r="X199" s="206"/>
      <c r="Y199" s="206"/>
      <c r="Z199" s="206"/>
      <c r="AA199" s="206">
        <v>19</v>
      </c>
      <c r="AB199" s="206">
        <v>19</v>
      </c>
      <c r="AC199" s="206">
        <v>16</v>
      </c>
      <c r="AD199" s="206">
        <v>21</v>
      </c>
      <c r="AE199" s="206">
        <v>26</v>
      </c>
      <c r="AF199" s="206">
        <v>18</v>
      </c>
      <c r="AG199" s="206"/>
      <c r="AH199" s="2">
        <f t="shared" si="9"/>
        <v>6</v>
      </c>
      <c r="AI199" s="2">
        <f t="shared" si="10"/>
        <v>10</v>
      </c>
      <c r="AJ199" s="2">
        <f t="shared" si="11"/>
        <v>16</v>
      </c>
    </row>
    <row r="200" spans="2:36" x14ac:dyDescent="0.2">
      <c r="B200" s="102"/>
      <c r="C200" s="103">
        <v>197</v>
      </c>
      <c r="D200" s="205">
        <v>1507904.084808087</v>
      </c>
      <c r="E200" s="205">
        <v>882544.82356968091</v>
      </c>
      <c r="F200" s="205">
        <v>0</v>
      </c>
      <c r="G200" s="205">
        <v>0</v>
      </c>
      <c r="H200" s="205">
        <v>76496.388028895773</v>
      </c>
      <c r="I200" s="206">
        <v>-1</v>
      </c>
      <c r="J200" s="206"/>
      <c r="K200" s="206"/>
      <c r="L200" s="206"/>
      <c r="M200" s="206">
        <v>-1</v>
      </c>
      <c r="N200" s="206">
        <v>-1</v>
      </c>
      <c r="O200" s="206">
        <v>-1</v>
      </c>
      <c r="P200" s="206"/>
      <c r="Q200" s="206">
        <v>24</v>
      </c>
      <c r="R200" s="206">
        <v>-1</v>
      </c>
      <c r="S200" s="206"/>
      <c r="T200" s="206"/>
      <c r="U200" s="206">
        <v>25</v>
      </c>
      <c r="V200" s="206">
        <v>-1</v>
      </c>
      <c r="W200" s="206">
        <v>27</v>
      </c>
      <c r="X200" s="206"/>
      <c r="Y200" s="206"/>
      <c r="Z200" s="206"/>
      <c r="AA200" s="206">
        <v>19</v>
      </c>
      <c r="AB200" s="206">
        <v>19</v>
      </c>
      <c r="AC200" s="206">
        <v>16</v>
      </c>
      <c r="AD200" s="206">
        <v>21</v>
      </c>
      <c r="AE200" s="206">
        <v>26</v>
      </c>
      <c r="AF200" s="206">
        <v>18</v>
      </c>
      <c r="AG200" s="206"/>
      <c r="AH200" s="2">
        <f t="shared" si="9"/>
        <v>6</v>
      </c>
      <c r="AI200" s="2">
        <f t="shared" si="10"/>
        <v>10</v>
      </c>
      <c r="AJ200" s="2">
        <f t="shared" si="11"/>
        <v>16</v>
      </c>
    </row>
    <row r="201" spans="2:36" x14ac:dyDescent="0.2">
      <c r="B201" s="102"/>
      <c r="C201" s="103">
        <v>198</v>
      </c>
      <c r="D201" s="205">
        <v>4586324.4959385702</v>
      </c>
      <c r="E201" s="205">
        <v>2697979.584949438</v>
      </c>
      <c r="F201" s="205">
        <v>0</v>
      </c>
      <c r="G201" s="205">
        <v>0</v>
      </c>
      <c r="H201" s="205">
        <v>356326.05564155488</v>
      </c>
      <c r="I201" s="206">
        <v>-1</v>
      </c>
      <c r="J201" s="206"/>
      <c r="K201" s="206"/>
      <c r="L201" s="206"/>
      <c r="M201" s="206">
        <v>-1</v>
      </c>
      <c r="N201" s="206">
        <v>-1</v>
      </c>
      <c r="O201" s="206">
        <v>-1</v>
      </c>
      <c r="P201" s="206"/>
      <c r="Q201" s="206">
        <v>24</v>
      </c>
      <c r="R201" s="206">
        <v>-1</v>
      </c>
      <c r="S201" s="206"/>
      <c r="T201" s="206"/>
      <c r="U201" s="206">
        <v>25</v>
      </c>
      <c r="V201" s="206">
        <v>-1</v>
      </c>
      <c r="W201" s="206">
        <v>27</v>
      </c>
      <c r="X201" s="206"/>
      <c r="Y201" s="206"/>
      <c r="Z201" s="206"/>
      <c r="AA201" s="206">
        <v>19</v>
      </c>
      <c r="AB201" s="206">
        <v>19</v>
      </c>
      <c r="AC201" s="206">
        <v>0</v>
      </c>
      <c r="AD201" s="206">
        <v>21</v>
      </c>
      <c r="AE201" s="206">
        <v>26</v>
      </c>
      <c r="AF201" s="206">
        <v>0</v>
      </c>
      <c r="AG201" s="206"/>
      <c r="AH201" s="2">
        <f t="shared" si="9"/>
        <v>6</v>
      </c>
      <c r="AI201" s="2">
        <f t="shared" si="10"/>
        <v>10</v>
      </c>
      <c r="AJ201" s="2">
        <f t="shared" si="11"/>
        <v>16</v>
      </c>
    </row>
    <row r="202" spans="2:36" x14ac:dyDescent="0.2">
      <c r="B202" s="102"/>
      <c r="C202" s="103">
        <v>199</v>
      </c>
      <c r="D202" s="205">
        <v>5358849.1155787865</v>
      </c>
      <c r="E202" s="205">
        <v>3143820.6034230888</v>
      </c>
      <c r="F202" s="205">
        <v>0</v>
      </c>
      <c r="G202" s="205">
        <v>0</v>
      </c>
      <c r="H202" s="205">
        <v>356326.05564155488</v>
      </c>
      <c r="I202" s="206">
        <v>-1</v>
      </c>
      <c r="J202" s="206"/>
      <c r="K202" s="206"/>
      <c r="L202" s="206"/>
      <c r="M202" s="206">
        <v>-1</v>
      </c>
      <c r="N202" s="206">
        <v>-1</v>
      </c>
      <c r="O202" s="206">
        <v>-1</v>
      </c>
      <c r="P202" s="206"/>
      <c r="Q202" s="206">
        <v>24</v>
      </c>
      <c r="R202" s="206">
        <v>-1</v>
      </c>
      <c r="S202" s="206"/>
      <c r="T202" s="206"/>
      <c r="U202" s="206">
        <v>25</v>
      </c>
      <c r="V202" s="206">
        <v>-1</v>
      </c>
      <c r="W202" s="206">
        <v>0</v>
      </c>
      <c r="X202" s="206"/>
      <c r="Y202" s="206"/>
      <c r="Z202" s="206"/>
      <c r="AA202" s="206">
        <v>19</v>
      </c>
      <c r="AB202" s="206">
        <v>19</v>
      </c>
      <c r="AC202" s="206">
        <v>17</v>
      </c>
      <c r="AD202" s="206">
        <v>21</v>
      </c>
      <c r="AE202" s="206">
        <v>26</v>
      </c>
      <c r="AF202" s="206">
        <v>0</v>
      </c>
      <c r="AG202" s="206"/>
      <c r="AH202" s="2">
        <f t="shared" si="9"/>
        <v>6</v>
      </c>
      <c r="AI202" s="2">
        <f t="shared" si="10"/>
        <v>10</v>
      </c>
      <c r="AJ202" s="2">
        <f t="shared" si="11"/>
        <v>16</v>
      </c>
    </row>
    <row r="203" spans="2:36" x14ac:dyDescent="0.2">
      <c r="B203" s="102"/>
      <c r="C203" s="103">
        <v>200</v>
      </c>
      <c r="D203" s="205">
        <v>1825394.8405044968</v>
      </c>
      <c r="E203" s="205">
        <v>1068078.6556346542</v>
      </c>
      <c r="F203" s="205">
        <v>0</v>
      </c>
      <c r="G203" s="205">
        <v>0</v>
      </c>
      <c r="H203" s="205">
        <v>198636.91090471277</v>
      </c>
      <c r="I203" s="206">
        <v>-1</v>
      </c>
      <c r="J203" s="206"/>
      <c r="K203" s="206"/>
      <c r="L203" s="206"/>
      <c r="M203" s="206">
        <v>-1</v>
      </c>
      <c r="N203" s="206">
        <v>-1</v>
      </c>
      <c r="O203" s="206">
        <v>-1</v>
      </c>
      <c r="P203" s="206"/>
      <c r="Q203" s="206">
        <v>0</v>
      </c>
      <c r="R203" s="206">
        <v>-1</v>
      </c>
      <c r="S203" s="206"/>
      <c r="T203" s="206"/>
      <c r="U203" s="206">
        <v>25</v>
      </c>
      <c r="V203" s="206">
        <v>-1</v>
      </c>
      <c r="W203" s="206">
        <v>0</v>
      </c>
      <c r="X203" s="206"/>
      <c r="Y203" s="206"/>
      <c r="Z203" s="206"/>
      <c r="AA203" s="206">
        <v>19</v>
      </c>
      <c r="AB203" s="206">
        <v>0</v>
      </c>
      <c r="AC203" s="206">
        <v>17</v>
      </c>
      <c r="AD203" s="206">
        <v>21</v>
      </c>
      <c r="AE203" s="206">
        <v>26</v>
      </c>
      <c r="AF203" s="206">
        <v>19</v>
      </c>
      <c r="AG203" s="206"/>
      <c r="AH203" s="2">
        <f t="shared" si="9"/>
        <v>6</v>
      </c>
      <c r="AI203" s="2">
        <f t="shared" si="10"/>
        <v>10</v>
      </c>
      <c r="AJ203" s="2">
        <f t="shared" si="11"/>
        <v>16</v>
      </c>
    </row>
    <row r="204" spans="2:36" x14ac:dyDescent="0.2">
      <c r="B204" s="102"/>
      <c r="C204" s="103">
        <v>201</v>
      </c>
      <c r="D204" s="205">
        <v>2577420.9028080809</v>
      </c>
      <c r="E204" s="205">
        <v>1511541.9527703878</v>
      </c>
      <c r="F204" s="205">
        <v>0</v>
      </c>
      <c r="G204" s="205">
        <v>0</v>
      </c>
      <c r="H204" s="205">
        <v>198636.91090471277</v>
      </c>
      <c r="I204" s="206">
        <v>-1</v>
      </c>
      <c r="J204" s="206"/>
      <c r="K204" s="206"/>
      <c r="L204" s="206"/>
      <c r="M204" s="206">
        <v>-1</v>
      </c>
      <c r="N204" s="206">
        <v>-1</v>
      </c>
      <c r="O204" s="206">
        <v>-1</v>
      </c>
      <c r="P204" s="206"/>
      <c r="Q204" s="206">
        <v>25</v>
      </c>
      <c r="R204" s="206">
        <v>-1</v>
      </c>
      <c r="S204" s="206"/>
      <c r="T204" s="206"/>
      <c r="U204" s="206">
        <v>25</v>
      </c>
      <c r="V204" s="206">
        <v>-1</v>
      </c>
      <c r="W204" s="206">
        <v>28</v>
      </c>
      <c r="X204" s="206"/>
      <c r="Y204" s="206"/>
      <c r="Z204" s="206"/>
      <c r="AA204" s="206">
        <v>0</v>
      </c>
      <c r="AB204" s="206">
        <v>0</v>
      </c>
      <c r="AC204" s="206">
        <v>17</v>
      </c>
      <c r="AD204" s="206">
        <v>21</v>
      </c>
      <c r="AE204" s="206">
        <v>26</v>
      </c>
      <c r="AF204" s="206">
        <v>19</v>
      </c>
      <c r="AG204" s="206"/>
      <c r="AH204" s="2">
        <f t="shared" si="9"/>
        <v>6</v>
      </c>
      <c r="AI204" s="2">
        <f t="shared" si="10"/>
        <v>10</v>
      </c>
      <c r="AJ204" s="2">
        <f t="shared" si="11"/>
        <v>16</v>
      </c>
    </row>
    <row r="205" spans="2:36" x14ac:dyDescent="0.2">
      <c r="B205" s="102"/>
      <c r="C205" s="103">
        <v>202</v>
      </c>
      <c r="D205" s="205">
        <v>4379000.0852315668</v>
      </c>
      <c r="E205" s="205">
        <v>2585291.5307027083</v>
      </c>
      <c r="F205" s="205">
        <v>0</v>
      </c>
      <c r="G205" s="205">
        <v>0</v>
      </c>
      <c r="H205" s="205">
        <v>315961.47230822156</v>
      </c>
      <c r="I205" s="206">
        <v>-1</v>
      </c>
      <c r="J205" s="206"/>
      <c r="K205" s="206"/>
      <c r="L205" s="206"/>
      <c r="M205" s="206">
        <v>-1</v>
      </c>
      <c r="N205" s="206">
        <v>-1</v>
      </c>
      <c r="O205" s="206">
        <v>-1</v>
      </c>
      <c r="P205" s="206"/>
      <c r="Q205" s="206">
        <v>25</v>
      </c>
      <c r="R205" s="206">
        <v>-1</v>
      </c>
      <c r="S205" s="206"/>
      <c r="T205" s="206"/>
      <c r="U205" s="206">
        <v>25</v>
      </c>
      <c r="V205" s="206">
        <v>-1</v>
      </c>
      <c r="W205" s="206">
        <v>28</v>
      </c>
      <c r="X205" s="206"/>
      <c r="Y205" s="206"/>
      <c r="Z205" s="206"/>
      <c r="AA205" s="206">
        <v>0</v>
      </c>
      <c r="AB205" s="206">
        <v>20</v>
      </c>
      <c r="AC205" s="206">
        <v>17</v>
      </c>
      <c r="AD205" s="206">
        <v>0</v>
      </c>
      <c r="AE205" s="206">
        <v>0</v>
      </c>
      <c r="AF205" s="206">
        <v>19</v>
      </c>
      <c r="AG205" s="206"/>
      <c r="AH205" s="2">
        <f t="shared" si="9"/>
        <v>6</v>
      </c>
      <c r="AI205" s="2">
        <f t="shared" si="10"/>
        <v>10</v>
      </c>
      <c r="AJ205" s="2">
        <f t="shared" si="11"/>
        <v>16</v>
      </c>
    </row>
    <row r="206" spans="2:36" x14ac:dyDescent="0.2">
      <c r="B206" s="102"/>
      <c r="C206" s="103">
        <v>203</v>
      </c>
      <c r="D206" s="205">
        <v>3902641.9494706537</v>
      </c>
      <c r="E206" s="205">
        <v>2316205.796267434</v>
      </c>
      <c r="F206" s="205">
        <v>0</v>
      </c>
      <c r="G206" s="205">
        <v>0</v>
      </c>
      <c r="H206" s="205">
        <v>315961.47230822156</v>
      </c>
      <c r="I206" s="206">
        <v>-1</v>
      </c>
      <c r="J206" s="206"/>
      <c r="K206" s="206"/>
      <c r="L206" s="206"/>
      <c r="M206" s="206">
        <v>-1</v>
      </c>
      <c r="N206" s="206">
        <v>-1</v>
      </c>
      <c r="O206" s="206">
        <v>-1</v>
      </c>
      <c r="P206" s="206"/>
      <c r="Q206" s="206">
        <v>25</v>
      </c>
      <c r="R206" s="206">
        <v>-1</v>
      </c>
      <c r="S206" s="206"/>
      <c r="T206" s="206"/>
      <c r="U206" s="206">
        <v>25</v>
      </c>
      <c r="V206" s="206">
        <v>-1</v>
      </c>
      <c r="W206" s="206">
        <v>28</v>
      </c>
      <c r="X206" s="206"/>
      <c r="Y206" s="206"/>
      <c r="Z206" s="206"/>
      <c r="AA206" s="206">
        <v>20</v>
      </c>
      <c r="AB206" s="206">
        <v>20</v>
      </c>
      <c r="AC206" s="206">
        <v>17</v>
      </c>
      <c r="AD206" s="206">
        <v>0</v>
      </c>
      <c r="AE206" s="206">
        <v>0</v>
      </c>
      <c r="AF206" s="206">
        <v>19</v>
      </c>
      <c r="AG206" s="206"/>
      <c r="AH206" s="2">
        <f t="shared" si="9"/>
        <v>6</v>
      </c>
      <c r="AI206" s="2">
        <f t="shared" si="10"/>
        <v>10</v>
      </c>
      <c r="AJ206" s="2">
        <f t="shared" si="11"/>
        <v>16</v>
      </c>
    </row>
    <row r="207" spans="2:36" x14ac:dyDescent="0.2">
      <c r="B207" s="102"/>
      <c r="C207" s="103">
        <v>204</v>
      </c>
      <c r="D207" s="205">
        <v>1872643.8461331846</v>
      </c>
      <c r="E207" s="205">
        <v>1108400.8950062904</v>
      </c>
      <c r="F207" s="205">
        <v>7465352.7975554159</v>
      </c>
      <c r="G207" s="205">
        <v>0</v>
      </c>
      <c r="H207" s="205">
        <v>240303.57757137943</v>
      </c>
      <c r="I207" s="206">
        <v>-1</v>
      </c>
      <c r="J207" s="206"/>
      <c r="K207" s="206"/>
      <c r="L207" s="206"/>
      <c r="M207" s="206"/>
      <c r="N207" s="206">
        <v>-1</v>
      </c>
      <c r="O207" s="206">
        <v>-1</v>
      </c>
      <c r="P207" s="206"/>
      <c r="Q207" s="206">
        <v>25</v>
      </c>
      <c r="R207" s="206">
        <v>-1</v>
      </c>
      <c r="S207" s="206"/>
      <c r="T207" s="206"/>
      <c r="U207" s="206">
        <v>0</v>
      </c>
      <c r="V207" s="206"/>
      <c r="W207" s="206">
        <v>28</v>
      </c>
      <c r="X207" s="206"/>
      <c r="Y207" s="206"/>
      <c r="Z207" s="206"/>
      <c r="AA207" s="206">
        <v>20</v>
      </c>
      <c r="AB207" s="206"/>
      <c r="AC207" s="206">
        <v>0</v>
      </c>
      <c r="AD207" s="206">
        <v>0</v>
      </c>
      <c r="AE207" s="206">
        <v>27</v>
      </c>
      <c r="AF207" s="206"/>
      <c r="AG207" s="206"/>
      <c r="AH207" s="2">
        <f t="shared" si="9"/>
        <v>4</v>
      </c>
      <c r="AI207" s="2">
        <f t="shared" si="10"/>
        <v>14</v>
      </c>
      <c r="AJ207" s="2">
        <f t="shared" si="11"/>
        <v>18</v>
      </c>
    </row>
    <row r="208" spans="2:36" x14ac:dyDescent="0.2">
      <c r="B208" s="102"/>
      <c r="C208" s="103">
        <v>205</v>
      </c>
      <c r="D208" s="205">
        <v>1084989.8743414176</v>
      </c>
      <c r="E208" s="205">
        <v>638392.6763179712</v>
      </c>
      <c r="F208" s="205">
        <v>0</v>
      </c>
      <c r="G208" s="205">
        <v>0</v>
      </c>
      <c r="H208" s="205">
        <v>76496.388028895773</v>
      </c>
      <c r="I208" s="206">
        <v>-1</v>
      </c>
      <c r="J208" s="206"/>
      <c r="K208" s="206"/>
      <c r="L208" s="206"/>
      <c r="M208" s="206"/>
      <c r="N208" s="206">
        <v>-1</v>
      </c>
      <c r="O208" s="206">
        <v>-1</v>
      </c>
      <c r="P208" s="206"/>
      <c r="Q208" s="206">
        <v>25</v>
      </c>
      <c r="R208" s="206">
        <v>-1</v>
      </c>
      <c r="S208" s="206"/>
      <c r="T208" s="206"/>
      <c r="U208" s="206">
        <v>0</v>
      </c>
      <c r="V208" s="206"/>
      <c r="W208" s="206">
        <v>28</v>
      </c>
      <c r="X208" s="206"/>
      <c r="Y208" s="206"/>
      <c r="Z208" s="206"/>
      <c r="AA208" s="206">
        <v>20</v>
      </c>
      <c r="AB208" s="206"/>
      <c r="AC208" s="206">
        <v>18</v>
      </c>
      <c r="AD208" s="206">
        <v>22</v>
      </c>
      <c r="AE208" s="206">
        <v>27</v>
      </c>
      <c r="AF208" s="206"/>
      <c r="AG208" s="206"/>
      <c r="AH208" s="2">
        <f t="shared" si="9"/>
        <v>4</v>
      </c>
      <c r="AI208" s="2">
        <f t="shared" si="10"/>
        <v>14</v>
      </c>
      <c r="AJ208" s="2">
        <f t="shared" si="11"/>
        <v>18</v>
      </c>
    </row>
    <row r="209" spans="2:36" x14ac:dyDescent="0.2">
      <c r="B209" s="102"/>
      <c r="C209" s="103">
        <v>206</v>
      </c>
      <c r="D209" s="205">
        <v>689922.40066410857</v>
      </c>
      <c r="E209" s="205">
        <v>406068.15465215046</v>
      </c>
      <c r="F209" s="205">
        <v>0</v>
      </c>
      <c r="G209" s="205">
        <v>0</v>
      </c>
      <c r="H209" s="205">
        <v>37280.701754385962</v>
      </c>
      <c r="I209" s="206">
        <v>-1</v>
      </c>
      <c r="J209" s="206"/>
      <c r="K209" s="206"/>
      <c r="L209" s="206"/>
      <c r="M209" s="206"/>
      <c r="N209" s="206">
        <v>-1</v>
      </c>
      <c r="O209" s="206">
        <v>-1</v>
      </c>
      <c r="P209" s="206"/>
      <c r="Q209" s="206">
        <v>25</v>
      </c>
      <c r="R209" s="206">
        <v>-1</v>
      </c>
      <c r="S209" s="206"/>
      <c r="T209" s="206"/>
      <c r="U209" s="206">
        <v>26</v>
      </c>
      <c r="V209" s="206"/>
      <c r="W209" s="206">
        <v>28</v>
      </c>
      <c r="X209" s="206"/>
      <c r="Y209" s="206"/>
      <c r="Z209" s="206"/>
      <c r="AA209" s="206">
        <v>20</v>
      </c>
      <c r="AB209" s="206"/>
      <c r="AC209" s="206">
        <v>18</v>
      </c>
      <c r="AD209" s="206">
        <v>22</v>
      </c>
      <c r="AE209" s="206">
        <v>27</v>
      </c>
      <c r="AF209" s="206"/>
      <c r="AG209" s="206"/>
      <c r="AH209" s="2">
        <f t="shared" si="9"/>
        <v>4</v>
      </c>
      <c r="AI209" s="2">
        <f t="shared" si="10"/>
        <v>14</v>
      </c>
      <c r="AJ209" s="2">
        <f t="shared" si="11"/>
        <v>18</v>
      </c>
    </row>
    <row r="210" spans="2:36" x14ac:dyDescent="0.2">
      <c r="B210" s="102"/>
      <c r="C210" s="103">
        <v>207</v>
      </c>
      <c r="D210" s="205">
        <v>694588.03858626925</v>
      </c>
      <c r="E210" s="205">
        <v>413129.20721197966</v>
      </c>
      <c r="F210" s="205">
        <v>0</v>
      </c>
      <c r="G210" s="205">
        <v>0</v>
      </c>
      <c r="H210" s="205">
        <v>104274.16580667355</v>
      </c>
      <c r="I210" s="206">
        <v>-1</v>
      </c>
      <c r="J210" s="206"/>
      <c r="K210" s="206"/>
      <c r="L210" s="206"/>
      <c r="M210" s="206"/>
      <c r="N210" s="206">
        <v>-1</v>
      </c>
      <c r="O210" s="206">
        <v>-1</v>
      </c>
      <c r="P210" s="206"/>
      <c r="Q210" s="206">
        <v>0</v>
      </c>
      <c r="R210" s="206">
        <v>-1</v>
      </c>
      <c r="S210" s="206"/>
      <c r="T210" s="206"/>
      <c r="U210" s="206">
        <v>26</v>
      </c>
      <c r="V210" s="206"/>
      <c r="W210" s="206">
        <v>0</v>
      </c>
      <c r="X210" s="206"/>
      <c r="Y210" s="206"/>
      <c r="Z210" s="206"/>
      <c r="AA210" s="206">
        <v>20</v>
      </c>
      <c r="AB210" s="206"/>
      <c r="AC210" s="206">
        <v>18</v>
      </c>
      <c r="AD210" s="206">
        <v>22</v>
      </c>
      <c r="AE210" s="206">
        <v>27</v>
      </c>
      <c r="AF210" s="206"/>
      <c r="AG210" s="206"/>
      <c r="AH210" s="2">
        <f t="shared" si="9"/>
        <v>4</v>
      </c>
      <c r="AI210" s="2">
        <f t="shared" si="10"/>
        <v>14</v>
      </c>
      <c r="AJ210" s="2">
        <f t="shared" si="11"/>
        <v>18</v>
      </c>
    </row>
    <row r="211" spans="2:36" x14ac:dyDescent="0.2">
      <c r="B211" s="102"/>
      <c r="C211" s="103">
        <v>208</v>
      </c>
      <c r="D211" s="205">
        <v>850569.1716036303</v>
      </c>
      <c r="E211" s="205">
        <v>500610.21603324218</v>
      </c>
      <c r="F211" s="205">
        <v>0</v>
      </c>
      <c r="G211" s="205">
        <v>0</v>
      </c>
      <c r="H211" s="205">
        <v>37280.701754385962</v>
      </c>
      <c r="I211" s="206">
        <v>-1</v>
      </c>
      <c r="J211" s="206"/>
      <c r="K211" s="206"/>
      <c r="L211" s="206"/>
      <c r="M211" s="206"/>
      <c r="N211" s="206">
        <v>-1</v>
      </c>
      <c r="O211" s="206">
        <v>-1</v>
      </c>
      <c r="P211" s="206"/>
      <c r="Q211" s="206">
        <v>26</v>
      </c>
      <c r="R211" s="206">
        <v>-1</v>
      </c>
      <c r="S211" s="206"/>
      <c r="T211" s="206"/>
      <c r="U211" s="206">
        <v>26</v>
      </c>
      <c r="V211" s="206"/>
      <c r="W211" s="206">
        <v>29</v>
      </c>
      <c r="X211" s="206"/>
      <c r="Y211" s="206"/>
      <c r="Z211" s="206"/>
      <c r="AA211" s="206">
        <v>20</v>
      </c>
      <c r="AB211" s="206"/>
      <c r="AC211" s="206">
        <v>18</v>
      </c>
      <c r="AD211" s="206">
        <v>22</v>
      </c>
      <c r="AE211" s="206">
        <v>27</v>
      </c>
      <c r="AF211" s="206"/>
      <c r="AG211" s="206"/>
      <c r="AH211" s="2">
        <f t="shared" si="9"/>
        <v>4</v>
      </c>
      <c r="AI211" s="2">
        <f t="shared" si="10"/>
        <v>14</v>
      </c>
      <c r="AJ211" s="2">
        <f t="shared" si="11"/>
        <v>18</v>
      </c>
    </row>
    <row r="212" spans="2:36" x14ac:dyDescent="0.2">
      <c r="B212" s="102"/>
      <c r="C212" s="103">
        <v>209</v>
      </c>
      <c r="D212" s="205">
        <v>3930216.1722374638</v>
      </c>
      <c r="E212" s="205">
        <v>2325071.0331212031</v>
      </c>
      <c r="F212" s="205">
        <v>0</v>
      </c>
      <c r="G212" s="205">
        <v>0</v>
      </c>
      <c r="H212" s="205">
        <v>274294.80564155488</v>
      </c>
      <c r="I212" s="206">
        <v>-1</v>
      </c>
      <c r="J212" s="206"/>
      <c r="K212" s="206"/>
      <c r="L212" s="206"/>
      <c r="M212" s="206"/>
      <c r="N212" s="206">
        <v>-1</v>
      </c>
      <c r="O212" s="206">
        <v>-1</v>
      </c>
      <c r="P212" s="206"/>
      <c r="Q212" s="206">
        <v>26</v>
      </c>
      <c r="R212" s="206">
        <v>-1</v>
      </c>
      <c r="S212" s="206"/>
      <c r="T212" s="206"/>
      <c r="U212" s="206">
        <v>0</v>
      </c>
      <c r="V212" s="206"/>
      <c r="W212" s="206">
        <v>29</v>
      </c>
      <c r="X212" s="206"/>
      <c r="Y212" s="206"/>
      <c r="Z212" s="206"/>
      <c r="AA212" s="206">
        <v>20</v>
      </c>
      <c r="AB212" s="206"/>
      <c r="AC212" s="206">
        <v>18</v>
      </c>
      <c r="AD212" s="206">
        <v>22</v>
      </c>
      <c r="AE212" s="206">
        <v>0</v>
      </c>
      <c r="AF212" s="206"/>
      <c r="AG212" s="206"/>
      <c r="AH212" s="2">
        <f t="shared" si="9"/>
        <v>4</v>
      </c>
      <c r="AI212" s="2">
        <f t="shared" si="10"/>
        <v>14</v>
      </c>
      <c r="AJ212" s="2">
        <f t="shared" si="11"/>
        <v>18</v>
      </c>
    </row>
    <row r="213" spans="2:36" x14ac:dyDescent="0.2">
      <c r="B213" s="102"/>
      <c r="C213" s="103">
        <v>210</v>
      </c>
      <c r="D213" s="205">
        <v>786043.23444749275</v>
      </c>
      <c r="E213" s="205">
        <v>465014.20662424061</v>
      </c>
      <c r="F213" s="205">
        <v>0</v>
      </c>
      <c r="G213" s="205">
        <v>0</v>
      </c>
      <c r="H213" s="205">
        <v>76496.388028895773</v>
      </c>
      <c r="I213" s="206">
        <v>-1</v>
      </c>
      <c r="J213" s="206"/>
      <c r="K213" s="206"/>
      <c r="L213" s="206"/>
      <c r="M213" s="206"/>
      <c r="N213" s="206">
        <v>-1</v>
      </c>
      <c r="O213" s="206">
        <v>-1</v>
      </c>
      <c r="P213" s="206"/>
      <c r="Q213" s="206">
        <v>26</v>
      </c>
      <c r="R213" s="206">
        <v>-1</v>
      </c>
      <c r="S213" s="206"/>
      <c r="T213" s="206"/>
      <c r="U213" s="206">
        <v>0</v>
      </c>
      <c r="V213" s="206"/>
      <c r="W213" s="206">
        <v>29</v>
      </c>
      <c r="X213" s="206"/>
      <c r="Y213" s="206"/>
      <c r="Z213" s="206"/>
      <c r="AA213" s="206">
        <v>20</v>
      </c>
      <c r="AB213" s="206"/>
      <c r="AC213" s="206">
        <v>18</v>
      </c>
      <c r="AD213" s="206">
        <v>22</v>
      </c>
      <c r="AE213" s="206">
        <v>28</v>
      </c>
      <c r="AF213" s="206"/>
      <c r="AG213" s="206"/>
      <c r="AH213" s="2">
        <f t="shared" si="9"/>
        <v>4</v>
      </c>
      <c r="AI213" s="2">
        <f t="shared" si="10"/>
        <v>14</v>
      </c>
      <c r="AJ213" s="2">
        <f t="shared" si="11"/>
        <v>18</v>
      </c>
    </row>
    <row r="214" spans="2:36" x14ac:dyDescent="0.2">
      <c r="B214" s="102"/>
      <c r="C214" s="103">
        <v>211</v>
      </c>
      <c r="D214" s="205">
        <v>760800.62962657271</v>
      </c>
      <c r="E214" s="205">
        <v>447628.19866813498</v>
      </c>
      <c r="F214" s="205">
        <v>0</v>
      </c>
      <c r="G214" s="205">
        <v>0</v>
      </c>
      <c r="H214" s="205">
        <v>76496.388028895773</v>
      </c>
      <c r="I214" s="206">
        <v>-1</v>
      </c>
      <c r="J214" s="206"/>
      <c r="K214" s="206"/>
      <c r="L214" s="206"/>
      <c r="M214" s="206"/>
      <c r="N214" s="206">
        <v>-1</v>
      </c>
      <c r="O214" s="206">
        <v>-1</v>
      </c>
      <c r="P214" s="206"/>
      <c r="Q214" s="206">
        <v>26</v>
      </c>
      <c r="R214" s="206">
        <v>-1</v>
      </c>
      <c r="S214" s="206"/>
      <c r="T214" s="206"/>
      <c r="U214" s="206">
        <v>0</v>
      </c>
      <c r="V214" s="206"/>
      <c r="W214" s="206">
        <v>29</v>
      </c>
      <c r="X214" s="206"/>
      <c r="Y214" s="206"/>
      <c r="Z214" s="206"/>
      <c r="AA214" s="206">
        <v>20</v>
      </c>
      <c r="AB214" s="206"/>
      <c r="AC214" s="206">
        <v>18</v>
      </c>
      <c r="AD214" s="206">
        <v>22</v>
      </c>
      <c r="AE214" s="206">
        <v>28</v>
      </c>
      <c r="AF214" s="206"/>
      <c r="AG214" s="206"/>
      <c r="AH214" s="2">
        <f t="shared" si="9"/>
        <v>4</v>
      </c>
      <c r="AI214" s="2">
        <f t="shared" si="10"/>
        <v>14</v>
      </c>
      <c r="AJ214" s="2">
        <f t="shared" si="11"/>
        <v>18</v>
      </c>
    </row>
    <row r="215" spans="2:36" x14ac:dyDescent="0.2">
      <c r="B215" s="102"/>
      <c r="C215" s="103">
        <v>212</v>
      </c>
      <c r="D215" s="205">
        <v>760800.62962657271</v>
      </c>
      <c r="E215" s="205">
        <v>447628.19866813498</v>
      </c>
      <c r="F215" s="205">
        <v>0</v>
      </c>
      <c r="G215" s="205">
        <v>0</v>
      </c>
      <c r="H215" s="205">
        <v>37280.701754385962</v>
      </c>
      <c r="I215" s="206">
        <v>-1</v>
      </c>
      <c r="J215" s="206"/>
      <c r="K215" s="206"/>
      <c r="L215" s="206"/>
      <c r="M215" s="206"/>
      <c r="N215" s="206">
        <v>-1</v>
      </c>
      <c r="O215" s="206">
        <v>-1</v>
      </c>
      <c r="P215" s="206"/>
      <c r="Q215" s="206">
        <v>26</v>
      </c>
      <c r="R215" s="206">
        <v>-1</v>
      </c>
      <c r="S215" s="206"/>
      <c r="T215" s="206"/>
      <c r="U215" s="206">
        <v>27</v>
      </c>
      <c r="V215" s="206"/>
      <c r="W215" s="206">
        <v>29</v>
      </c>
      <c r="X215" s="206"/>
      <c r="Y215" s="206"/>
      <c r="Z215" s="206"/>
      <c r="AA215" s="206">
        <v>20</v>
      </c>
      <c r="AB215" s="206"/>
      <c r="AC215" s="206">
        <v>18</v>
      </c>
      <c r="AD215" s="206">
        <v>22</v>
      </c>
      <c r="AE215" s="206">
        <v>28</v>
      </c>
      <c r="AF215" s="206"/>
      <c r="AG215" s="206"/>
      <c r="AH215" s="2">
        <f t="shared" si="9"/>
        <v>4</v>
      </c>
      <c r="AI215" s="2">
        <f t="shared" si="10"/>
        <v>14</v>
      </c>
      <c r="AJ215" s="2">
        <f t="shared" si="11"/>
        <v>18</v>
      </c>
    </row>
    <row r="216" spans="2:36" x14ac:dyDescent="0.2">
      <c r="B216" s="102"/>
      <c r="C216" s="103">
        <v>213</v>
      </c>
      <c r="D216" s="205">
        <v>722581.86611923308</v>
      </c>
      <c r="E216" s="205">
        <v>429724.54086268751</v>
      </c>
      <c r="F216" s="205">
        <v>0</v>
      </c>
      <c r="G216" s="205">
        <v>0</v>
      </c>
      <c r="H216" s="205">
        <v>37280.701754385962</v>
      </c>
      <c r="I216" s="206">
        <v>-1</v>
      </c>
      <c r="J216" s="206"/>
      <c r="K216" s="206"/>
      <c r="L216" s="206"/>
      <c r="M216" s="206"/>
      <c r="N216" s="206">
        <v>-1</v>
      </c>
      <c r="O216" s="206">
        <v>-1</v>
      </c>
      <c r="P216" s="206"/>
      <c r="Q216" s="206">
        <v>26</v>
      </c>
      <c r="R216" s="206">
        <v>-1</v>
      </c>
      <c r="S216" s="206"/>
      <c r="T216" s="206"/>
      <c r="U216" s="206">
        <v>27</v>
      </c>
      <c r="V216" s="206"/>
      <c r="W216" s="206">
        <v>29</v>
      </c>
      <c r="X216" s="206"/>
      <c r="Y216" s="206"/>
      <c r="Z216" s="206"/>
      <c r="AA216" s="206">
        <v>20</v>
      </c>
      <c r="AB216" s="206"/>
      <c r="AC216" s="206">
        <v>18</v>
      </c>
      <c r="AD216" s="206">
        <v>22</v>
      </c>
      <c r="AE216" s="206">
        <v>28</v>
      </c>
      <c r="AF216" s="206"/>
      <c r="AG216" s="206"/>
      <c r="AH216" s="2">
        <f t="shared" si="9"/>
        <v>4</v>
      </c>
      <c r="AI216" s="2">
        <f t="shared" si="10"/>
        <v>14</v>
      </c>
      <c r="AJ216" s="2">
        <f t="shared" si="11"/>
        <v>18</v>
      </c>
    </row>
    <row r="217" spans="2:36" x14ac:dyDescent="0.2">
      <c r="B217" s="102"/>
      <c r="C217" s="103">
        <v>214</v>
      </c>
      <c r="D217" s="205">
        <v>2167745.5983576993</v>
      </c>
      <c r="E217" s="205">
        <v>1289173.6225880627</v>
      </c>
      <c r="F217" s="205">
        <v>0</v>
      </c>
      <c r="G217" s="205">
        <v>0</v>
      </c>
      <c r="H217" s="205">
        <v>240303.57757137943</v>
      </c>
      <c r="I217" s="206">
        <v>-1</v>
      </c>
      <c r="J217" s="206"/>
      <c r="K217" s="206"/>
      <c r="L217" s="206"/>
      <c r="M217" s="206"/>
      <c r="N217" s="206">
        <v>-1</v>
      </c>
      <c r="O217" s="206">
        <v>-1</v>
      </c>
      <c r="P217" s="206"/>
      <c r="Q217" s="206">
        <v>0</v>
      </c>
      <c r="R217" s="206">
        <v>-1</v>
      </c>
      <c r="S217" s="206"/>
      <c r="T217" s="206"/>
      <c r="U217" s="206">
        <v>27</v>
      </c>
      <c r="V217" s="206"/>
      <c r="W217" s="206">
        <v>0</v>
      </c>
      <c r="X217" s="206"/>
      <c r="Y217" s="206"/>
      <c r="Z217" s="206"/>
      <c r="AA217" s="206">
        <v>20</v>
      </c>
      <c r="AB217" s="206"/>
      <c r="AC217" s="206">
        <v>18</v>
      </c>
      <c r="AD217" s="206">
        <v>0</v>
      </c>
      <c r="AE217" s="206">
        <v>28</v>
      </c>
      <c r="AF217" s="206"/>
      <c r="AG217" s="206"/>
      <c r="AH217" s="2">
        <f t="shared" si="9"/>
        <v>4</v>
      </c>
      <c r="AI217" s="2">
        <f t="shared" si="10"/>
        <v>14</v>
      </c>
      <c r="AJ217" s="2">
        <f t="shared" si="11"/>
        <v>18</v>
      </c>
    </row>
    <row r="218" spans="2:36" x14ac:dyDescent="0.2">
      <c r="B218" s="102"/>
      <c r="C218" s="103">
        <v>215</v>
      </c>
      <c r="D218" s="205">
        <v>1445163.7322384662</v>
      </c>
      <c r="E218" s="205">
        <v>859449.08172537503</v>
      </c>
      <c r="F218" s="205">
        <v>0</v>
      </c>
      <c r="G218" s="205">
        <v>0</v>
      </c>
      <c r="H218" s="205">
        <v>240303.57757137943</v>
      </c>
      <c r="I218" s="206">
        <v>-1</v>
      </c>
      <c r="J218" s="206"/>
      <c r="K218" s="206"/>
      <c r="L218" s="206"/>
      <c r="M218" s="206"/>
      <c r="N218" s="206">
        <v>-1</v>
      </c>
      <c r="O218" s="206">
        <v>-1</v>
      </c>
      <c r="P218" s="206"/>
      <c r="Q218" s="206">
        <v>0</v>
      </c>
      <c r="R218" s="206">
        <v>-1</v>
      </c>
      <c r="S218" s="206"/>
      <c r="T218" s="206"/>
      <c r="U218" s="206">
        <v>27</v>
      </c>
      <c r="V218" s="206"/>
      <c r="W218" s="206">
        <v>0</v>
      </c>
      <c r="X218" s="206"/>
      <c r="Y218" s="206"/>
      <c r="Z218" s="206"/>
      <c r="AA218" s="206">
        <v>0</v>
      </c>
      <c r="AB218" s="206"/>
      <c r="AC218" s="206">
        <v>18</v>
      </c>
      <c r="AD218" s="206">
        <v>0</v>
      </c>
      <c r="AE218" s="206">
        <v>28</v>
      </c>
      <c r="AF218" s="206"/>
      <c r="AG218" s="206"/>
      <c r="AH218" s="2">
        <f t="shared" si="9"/>
        <v>4</v>
      </c>
      <c r="AI218" s="2">
        <f t="shared" si="10"/>
        <v>14</v>
      </c>
      <c r="AJ218" s="2">
        <f t="shared" si="11"/>
        <v>18</v>
      </c>
    </row>
    <row r="219" spans="2:36" x14ac:dyDescent="0.2">
      <c r="B219" s="102"/>
      <c r="C219" s="103">
        <v>216</v>
      </c>
      <c r="D219" s="205">
        <v>3162642.8493136037</v>
      </c>
      <c r="E219" s="205">
        <v>1879371.852528512</v>
      </c>
      <c r="F219" s="205">
        <v>16781000.092709046</v>
      </c>
      <c r="G219" s="205">
        <v>0</v>
      </c>
      <c r="H219" s="205">
        <v>182383.04093567247</v>
      </c>
      <c r="I219" s="206">
        <v>-1</v>
      </c>
      <c r="J219" s="206"/>
      <c r="K219" s="206"/>
      <c r="L219" s="206"/>
      <c r="M219" s="206"/>
      <c r="N219" s="206"/>
      <c r="O219" s="206">
        <v>-1</v>
      </c>
      <c r="P219" s="206"/>
      <c r="Q219" s="206">
        <v>0</v>
      </c>
      <c r="R219" s="206">
        <v>-1</v>
      </c>
      <c r="S219" s="206"/>
      <c r="T219" s="206"/>
      <c r="U219" s="206"/>
      <c r="V219" s="206"/>
      <c r="W219" s="206">
        <v>30</v>
      </c>
      <c r="X219" s="206"/>
      <c r="Y219" s="206"/>
      <c r="Z219" s="206"/>
      <c r="AA219" s="206"/>
      <c r="AB219" s="206"/>
      <c r="AC219" s="206">
        <v>18</v>
      </c>
      <c r="AD219" s="206">
        <v>23</v>
      </c>
      <c r="AE219" s="206">
        <v>0</v>
      </c>
      <c r="AF219" s="206"/>
      <c r="AG219" s="206"/>
      <c r="AH219" s="2">
        <f t="shared" si="9"/>
        <v>3</v>
      </c>
      <c r="AI219" s="2">
        <f t="shared" si="10"/>
        <v>17</v>
      </c>
      <c r="AJ219" s="2">
        <f t="shared" si="11"/>
        <v>20</v>
      </c>
    </row>
    <row r="220" spans="2:36" x14ac:dyDescent="0.2">
      <c r="B220" s="102"/>
      <c r="C220" s="103">
        <v>217</v>
      </c>
      <c r="D220" s="205">
        <v>2425433.6993590472</v>
      </c>
      <c r="E220" s="205">
        <v>1434669.4273964399</v>
      </c>
      <c r="F220" s="205">
        <v>0</v>
      </c>
      <c r="G220" s="205">
        <v>0</v>
      </c>
      <c r="H220" s="205">
        <v>182383.04093567247</v>
      </c>
      <c r="I220" s="206">
        <v>-1</v>
      </c>
      <c r="J220" s="206"/>
      <c r="K220" s="206"/>
      <c r="L220" s="206"/>
      <c r="M220" s="206"/>
      <c r="N220" s="206"/>
      <c r="O220" s="206">
        <v>-1</v>
      </c>
      <c r="P220" s="206"/>
      <c r="Q220" s="206">
        <v>27</v>
      </c>
      <c r="R220" s="206">
        <v>-1</v>
      </c>
      <c r="S220" s="206"/>
      <c r="T220" s="206"/>
      <c r="U220" s="206"/>
      <c r="V220" s="206"/>
      <c r="W220" s="206">
        <v>30</v>
      </c>
      <c r="X220" s="206"/>
      <c r="Y220" s="206"/>
      <c r="Z220" s="206"/>
      <c r="AA220" s="206"/>
      <c r="AB220" s="206"/>
      <c r="AC220" s="206">
        <v>0</v>
      </c>
      <c r="AD220" s="206">
        <v>23</v>
      </c>
      <c r="AE220" s="206">
        <v>0</v>
      </c>
      <c r="AF220" s="206"/>
      <c r="AG220" s="206"/>
      <c r="AH220" s="2">
        <f t="shared" si="9"/>
        <v>3</v>
      </c>
      <c r="AI220" s="2">
        <f t="shared" si="10"/>
        <v>17</v>
      </c>
      <c r="AJ220" s="2">
        <f t="shared" si="11"/>
        <v>20</v>
      </c>
    </row>
    <row r="221" spans="2:36" x14ac:dyDescent="0.2">
      <c r="B221" s="102"/>
      <c r="C221" s="103">
        <v>218</v>
      </c>
      <c r="D221" s="205">
        <v>1616955.7995726981</v>
      </c>
      <c r="E221" s="205">
        <v>956446.28493095993</v>
      </c>
      <c r="F221" s="205">
        <v>0</v>
      </c>
      <c r="G221" s="205">
        <v>0</v>
      </c>
      <c r="H221" s="205">
        <v>106725.14619883039</v>
      </c>
      <c r="I221" s="206">
        <v>-1</v>
      </c>
      <c r="J221" s="206"/>
      <c r="K221" s="206"/>
      <c r="L221" s="206"/>
      <c r="M221" s="206"/>
      <c r="N221" s="206"/>
      <c r="O221" s="206">
        <v>-1</v>
      </c>
      <c r="P221" s="206"/>
      <c r="Q221" s="206">
        <v>27</v>
      </c>
      <c r="R221" s="206">
        <v>-1</v>
      </c>
      <c r="S221" s="206"/>
      <c r="T221" s="206"/>
      <c r="U221" s="206"/>
      <c r="V221" s="206"/>
      <c r="W221" s="206">
        <v>30</v>
      </c>
      <c r="X221" s="206"/>
      <c r="Y221" s="206"/>
      <c r="Z221" s="206"/>
      <c r="AA221" s="206"/>
      <c r="AB221" s="206"/>
      <c r="AC221" s="206">
        <v>0</v>
      </c>
      <c r="AD221" s="206">
        <v>23</v>
      </c>
      <c r="AE221" s="206">
        <v>29</v>
      </c>
      <c r="AF221" s="206"/>
      <c r="AG221" s="206"/>
      <c r="AH221" s="2">
        <f t="shared" si="9"/>
        <v>3</v>
      </c>
      <c r="AI221" s="2">
        <f t="shared" si="10"/>
        <v>17</v>
      </c>
      <c r="AJ221" s="2">
        <f t="shared" si="11"/>
        <v>20</v>
      </c>
    </row>
    <row r="222" spans="2:36" x14ac:dyDescent="0.2">
      <c r="B222" s="102"/>
      <c r="C222" s="103">
        <v>219</v>
      </c>
      <c r="D222" s="205">
        <v>870290.77609514643</v>
      </c>
      <c r="E222" s="205">
        <v>515009.81568226789</v>
      </c>
      <c r="F222" s="205">
        <v>0</v>
      </c>
      <c r="G222" s="205">
        <v>0</v>
      </c>
      <c r="H222" s="205">
        <v>37280.701754385962</v>
      </c>
      <c r="I222" s="206">
        <v>-1</v>
      </c>
      <c r="J222" s="206"/>
      <c r="K222" s="206"/>
      <c r="L222" s="206"/>
      <c r="M222" s="206"/>
      <c r="N222" s="206"/>
      <c r="O222" s="206">
        <v>-1</v>
      </c>
      <c r="P222" s="206"/>
      <c r="Q222" s="206">
        <v>27</v>
      </c>
      <c r="R222" s="206">
        <v>-1</v>
      </c>
      <c r="S222" s="206"/>
      <c r="T222" s="206"/>
      <c r="U222" s="206"/>
      <c r="V222" s="206"/>
      <c r="W222" s="206">
        <v>30</v>
      </c>
      <c r="X222" s="206"/>
      <c r="Y222" s="206"/>
      <c r="Z222" s="206"/>
      <c r="AA222" s="206"/>
      <c r="AB222" s="206"/>
      <c r="AC222" s="206">
        <v>19</v>
      </c>
      <c r="AD222" s="206">
        <v>23</v>
      </c>
      <c r="AE222" s="206">
        <v>29</v>
      </c>
      <c r="AF222" s="206"/>
      <c r="AG222" s="206"/>
      <c r="AH222" s="2">
        <f t="shared" si="9"/>
        <v>3</v>
      </c>
      <c r="AI222" s="2">
        <f t="shared" si="10"/>
        <v>17</v>
      </c>
      <c r="AJ222" s="2">
        <f t="shared" si="11"/>
        <v>20</v>
      </c>
    </row>
    <row r="223" spans="2:36" x14ac:dyDescent="0.2">
      <c r="B223" s="102"/>
      <c r="C223" s="103">
        <v>220</v>
      </c>
      <c r="D223" s="205">
        <v>882435.21416828898</v>
      </c>
      <c r="E223" s="205">
        <v>522231.78847541614</v>
      </c>
      <c r="F223" s="205">
        <v>0</v>
      </c>
      <c r="G223" s="205">
        <v>0</v>
      </c>
      <c r="H223" s="205">
        <v>37280.701754385962</v>
      </c>
      <c r="I223" s="206">
        <v>-1</v>
      </c>
      <c r="J223" s="206"/>
      <c r="K223" s="206"/>
      <c r="L223" s="206"/>
      <c r="M223" s="206"/>
      <c r="N223" s="206"/>
      <c r="O223" s="206">
        <v>-1</v>
      </c>
      <c r="P223" s="206"/>
      <c r="Q223" s="206">
        <v>27</v>
      </c>
      <c r="R223" s="206">
        <v>-1</v>
      </c>
      <c r="S223" s="206"/>
      <c r="T223" s="206"/>
      <c r="U223" s="206"/>
      <c r="V223" s="206"/>
      <c r="W223" s="206">
        <v>30</v>
      </c>
      <c r="X223" s="206"/>
      <c r="Y223" s="206"/>
      <c r="Z223" s="206"/>
      <c r="AA223" s="206"/>
      <c r="AB223" s="206"/>
      <c r="AC223" s="206">
        <v>19</v>
      </c>
      <c r="AD223" s="206">
        <v>23</v>
      </c>
      <c r="AE223" s="206">
        <v>29</v>
      </c>
      <c r="AF223" s="206"/>
      <c r="AG223" s="206"/>
      <c r="AH223" s="2">
        <f t="shared" si="9"/>
        <v>3</v>
      </c>
      <c r="AI223" s="2">
        <f t="shared" si="10"/>
        <v>17</v>
      </c>
      <c r="AJ223" s="2">
        <f t="shared" si="11"/>
        <v>20</v>
      </c>
    </row>
    <row r="224" spans="2:36" x14ac:dyDescent="0.2">
      <c r="B224" s="102"/>
      <c r="C224" s="103">
        <v>221</v>
      </c>
      <c r="D224" s="205">
        <v>0</v>
      </c>
      <c r="E224" s="205">
        <v>0</v>
      </c>
      <c r="F224" s="205">
        <v>0</v>
      </c>
      <c r="G224" s="205">
        <v>0</v>
      </c>
      <c r="H224" s="205">
        <v>37280.701754385962</v>
      </c>
      <c r="I224" s="206">
        <v>-1</v>
      </c>
      <c r="J224" s="206"/>
      <c r="K224" s="206"/>
      <c r="L224" s="206"/>
      <c r="M224" s="206"/>
      <c r="N224" s="206"/>
      <c r="O224" s="206">
        <v>-1</v>
      </c>
      <c r="P224" s="206"/>
      <c r="Q224" s="206">
        <v>0</v>
      </c>
      <c r="R224" s="206">
        <v>-1</v>
      </c>
      <c r="S224" s="206"/>
      <c r="T224" s="206"/>
      <c r="U224" s="206"/>
      <c r="V224" s="206"/>
      <c r="W224" s="206">
        <v>30</v>
      </c>
      <c r="X224" s="206"/>
      <c r="Y224" s="206"/>
      <c r="Z224" s="206"/>
      <c r="AA224" s="206"/>
      <c r="AB224" s="206"/>
      <c r="AC224" s="206">
        <v>19</v>
      </c>
      <c r="AD224" s="206">
        <v>23</v>
      </c>
      <c r="AE224" s="206">
        <v>29</v>
      </c>
      <c r="AF224" s="206"/>
      <c r="AG224" s="206"/>
      <c r="AH224" s="2">
        <f t="shared" si="9"/>
        <v>3</v>
      </c>
      <c r="AI224" s="2">
        <f t="shared" si="10"/>
        <v>17</v>
      </c>
      <c r="AJ224" s="2">
        <f t="shared" si="11"/>
        <v>20</v>
      </c>
    </row>
    <row r="225" spans="2:36" x14ac:dyDescent="0.2">
      <c r="B225" s="102"/>
      <c r="C225" s="103">
        <v>222</v>
      </c>
      <c r="D225" s="205">
        <v>739355.76097249845</v>
      </c>
      <c r="E225" s="205">
        <v>437621.38396089344</v>
      </c>
      <c r="F225" s="205">
        <v>0</v>
      </c>
      <c r="G225" s="205">
        <v>0</v>
      </c>
      <c r="H225" s="205">
        <v>65058.479532163736</v>
      </c>
      <c r="I225" s="206">
        <v>-1</v>
      </c>
      <c r="J225" s="206"/>
      <c r="K225" s="206"/>
      <c r="L225" s="206"/>
      <c r="M225" s="206"/>
      <c r="N225" s="206"/>
      <c r="O225" s="206">
        <v>-1</v>
      </c>
      <c r="P225" s="206"/>
      <c r="Q225" s="206">
        <v>28</v>
      </c>
      <c r="R225" s="206">
        <v>-1</v>
      </c>
      <c r="S225" s="206"/>
      <c r="T225" s="206"/>
      <c r="U225" s="206"/>
      <c r="V225" s="206"/>
      <c r="W225" s="206">
        <v>0</v>
      </c>
      <c r="X225" s="206"/>
      <c r="Y225" s="206"/>
      <c r="Z225" s="206"/>
      <c r="AA225" s="206"/>
      <c r="AB225" s="206"/>
      <c r="AC225" s="206">
        <v>19</v>
      </c>
      <c r="AD225" s="206">
        <v>23</v>
      </c>
      <c r="AE225" s="206">
        <v>29</v>
      </c>
      <c r="AF225" s="206"/>
      <c r="AG225" s="206"/>
      <c r="AH225" s="2">
        <f t="shared" si="9"/>
        <v>3</v>
      </c>
      <c r="AI225" s="2">
        <f t="shared" si="10"/>
        <v>17</v>
      </c>
      <c r="AJ225" s="2">
        <f t="shared" si="11"/>
        <v>20</v>
      </c>
    </row>
    <row r="226" spans="2:36" x14ac:dyDescent="0.2">
      <c r="B226" s="102"/>
      <c r="C226" s="103">
        <v>223</v>
      </c>
      <c r="D226" s="205">
        <v>0</v>
      </c>
      <c r="E226" s="205">
        <v>0</v>
      </c>
      <c r="F226" s="205">
        <v>0</v>
      </c>
      <c r="G226" s="205">
        <v>0</v>
      </c>
      <c r="H226" s="205">
        <v>65058.479532163736</v>
      </c>
      <c r="I226" s="206">
        <v>-1</v>
      </c>
      <c r="J226" s="206"/>
      <c r="K226" s="206"/>
      <c r="L226" s="206"/>
      <c r="M226" s="206"/>
      <c r="N226" s="206"/>
      <c r="O226" s="206">
        <v>-1</v>
      </c>
      <c r="P226" s="206"/>
      <c r="Q226" s="206">
        <v>0</v>
      </c>
      <c r="R226" s="206">
        <v>-1</v>
      </c>
      <c r="S226" s="206"/>
      <c r="T226" s="206"/>
      <c r="U226" s="206"/>
      <c r="V226" s="206"/>
      <c r="W226" s="206">
        <v>0</v>
      </c>
      <c r="X226" s="206"/>
      <c r="Y226" s="206"/>
      <c r="Z226" s="206"/>
      <c r="AA226" s="206"/>
      <c r="AB226" s="206"/>
      <c r="AC226" s="206">
        <v>19</v>
      </c>
      <c r="AD226" s="206">
        <v>23</v>
      </c>
      <c r="AE226" s="206">
        <v>29</v>
      </c>
      <c r="AF226" s="206"/>
      <c r="AG226" s="206"/>
      <c r="AH226" s="2">
        <f t="shared" si="9"/>
        <v>3</v>
      </c>
      <c r="AI226" s="2">
        <f t="shared" si="10"/>
        <v>17</v>
      </c>
      <c r="AJ226" s="2">
        <f t="shared" si="11"/>
        <v>20</v>
      </c>
    </row>
    <row r="227" spans="2:36" x14ac:dyDescent="0.2">
      <c r="B227" s="102"/>
      <c r="C227" s="103">
        <v>224</v>
      </c>
      <c r="D227" s="205">
        <v>0</v>
      </c>
      <c r="E227" s="205">
        <v>0</v>
      </c>
      <c r="F227" s="205">
        <v>0</v>
      </c>
      <c r="G227" s="205">
        <v>0</v>
      </c>
      <c r="H227" s="205">
        <v>65058.479532163736</v>
      </c>
      <c r="I227" s="206">
        <v>-1</v>
      </c>
      <c r="J227" s="206"/>
      <c r="K227" s="206"/>
      <c r="L227" s="206"/>
      <c r="M227" s="206"/>
      <c r="N227" s="206"/>
      <c r="O227" s="206">
        <v>-1</v>
      </c>
      <c r="P227" s="206"/>
      <c r="Q227" s="206">
        <v>0</v>
      </c>
      <c r="R227" s="206">
        <v>-1</v>
      </c>
      <c r="S227" s="206"/>
      <c r="T227" s="206"/>
      <c r="U227" s="206"/>
      <c r="V227" s="206"/>
      <c r="W227" s="206">
        <v>0</v>
      </c>
      <c r="X227" s="206"/>
      <c r="Y227" s="206"/>
      <c r="Z227" s="206"/>
      <c r="AA227" s="206"/>
      <c r="AB227" s="206"/>
      <c r="AC227" s="206">
        <v>19</v>
      </c>
      <c r="AD227" s="206">
        <v>23</v>
      </c>
      <c r="AE227" s="206">
        <v>29</v>
      </c>
      <c r="AF227" s="206"/>
      <c r="AG227" s="206"/>
      <c r="AH227" s="2">
        <f t="shared" si="9"/>
        <v>3</v>
      </c>
      <c r="AI227" s="2">
        <f t="shared" si="10"/>
        <v>17</v>
      </c>
      <c r="AJ227" s="2">
        <f t="shared" si="11"/>
        <v>20</v>
      </c>
    </row>
    <row r="228" spans="2:36" x14ac:dyDescent="0.2">
      <c r="B228" s="102"/>
      <c r="C228" s="103">
        <v>225</v>
      </c>
      <c r="D228" s="205">
        <v>4883663.0288816793</v>
      </c>
      <c r="E228" s="205">
        <v>2901634.5192441177</v>
      </c>
      <c r="F228" s="205">
        <v>0</v>
      </c>
      <c r="G228" s="205">
        <v>0</v>
      </c>
      <c r="H228" s="205">
        <v>182383.04093567247</v>
      </c>
      <c r="I228" s="206">
        <v>-1</v>
      </c>
      <c r="J228" s="206"/>
      <c r="K228" s="206"/>
      <c r="L228" s="206"/>
      <c r="M228" s="206"/>
      <c r="N228" s="206"/>
      <c r="O228" s="206">
        <v>-1</v>
      </c>
      <c r="P228" s="206"/>
      <c r="Q228" s="206">
        <v>29</v>
      </c>
      <c r="R228" s="206">
        <v>-1</v>
      </c>
      <c r="S228" s="206"/>
      <c r="T228" s="206"/>
      <c r="U228" s="206"/>
      <c r="V228" s="206"/>
      <c r="W228" s="206">
        <v>31</v>
      </c>
      <c r="X228" s="206"/>
      <c r="Y228" s="206"/>
      <c r="Z228" s="206"/>
      <c r="AA228" s="206"/>
      <c r="AB228" s="206"/>
      <c r="AC228" s="206">
        <v>19</v>
      </c>
      <c r="AD228" s="206">
        <v>23</v>
      </c>
      <c r="AE228" s="206">
        <v>0</v>
      </c>
      <c r="AF228" s="206"/>
      <c r="AG228" s="206"/>
      <c r="AH228" s="2">
        <f t="shared" si="9"/>
        <v>3</v>
      </c>
      <c r="AI228" s="2">
        <f t="shared" si="10"/>
        <v>17</v>
      </c>
      <c r="AJ228" s="2">
        <f t="shared" si="11"/>
        <v>20</v>
      </c>
    </row>
    <row r="229" spans="2:36" x14ac:dyDescent="0.2">
      <c r="B229" s="102"/>
      <c r="C229" s="103">
        <v>226</v>
      </c>
      <c r="D229" s="205">
        <v>4798444.747840791</v>
      </c>
      <c r="E229" s="205">
        <v>2855332.1998238051</v>
      </c>
      <c r="F229" s="205">
        <v>0</v>
      </c>
      <c r="G229" s="205">
        <v>0</v>
      </c>
      <c r="H229" s="205">
        <v>182383.04093567247</v>
      </c>
      <c r="I229" s="206">
        <v>-1</v>
      </c>
      <c r="J229" s="206"/>
      <c r="K229" s="206"/>
      <c r="L229" s="206"/>
      <c r="M229" s="206"/>
      <c r="N229" s="206"/>
      <c r="O229" s="206">
        <v>-1</v>
      </c>
      <c r="P229" s="206"/>
      <c r="Q229" s="206">
        <v>29</v>
      </c>
      <c r="R229" s="206">
        <v>-1</v>
      </c>
      <c r="S229" s="206"/>
      <c r="T229" s="206"/>
      <c r="U229" s="206"/>
      <c r="V229" s="206"/>
      <c r="W229" s="206">
        <v>31</v>
      </c>
      <c r="X229" s="206"/>
      <c r="Y229" s="206"/>
      <c r="Z229" s="206"/>
      <c r="AA229" s="206"/>
      <c r="AB229" s="206"/>
      <c r="AC229" s="206">
        <v>19</v>
      </c>
      <c r="AD229" s="206">
        <v>23</v>
      </c>
      <c r="AE229" s="206">
        <v>0</v>
      </c>
      <c r="AF229" s="206"/>
      <c r="AG229" s="206"/>
      <c r="AH229" s="2">
        <f t="shared" si="9"/>
        <v>3</v>
      </c>
      <c r="AI229" s="2">
        <f t="shared" si="10"/>
        <v>17</v>
      </c>
      <c r="AJ229" s="2">
        <f t="shared" si="11"/>
        <v>20</v>
      </c>
    </row>
    <row r="230" spans="2:36" x14ac:dyDescent="0.2">
      <c r="B230" s="102"/>
      <c r="C230" s="103">
        <v>227</v>
      </c>
      <c r="D230" s="205">
        <v>3598833.560880593</v>
      </c>
      <c r="E230" s="205">
        <v>2141499.1498678541</v>
      </c>
      <c r="F230" s="205">
        <v>0</v>
      </c>
      <c r="G230" s="205">
        <v>0</v>
      </c>
      <c r="H230" s="205">
        <v>182383.04093567247</v>
      </c>
      <c r="I230" s="206">
        <v>-1</v>
      </c>
      <c r="J230" s="206"/>
      <c r="K230" s="206"/>
      <c r="L230" s="206"/>
      <c r="M230" s="206"/>
      <c r="N230" s="206"/>
      <c r="O230" s="206">
        <v>-1</v>
      </c>
      <c r="P230" s="206"/>
      <c r="Q230" s="206">
        <v>29</v>
      </c>
      <c r="R230" s="206">
        <v>-1</v>
      </c>
      <c r="S230" s="206"/>
      <c r="T230" s="206"/>
      <c r="U230" s="206"/>
      <c r="V230" s="206"/>
      <c r="W230" s="206">
        <v>0</v>
      </c>
      <c r="X230" s="206"/>
      <c r="Y230" s="206"/>
      <c r="Z230" s="206"/>
      <c r="AA230" s="206"/>
      <c r="AB230" s="206"/>
      <c r="AC230" s="206">
        <v>19</v>
      </c>
      <c r="AD230" s="206">
        <v>23</v>
      </c>
      <c r="AE230" s="206">
        <v>0</v>
      </c>
      <c r="AF230" s="206"/>
      <c r="AG230" s="206"/>
      <c r="AH230" s="2">
        <f t="shared" si="9"/>
        <v>3</v>
      </c>
      <c r="AI230" s="2">
        <f t="shared" si="10"/>
        <v>17</v>
      </c>
      <c r="AJ230" s="2">
        <f t="shared" si="11"/>
        <v>20</v>
      </c>
    </row>
    <row r="231" spans="2:36" x14ac:dyDescent="0.2">
      <c r="B231" s="102"/>
      <c r="C231" s="103">
        <v>228</v>
      </c>
      <c r="D231" s="205">
        <v>2399222.3739203955</v>
      </c>
      <c r="E231" s="205">
        <v>1427666.0999119026</v>
      </c>
      <c r="F231" s="205">
        <v>6859464.2346431613</v>
      </c>
      <c r="G231" s="205">
        <v>0</v>
      </c>
      <c r="H231" s="205">
        <v>120614.0350877193</v>
      </c>
      <c r="I231" s="206">
        <v>-1</v>
      </c>
      <c r="J231" s="206"/>
      <c r="K231" s="206"/>
      <c r="L231" s="206"/>
      <c r="M231" s="206"/>
      <c r="N231" s="206"/>
      <c r="O231" s="206"/>
      <c r="P231" s="206"/>
      <c r="Q231" s="206">
        <v>29</v>
      </c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>
        <v>19</v>
      </c>
      <c r="AD231" s="206">
        <v>0</v>
      </c>
      <c r="AE231" s="206">
        <v>30</v>
      </c>
      <c r="AF231" s="206"/>
      <c r="AG231" s="206"/>
      <c r="AH231" s="2">
        <f t="shared" si="9"/>
        <v>1</v>
      </c>
      <c r="AI231" s="2">
        <f t="shared" si="10"/>
        <v>20</v>
      </c>
      <c r="AJ231" s="2">
        <f t="shared" si="11"/>
        <v>21</v>
      </c>
    </row>
    <row r="232" spans="2:36" x14ac:dyDescent="0.2">
      <c r="B232" s="102"/>
      <c r="C232" s="103">
        <v>229</v>
      </c>
      <c r="D232" s="205">
        <v>1603517.8188781552</v>
      </c>
      <c r="E232" s="205">
        <v>954091.23718771746</v>
      </c>
      <c r="F232" s="205">
        <v>0</v>
      </c>
      <c r="G232" s="205">
        <v>0</v>
      </c>
      <c r="H232" s="205">
        <v>120614.0350877193</v>
      </c>
      <c r="I232" s="206">
        <v>-1</v>
      </c>
      <c r="J232" s="206"/>
      <c r="K232" s="206"/>
      <c r="L232" s="206"/>
      <c r="M232" s="206"/>
      <c r="N232" s="206"/>
      <c r="O232" s="206"/>
      <c r="P232" s="206"/>
      <c r="Q232" s="206">
        <v>29</v>
      </c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>
        <v>19</v>
      </c>
      <c r="AD232" s="206">
        <v>0</v>
      </c>
      <c r="AE232" s="206">
        <v>30</v>
      </c>
      <c r="AF232" s="206"/>
      <c r="AG232" s="206"/>
      <c r="AH232" s="2">
        <f t="shared" si="9"/>
        <v>1</v>
      </c>
      <c r="AI232" s="2">
        <f t="shared" si="10"/>
        <v>20</v>
      </c>
      <c r="AJ232" s="2">
        <f t="shared" si="11"/>
        <v>21</v>
      </c>
    </row>
    <row r="233" spans="2:36" x14ac:dyDescent="0.2">
      <c r="B233" s="102"/>
      <c r="C233" s="103">
        <v>230</v>
      </c>
      <c r="D233" s="205">
        <v>0</v>
      </c>
      <c r="E233" s="205">
        <v>0</v>
      </c>
      <c r="F233" s="205">
        <v>0</v>
      </c>
      <c r="G233" s="205">
        <v>0</v>
      </c>
      <c r="H233" s="205">
        <v>0</v>
      </c>
      <c r="I233" s="206">
        <v>-1</v>
      </c>
      <c r="J233" s="206"/>
      <c r="K233" s="206"/>
      <c r="L233" s="206"/>
      <c r="M233" s="206"/>
      <c r="N233" s="206"/>
      <c r="O233" s="206"/>
      <c r="P233" s="206"/>
      <c r="Q233" s="206">
        <v>29</v>
      </c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>
        <v>19</v>
      </c>
      <c r="AD233" s="206">
        <v>24</v>
      </c>
      <c r="AE233" s="206">
        <v>30</v>
      </c>
      <c r="AF233" s="206"/>
      <c r="AG233" s="206"/>
      <c r="AH233" s="2">
        <f t="shared" si="9"/>
        <v>1</v>
      </c>
      <c r="AI233" s="2">
        <f t="shared" si="10"/>
        <v>20</v>
      </c>
      <c r="AJ233" s="2">
        <f t="shared" si="11"/>
        <v>21</v>
      </c>
    </row>
    <row r="234" spans="2:36" x14ac:dyDescent="0.2">
      <c r="B234" s="102"/>
      <c r="C234" s="103">
        <v>231</v>
      </c>
      <c r="D234" s="205">
        <v>812404.69701170432</v>
      </c>
      <c r="E234" s="205">
        <v>483261.31273731991</v>
      </c>
      <c r="F234" s="205">
        <v>0</v>
      </c>
      <c r="G234" s="205">
        <v>0</v>
      </c>
      <c r="H234" s="205">
        <v>154605.26315789472</v>
      </c>
      <c r="I234" s="206">
        <v>-1</v>
      </c>
      <c r="J234" s="206"/>
      <c r="K234" s="206"/>
      <c r="L234" s="206"/>
      <c r="M234" s="206"/>
      <c r="N234" s="206"/>
      <c r="O234" s="206"/>
      <c r="P234" s="206"/>
      <c r="Q234" s="206">
        <v>0</v>
      </c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>
        <v>0</v>
      </c>
      <c r="AD234" s="206">
        <v>24</v>
      </c>
      <c r="AE234" s="206">
        <v>0</v>
      </c>
      <c r="AF234" s="206"/>
      <c r="AG234" s="206"/>
      <c r="AH234" s="2">
        <f t="shared" si="9"/>
        <v>1</v>
      </c>
      <c r="AI234" s="2">
        <f t="shared" si="10"/>
        <v>20</v>
      </c>
      <c r="AJ234" s="2">
        <f t="shared" si="11"/>
        <v>21</v>
      </c>
    </row>
    <row r="235" spans="2:36" x14ac:dyDescent="0.2">
      <c r="B235" s="102"/>
      <c r="C235" s="103">
        <v>232</v>
      </c>
      <c r="D235" s="205">
        <v>812404.69701170432</v>
      </c>
      <c r="E235" s="205">
        <v>483261.31273731991</v>
      </c>
      <c r="F235" s="205">
        <v>0</v>
      </c>
      <c r="G235" s="205">
        <v>0</v>
      </c>
      <c r="H235" s="205">
        <v>154605.26315789472</v>
      </c>
      <c r="I235" s="206">
        <v>-1</v>
      </c>
      <c r="J235" s="206"/>
      <c r="K235" s="206"/>
      <c r="L235" s="206"/>
      <c r="M235" s="206"/>
      <c r="N235" s="206"/>
      <c r="O235" s="206"/>
      <c r="P235" s="206"/>
      <c r="Q235" s="206">
        <v>0</v>
      </c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>
        <v>0</v>
      </c>
      <c r="AD235" s="206">
        <v>24</v>
      </c>
      <c r="AE235" s="206">
        <v>0</v>
      </c>
      <c r="AF235" s="206"/>
      <c r="AG235" s="206"/>
      <c r="AH235" s="2">
        <f t="shared" si="9"/>
        <v>1</v>
      </c>
      <c r="AI235" s="2">
        <f t="shared" si="10"/>
        <v>20</v>
      </c>
      <c r="AJ235" s="2">
        <f t="shared" si="11"/>
        <v>21</v>
      </c>
    </row>
    <row r="236" spans="2:36" x14ac:dyDescent="0.2">
      <c r="B236" s="102"/>
      <c r="C236" s="103">
        <v>233</v>
      </c>
      <c r="D236" s="205">
        <v>959532.49661266315</v>
      </c>
      <c r="E236" s="205">
        <v>571170.37193272728</v>
      </c>
      <c r="F236" s="205">
        <v>0</v>
      </c>
      <c r="G236" s="205">
        <v>0</v>
      </c>
      <c r="H236" s="205">
        <v>78947.368421052626</v>
      </c>
      <c r="I236" s="206">
        <v>-1</v>
      </c>
      <c r="J236" s="206"/>
      <c r="K236" s="206"/>
      <c r="L236" s="206"/>
      <c r="M236" s="206"/>
      <c r="N236" s="206"/>
      <c r="O236" s="206"/>
      <c r="P236" s="206"/>
      <c r="Q236" s="206">
        <v>30</v>
      </c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>
        <v>0</v>
      </c>
      <c r="AD236" s="206">
        <v>24</v>
      </c>
      <c r="AE236" s="206">
        <v>31</v>
      </c>
      <c r="AF236" s="206"/>
      <c r="AG236" s="206"/>
      <c r="AH236" s="2">
        <f t="shared" si="9"/>
        <v>1</v>
      </c>
      <c r="AI236" s="2">
        <f t="shared" si="10"/>
        <v>20</v>
      </c>
      <c r="AJ236" s="2">
        <f t="shared" si="11"/>
        <v>21</v>
      </c>
    </row>
    <row r="237" spans="2:36" x14ac:dyDescent="0.2">
      <c r="B237" s="102"/>
      <c r="C237" s="103">
        <v>234</v>
      </c>
      <c r="D237" s="205">
        <v>0</v>
      </c>
      <c r="E237" s="205">
        <v>0</v>
      </c>
      <c r="F237" s="205">
        <v>0</v>
      </c>
      <c r="G237" s="205">
        <v>0</v>
      </c>
      <c r="H237" s="205">
        <v>0</v>
      </c>
      <c r="I237" s="206">
        <v>-1</v>
      </c>
      <c r="J237" s="206"/>
      <c r="K237" s="206"/>
      <c r="L237" s="206"/>
      <c r="M237" s="206"/>
      <c r="N237" s="206"/>
      <c r="O237" s="206"/>
      <c r="P237" s="206"/>
      <c r="Q237" s="206">
        <v>30</v>
      </c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>
        <v>20</v>
      </c>
      <c r="AD237" s="206">
        <v>24</v>
      </c>
      <c r="AE237" s="206">
        <v>31</v>
      </c>
      <c r="AF237" s="206"/>
      <c r="AG237" s="206"/>
      <c r="AH237" s="2">
        <f t="shared" si="9"/>
        <v>1</v>
      </c>
      <c r="AI237" s="2">
        <f t="shared" si="10"/>
        <v>20</v>
      </c>
      <c r="AJ237" s="2">
        <f t="shared" si="11"/>
        <v>21</v>
      </c>
    </row>
    <row r="238" spans="2:36" x14ac:dyDescent="0.2">
      <c r="B238" s="102"/>
      <c r="C238" s="103">
        <v>235</v>
      </c>
      <c r="D238" s="205">
        <v>0</v>
      </c>
      <c r="E238" s="205">
        <v>0</v>
      </c>
      <c r="F238" s="205">
        <v>0</v>
      </c>
      <c r="G238" s="205">
        <v>0</v>
      </c>
      <c r="H238" s="205">
        <v>0</v>
      </c>
      <c r="I238" s="206">
        <v>-1</v>
      </c>
      <c r="J238" s="206"/>
      <c r="K238" s="206"/>
      <c r="L238" s="206"/>
      <c r="M238" s="206"/>
      <c r="N238" s="206"/>
      <c r="O238" s="206"/>
      <c r="P238" s="206"/>
      <c r="Q238" s="206">
        <v>30</v>
      </c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>
        <v>20</v>
      </c>
      <c r="AD238" s="206">
        <v>24</v>
      </c>
      <c r="AE238" s="206">
        <v>31</v>
      </c>
      <c r="AF238" s="206"/>
      <c r="AG238" s="206"/>
      <c r="AH238" s="2">
        <f t="shared" si="9"/>
        <v>1</v>
      </c>
      <c r="AI238" s="2">
        <f t="shared" si="10"/>
        <v>20</v>
      </c>
      <c r="AJ238" s="2">
        <f t="shared" si="11"/>
        <v>21</v>
      </c>
    </row>
    <row r="239" spans="2:36" x14ac:dyDescent="0.2">
      <c r="B239" s="102"/>
      <c r="C239" s="103">
        <v>236</v>
      </c>
      <c r="D239" s="205">
        <v>2389929.3135166131</v>
      </c>
      <c r="E239" s="205">
        <v>1422073.2729875008</v>
      </c>
      <c r="F239" s="205">
        <v>0</v>
      </c>
      <c r="G239" s="205">
        <v>0</v>
      </c>
      <c r="H239" s="205">
        <v>120614.0350877193</v>
      </c>
      <c r="I239" s="206">
        <v>-1</v>
      </c>
      <c r="J239" s="206"/>
      <c r="K239" s="206"/>
      <c r="L239" s="206"/>
      <c r="M239" s="206"/>
      <c r="N239" s="206"/>
      <c r="O239" s="206"/>
      <c r="P239" s="206"/>
      <c r="Q239" s="206">
        <v>30</v>
      </c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>
        <v>20</v>
      </c>
      <c r="AD239" s="206">
        <v>0</v>
      </c>
      <c r="AE239" s="206">
        <v>31</v>
      </c>
      <c r="AF239" s="206"/>
      <c r="AG239" s="206"/>
      <c r="AH239" s="2">
        <f t="shared" si="9"/>
        <v>1</v>
      </c>
      <c r="AI239" s="2">
        <f t="shared" si="10"/>
        <v>20</v>
      </c>
      <c r="AJ239" s="2">
        <f t="shared" si="11"/>
        <v>21</v>
      </c>
    </row>
    <row r="240" spans="2:36" x14ac:dyDescent="0.2">
      <c r="B240" s="102"/>
      <c r="C240" s="103">
        <v>237</v>
      </c>
      <c r="D240" s="205">
        <v>1194964.6567583065</v>
      </c>
      <c r="E240" s="205">
        <v>711036.63649375038</v>
      </c>
      <c r="F240" s="205">
        <v>0</v>
      </c>
      <c r="G240" s="205">
        <v>0</v>
      </c>
      <c r="H240" s="205">
        <v>120614.0350877193</v>
      </c>
      <c r="I240" s="206">
        <v>-1</v>
      </c>
      <c r="J240" s="206"/>
      <c r="K240" s="206"/>
      <c r="L240" s="206"/>
      <c r="M240" s="206"/>
      <c r="N240" s="206"/>
      <c r="O240" s="206"/>
      <c r="P240" s="206"/>
      <c r="Q240" s="206">
        <v>0</v>
      </c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>
        <v>20</v>
      </c>
      <c r="AD240" s="206">
        <v>0</v>
      </c>
      <c r="AE240" s="206">
        <v>31</v>
      </c>
      <c r="AF240" s="206"/>
      <c r="AG240" s="206"/>
      <c r="AH240" s="2">
        <f t="shared" si="9"/>
        <v>1</v>
      </c>
      <c r="AI240" s="2">
        <f t="shared" si="10"/>
        <v>20</v>
      </c>
      <c r="AJ240" s="2">
        <f t="shared" si="11"/>
        <v>21</v>
      </c>
    </row>
    <row r="241" spans="2:36" x14ac:dyDescent="0.2">
      <c r="B241" s="102"/>
      <c r="C241" s="103">
        <v>238</v>
      </c>
      <c r="D241" s="205">
        <v>1194964.6567583065</v>
      </c>
      <c r="E241" s="205">
        <v>711036.63649375038</v>
      </c>
      <c r="F241" s="205">
        <v>0</v>
      </c>
      <c r="G241" s="205">
        <v>0</v>
      </c>
      <c r="H241" s="205">
        <v>120614.0350877193</v>
      </c>
      <c r="I241" s="206">
        <v>-1</v>
      </c>
      <c r="J241" s="206"/>
      <c r="K241" s="206"/>
      <c r="L241" s="206"/>
      <c r="M241" s="206"/>
      <c r="N241" s="206"/>
      <c r="O241" s="206"/>
      <c r="P241" s="206"/>
      <c r="Q241" s="206">
        <v>0</v>
      </c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>
        <v>20</v>
      </c>
      <c r="AD241" s="206">
        <v>0</v>
      </c>
      <c r="AE241" s="206">
        <v>31</v>
      </c>
      <c r="AF241" s="206"/>
      <c r="AG241" s="206"/>
      <c r="AH241" s="2">
        <f t="shared" si="9"/>
        <v>1</v>
      </c>
      <c r="AI241" s="2">
        <f t="shared" si="10"/>
        <v>20</v>
      </c>
      <c r="AJ241" s="2">
        <f t="shared" si="11"/>
        <v>21</v>
      </c>
    </row>
    <row r="242" spans="2:36" x14ac:dyDescent="0.2">
      <c r="B242" s="102"/>
      <c r="C242" s="103">
        <v>239</v>
      </c>
      <c r="D242" s="205">
        <v>2126967.9596042084</v>
      </c>
      <c r="E242" s="205">
        <v>1265497.4213515394</v>
      </c>
      <c r="F242" s="205">
        <v>0</v>
      </c>
      <c r="G242" s="205">
        <v>0</v>
      </c>
      <c r="H242" s="205">
        <v>154605.26315789472</v>
      </c>
      <c r="I242" s="206">
        <v>-1</v>
      </c>
      <c r="J242" s="206"/>
      <c r="K242" s="206"/>
      <c r="L242" s="206"/>
      <c r="M242" s="206"/>
      <c r="N242" s="206"/>
      <c r="O242" s="206"/>
      <c r="P242" s="206"/>
      <c r="Q242" s="206">
        <v>0</v>
      </c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>
        <v>20</v>
      </c>
      <c r="AD242" s="206">
        <v>25</v>
      </c>
      <c r="AE242" s="206">
        <v>0</v>
      </c>
      <c r="AF242" s="206"/>
      <c r="AG242" s="206"/>
      <c r="AH242" s="2">
        <f t="shared" si="9"/>
        <v>1</v>
      </c>
      <c r="AI242" s="2">
        <f t="shared" si="10"/>
        <v>20</v>
      </c>
      <c r="AJ242" s="2">
        <f t="shared" si="11"/>
        <v>21</v>
      </c>
    </row>
    <row r="243" spans="2:36" x14ac:dyDescent="0.2">
      <c r="B243" s="102"/>
      <c r="C243" s="103">
        <v>240</v>
      </c>
      <c r="D243" s="205"/>
      <c r="E243" s="205"/>
      <c r="F243" s="205"/>
      <c r="G243" s="205"/>
      <c r="H243" s="205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  <c r="AD243" s="206"/>
      <c r="AE243" s="206"/>
      <c r="AF243" s="206"/>
      <c r="AG243" s="206"/>
      <c r="AH243" s="2">
        <f t="shared" si="9"/>
        <v>0</v>
      </c>
      <c r="AI243" s="2">
        <f t="shared" si="10"/>
        <v>25</v>
      </c>
      <c r="AJ243" s="2">
        <f t="shared" si="11"/>
        <v>25</v>
      </c>
    </row>
    <row r="244" spans="2:36" x14ac:dyDescent="0.2">
      <c r="B244" s="102"/>
      <c r="C244" s="103">
        <v>241</v>
      </c>
      <c r="D244" s="205"/>
      <c r="E244" s="205"/>
      <c r="F244" s="205"/>
      <c r="G244" s="205"/>
      <c r="H244" s="205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  <c r="AD244" s="206"/>
      <c r="AE244" s="206"/>
      <c r="AF244" s="206"/>
      <c r="AG244" s="206"/>
      <c r="AH244" s="2">
        <f t="shared" si="9"/>
        <v>0</v>
      </c>
      <c r="AI244" s="2">
        <f t="shared" si="10"/>
        <v>25</v>
      </c>
      <c r="AJ244" s="2">
        <f t="shared" si="11"/>
        <v>25</v>
      </c>
    </row>
    <row r="245" spans="2:36" x14ac:dyDescent="0.2">
      <c r="B245" s="102"/>
      <c r="C245" s="103">
        <v>242</v>
      </c>
      <c r="D245" s="205"/>
      <c r="E245" s="205"/>
      <c r="F245" s="205"/>
      <c r="G245" s="205"/>
      <c r="H245" s="205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  <c r="AD245" s="206"/>
      <c r="AE245" s="206"/>
      <c r="AF245" s="206"/>
      <c r="AG245" s="206"/>
      <c r="AH245" s="2">
        <f t="shared" si="9"/>
        <v>0</v>
      </c>
      <c r="AI245" s="2">
        <f t="shared" si="10"/>
        <v>25</v>
      </c>
      <c r="AJ245" s="2">
        <f t="shared" si="11"/>
        <v>25</v>
      </c>
    </row>
    <row r="246" spans="2:36" x14ac:dyDescent="0.2">
      <c r="B246" s="102"/>
      <c r="C246" s="103">
        <v>243</v>
      </c>
      <c r="D246" s="205"/>
      <c r="E246" s="205"/>
      <c r="F246" s="205"/>
      <c r="G246" s="205"/>
      <c r="H246" s="205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  <c r="AD246" s="206"/>
      <c r="AE246" s="206"/>
      <c r="AF246" s="206"/>
      <c r="AG246" s="206"/>
      <c r="AH246" s="2">
        <f t="shared" si="9"/>
        <v>0</v>
      </c>
      <c r="AI246" s="2">
        <f t="shared" si="10"/>
        <v>25</v>
      </c>
      <c r="AJ246" s="2">
        <f t="shared" si="11"/>
        <v>25</v>
      </c>
    </row>
    <row r="247" spans="2:36" x14ac:dyDescent="0.2">
      <c r="B247" s="102"/>
      <c r="C247" s="103">
        <v>244</v>
      </c>
      <c r="D247" s="205"/>
      <c r="E247" s="205"/>
      <c r="F247" s="205"/>
      <c r="G247" s="205"/>
      <c r="H247" s="205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  <c r="AD247" s="206"/>
      <c r="AE247" s="206"/>
      <c r="AF247" s="206"/>
      <c r="AG247" s="206"/>
      <c r="AH247" s="2">
        <f t="shared" si="9"/>
        <v>0</v>
      </c>
      <c r="AI247" s="2">
        <f t="shared" si="10"/>
        <v>25</v>
      </c>
      <c r="AJ247" s="2">
        <f t="shared" si="11"/>
        <v>25</v>
      </c>
    </row>
    <row r="248" spans="2:36" x14ac:dyDescent="0.2">
      <c r="B248" s="102"/>
      <c r="C248" s="103">
        <v>245</v>
      </c>
      <c r="D248" s="205"/>
      <c r="E248" s="205"/>
      <c r="F248" s="205"/>
      <c r="G248" s="205"/>
      <c r="H248" s="205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  <c r="AD248" s="206"/>
      <c r="AE248" s="206"/>
      <c r="AF248" s="206"/>
      <c r="AG248" s="206"/>
      <c r="AH248" s="2">
        <f t="shared" si="9"/>
        <v>0</v>
      </c>
      <c r="AI248" s="2">
        <f t="shared" si="10"/>
        <v>25</v>
      </c>
      <c r="AJ248" s="2">
        <f t="shared" si="11"/>
        <v>25</v>
      </c>
    </row>
    <row r="249" spans="2:36" x14ac:dyDescent="0.2">
      <c r="B249" s="102"/>
      <c r="C249" s="103">
        <v>246</v>
      </c>
      <c r="D249" s="205"/>
      <c r="E249" s="205"/>
      <c r="F249" s="205"/>
      <c r="G249" s="205"/>
      <c r="H249" s="205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  <c r="AD249" s="206"/>
      <c r="AE249" s="206"/>
      <c r="AF249" s="206"/>
      <c r="AG249" s="206"/>
      <c r="AH249" s="2">
        <f t="shared" si="9"/>
        <v>0</v>
      </c>
      <c r="AI249" s="2">
        <f t="shared" si="10"/>
        <v>25</v>
      </c>
      <c r="AJ249" s="2">
        <f t="shared" si="11"/>
        <v>25</v>
      </c>
    </row>
    <row r="250" spans="2:36" x14ac:dyDescent="0.2">
      <c r="B250" s="102"/>
      <c r="C250" s="103">
        <v>247</v>
      </c>
      <c r="D250" s="205"/>
      <c r="E250" s="205"/>
      <c r="F250" s="205"/>
      <c r="G250" s="205"/>
      <c r="H250" s="205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  <c r="AD250" s="206"/>
      <c r="AE250" s="206"/>
      <c r="AF250" s="206"/>
      <c r="AG250" s="206"/>
      <c r="AH250" s="2">
        <f t="shared" si="9"/>
        <v>0</v>
      </c>
      <c r="AI250" s="2">
        <f t="shared" si="10"/>
        <v>25</v>
      </c>
      <c r="AJ250" s="2">
        <f t="shared" si="11"/>
        <v>25</v>
      </c>
    </row>
    <row r="251" spans="2:36" x14ac:dyDescent="0.2">
      <c r="B251" s="102"/>
      <c r="C251" s="103">
        <v>248</v>
      </c>
      <c r="D251" s="205"/>
      <c r="E251" s="205"/>
      <c r="F251" s="205"/>
      <c r="G251" s="205"/>
      <c r="H251" s="205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  <c r="AD251" s="206"/>
      <c r="AE251" s="206"/>
      <c r="AF251" s="206"/>
      <c r="AG251" s="206"/>
      <c r="AH251" s="2">
        <f t="shared" si="9"/>
        <v>0</v>
      </c>
      <c r="AI251" s="2">
        <f t="shared" si="10"/>
        <v>25</v>
      </c>
      <c r="AJ251" s="2">
        <f t="shared" si="11"/>
        <v>25</v>
      </c>
    </row>
    <row r="252" spans="2:36" x14ac:dyDescent="0.2">
      <c r="B252" s="102"/>
      <c r="C252" s="103">
        <v>249</v>
      </c>
      <c r="D252" s="205"/>
      <c r="E252" s="205"/>
      <c r="F252" s="205"/>
      <c r="G252" s="205"/>
      <c r="H252" s="205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  <c r="AD252" s="206"/>
      <c r="AE252" s="206"/>
      <c r="AF252" s="206"/>
      <c r="AG252" s="206"/>
      <c r="AH252" s="2">
        <f t="shared" si="9"/>
        <v>0</v>
      </c>
      <c r="AI252" s="2">
        <f t="shared" si="10"/>
        <v>25</v>
      </c>
      <c r="AJ252" s="2">
        <f t="shared" si="11"/>
        <v>25</v>
      </c>
    </row>
    <row r="253" spans="2:36" x14ac:dyDescent="0.2">
      <c r="B253" s="102"/>
      <c r="C253" s="103">
        <v>250</v>
      </c>
      <c r="D253" s="205"/>
      <c r="E253" s="205"/>
      <c r="F253" s="205"/>
      <c r="G253" s="205"/>
      <c r="H253" s="205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  <c r="AD253" s="206"/>
      <c r="AE253" s="206"/>
      <c r="AF253" s="206"/>
      <c r="AG253" s="206"/>
      <c r="AH253" s="2">
        <f t="shared" si="9"/>
        <v>0</v>
      </c>
      <c r="AI253" s="2">
        <f t="shared" si="10"/>
        <v>25</v>
      </c>
      <c r="AJ253" s="2">
        <f t="shared" si="11"/>
        <v>25</v>
      </c>
    </row>
    <row r="254" spans="2:36" x14ac:dyDescent="0.2">
      <c r="B254" s="102"/>
      <c r="C254" s="103">
        <v>251</v>
      </c>
      <c r="D254" s="205"/>
      <c r="E254" s="205"/>
      <c r="F254" s="205"/>
      <c r="G254" s="205"/>
      <c r="H254" s="205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  <c r="AD254" s="206"/>
      <c r="AE254" s="206"/>
      <c r="AF254" s="206"/>
      <c r="AG254" s="206"/>
      <c r="AH254" s="2">
        <f t="shared" si="9"/>
        <v>0</v>
      </c>
      <c r="AI254" s="2">
        <f t="shared" si="10"/>
        <v>25</v>
      </c>
      <c r="AJ254" s="2">
        <f t="shared" si="11"/>
        <v>25</v>
      </c>
    </row>
    <row r="255" spans="2:36" x14ac:dyDescent="0.2">
      <c r="B255" s="102"/>
      <c r="C255" s="103">
        <v>252</v>
      </c>
      <c r="D255" s="205"/>
      <c r="E255" s="205"/>
      <c r="F255" s="205"/>
      <c r="G255" s="205"/>
      <c r="H255" s="205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  <c r="AD255" s="206"/>
      <c r="AE255" s="206"/>
      <c r="AF255" s="206"/>
      <c r="AG255" s="206"/>
      <c r="AH255" s="2">
        <f t="shared" si="9"/>
        <v>0</v>
      </c>
      <c r="AI255" s="2">
        <f t="shared" si="10"/>
        <v>25</v>
      </c>
      <c r="AJ255" s="2">
        <f t="shared" si="11"/>
        <v>25</v>
      </c>
    </row>
    <row r="256" spans="2:36" x14ac:dyDescent="0.2">
      <c r="B256" s="102"/>
      <c r="C256" s="103">
        <v>253</v>
      </c>
      <c r="D256" s="205"/>
      <c r="E256" s="205"/>
      <c r="F256" s="205"/>
      <c r="G256" s="205"/>
      <c r="H256" s="205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  <c r="AD256" s="206"/>
      <c r="AE256" s="206"/>
      <c r="AF256" s="206"/>
      <c r="AG256" s="206"/>
      <c r="AH256" s="2">
        <f t="shared" si="9"/>
        <v>0</v>
      </c>
      <c r="AI256" s="2">
        <f t="shared" si="10"/>
        <v>25</v>
      </c>
      <c r="AJ256" s="2">
        <f t="shared" si="11"/>
        <v>25</v>
      </c>
    </row>
    <row r="257" spans="2:36" x14ac:dyDescent="0.2">
      <c r="B257" s="102"/>
      <c r="C257" s="103">
        <v>254</v>
      </c>
      <c r="D257" s="205"/>
      <c r="E257" s="205"/>
      <c r="F257" s="205"/>
      <c r="G257" s="205"/>
      <c r="H257" s="205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  <c r="AD257" s="206"/>
      <c r="AE257" s="206"/>
      <c r="AF257" s="206"/>
      <c r="AG257" s="206"/>
      <c r="AH257" s="2">
        <f t="shared" si="9"/>
        <v>0</v>
      </c>
      <c r="AI257" s="2">
        <f t="shared" si="10"/>
        <v>25</v>
      </c>
      <c r="AJ257" s="2">
        <f t="shared" si="11"/>
        <v>25</v>
      </c>
    </row>
    <row r="258" spans="2:36" x14ac:dyDescent="0.2">
      <c r="B258" s="102"/>
      <c r="C258" s="103">
        <v>255</v>
      </c>
      <c r="D258" s="205"/>
      <c r="E258" s="205"/>
      <c r="F258" s="205"/>
      <c r="G258" s="205"/>
      <c r="H258" s="205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  <c r="AD258" s="206"/>
      <c r="AE258" s="206"/>
      <c r="AF258" s="206"/>
      <c r="AG258" s="206"/>
      <c r="AH258" s="2">
        <f t="shared" si="9"/>
        <v>0</v>
      </c>
      <c r="AI258" s="2">
        <f t="shared" si="10"/>
        <v>25</v>
      </c>
      <c r="AJ258" s="2">
        <f t="shared" si="11"/>
        <v>25</v>
      </c>
    </row>
    <row r="259" spans="2:36" x14ac:dyDescent="0.2">
      <c r="B259" s="102"/>
      <c r="C259" s="103">
        <v>256</v>
      </c>
      <c r="D259" s="205"/>
      <c r="E259" s="205"/>
      <c r="F259" s="205"/>
      <c r="G259" s="205"/>
      <c r="H259" s="205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  <c r="AD259" s="206"/>
      <c r="AE259" s="206"/>
      <c r="AF259" s="206"/>
      <c r="AG259" s="206"/>
      <c r="AH259" s="2">
        <f t="shared" si="9"/>
        <v>0</v>
      </c>
      <c r="AI259" s="2">
        <f t="shared" si="10"/>
        <v>25</v>
      </c>
      <c r="AJ259" s="2">
        <f t="shared" si="11"/>
        <v>25</v>
      </c>
    </row>
    <row r="260" spans="2:36" x14ac:dyDescent="0.2">
      <c r="B260" s="102"/>
      <c r="C260" s="103">
        <v>257</v>
      </c>
      <c r="D260" s="205"/>
      <c r="E260" s="205"/>
      <c r="F260" s="205"/>
      <c r="G260" s="205"/>
      <c r="H260" s="205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  <c r="AD260" s="206"/>
      <c r="AE260" s="206"/>
      <c r="AF260" s="206"/>
      <c r="AG260" s="206"/>
      <c r="AH260" s="2">
        <f t="shared" ref="AH260:AH323" si="12">FREQUENCY(I260:AG260,-1)</f>
        <v>0</v>
      </c>
      <c r="AI260" s="2">
        <f t="shared" si="10"/>
        <v>25</v>
      </c>
      <c r="AJ260" s="2">
        <f t="shared" si="11"/>
        <v>25</v>
      </c>
    </row>
    <row r="261" spans="2:36" x14ac:dyDescent="0.2">
      <c r="B261" s="102"/>
      <c r="C261" s="103">
        <v>258</v>
      </c>
      <c r="D261" s="205"/>
      <c r="E261" s="205"/>
      <c r="F261" s="205"/>
      <c r="G261" s="205"/>
      <c r="H261" s="205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  <c r="AD261" s="206"/>
      <c r="AE261" s="206"/>
      <c r="AF261" s="206"/>
      <c r="AG261" s="206"/>
      <c r="AH261" s="2">
        <f t="shared" si="12"/>
        <v>0</v>
      </c>
      <c r="AI261" s="2">
        <f t="shared" ref="AI261:AI324" si="13">COUNTBLANK(I261:AG261)</f>
        <v>25</v>
      </c>
      <c r="AJ261" s="2">
        <f t="shared" ref="AJ261:AJ324" si="14">SUM(AH261:AI261)</f>
        <v>25</v>
      </c>
    </row>
    <row r="262" spans="2:36" x14ac:dyDescent="0.2">
      <c r="B262" s="102"/>
      <c r="C262" s="103">
        <v>259</v>
      </c>
      <c r="D262" s="205"/>
      <c r="E262" s="205"/>
      <c r="F262" s="205"/>
      <c r="G262" s="205"/>
      <c r="H262" s="205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  <c r="AD262" s="206"/>
      <c r="AE262" s="206"/>
      <c r="AF262" s="206"/>
      <c r="AG262" s="206"/>
      <c r="AH262" s="2">
        <f t="shared" si="12"/>
        <v>0</v>
      </c>
      <c r="AI262" s="2">
        <f t="shared" si="13"/>
        <v>25</v>
      </c>
      <c r="AJ262" s="2">
        <f t="shared" si="14"/>
        <v>25</v>
      </c>
    </row>
    <row r="263" spans="2:36" x14ac:dyDescent="0.2">
      <c r="B263" s="102"/>
      <c r="C263" s="103">
        <v>260</v>
      </c>
      <c r="D263" s="205"/>
      <c r="E263" s="205"/>
      <c r="F263" s="205"/>
      <c r="G263" s="205"/>
      <c r="H263" s="205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  <c r="AD263" s="206"/>
      <c r="AE263" s="206"/>
      <c r="AF263" s="206"/>
      <c r="AG263" s="206"/>
      <c r="AH263" s="2">
        <f t="shared" si="12"/>
        <v>0</v>
      </c>
      <c r="AI263" s="2">
        <f t="shared" si="13"/>
        <v>25</v>
      </c>
      <c r="AJ263" s="2">
        <f t="shared" si="14"/>
        <v>25</v>
      </c>
    </row>
    <row r="264" spans="2:36" x14ac:dyDescent="0.2">
      <c r="B264" s="102"/>
      <c r="C264" s="103">
        <v>261</v>
      </c>
      <c r="D264" s="205"/>
      <c r="E264" s="205"/>
      <c r="F264" s="205"/>
      <c r="G264" s="205"/>
      <c r="H264" s="205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  <c r="AD264" s="206"/>
      <c r="AE264" s="206"/>
      <c r="AF264" s="206"/>
      <c r="AG264" s="206"/>
      <c r="AH264" s="2">
        <f t="shared" si="12"/>
        <v>0</v>
      </c>
      <c r="AI264" s="2">
        <f t="shared" si="13"/>
        <v>25</v>
      </c>
      <c r="AJ264" s="2">
        <f t="shared" si="14"/>
        <v>25</v>
      </c>
    </row>
    <row r="265" spans="2:36" x14ac:dyDescent="0.2">
      <c r="B265" s="102"/>
      <c r="C265" s="103">
        <v>262</v>
      </c>
      <c r="D265" s="205"/>
      <c r="E265" s="205"/>
      <c r="F265" s="205"/>
      <c r="G265" s="205"/>
      <c r="H265" s="205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  <c r="AD265" s="206"/>
      <c r="AE265" s="206"/>
      <c r="AF265" s="206"/>
      <c r="AG265" s="206"/>
      <c r="AH265" s="2">
        <f t="shared" si="12"/>
        <v>0</v>
      </c>
      <c r="AI265" s="2">
        <f t="shared" si="13"/>
        <v>25</v>
      </c>
      <c r="AJ265" s="2">
        <f t="shared" si="14"/>
        <v>25</v>
      </c>
    </row>
    <row r="266" spans="2:36" x14ac:dyDescent="0.2">
      <c r="B266" s="102"/>
      <c r="C266" s="103">
        <v>263</v>
      </c>
      <c r="D266" s="205"/>
      <c r="E266" s="205"/>
      <c r="F266" s="205"/>
      <c r="G266" s="205"/>
      <c r="H266" s="205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  <c r="AD266" s="206"/>
      <c r="AE266" s="206"/>
      <c r="AF266" s="206"/>
      <c r="AG266" s="206"/>
      <c r="AH266" s="2">
        <f t="shared" si="12"/>
        <v>0</v>
      </c>
      <c r="AI266" s="2">
        <f t="shared" si="13"/>
        <v>25</v>
      </c>
      <c r="AJ266" s="2">
        <f t="shared" si="14"/>
        <v>25</v>
      </c>
    </row>
    <row r="267" spans="2:36" x14ac:dyDescent="0.2">
      <c r="B267" s="102"/>
      <c r="C267" s="103">
        <v>264</v>
      </c>
      <c r="D267" s="205"/>
      <c r="E267" s="205"/>
      <c r="F267" s="205"/>
      <c r="G267" s="205"/>
      <c r="H267" s="205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  <c r="AD267" s="206"/>
      <c r="AE267" s="206"/>
      <c r="AF267" s="206"/>
      <c r="AG267" s="206"/>
      <c r="AH267" s="2">
        <f t="shared" si="12"/>
        <v>0</v>
      </c>
      <c r="AI267" s="2">
        <f t="shared" si="13"/>
        <v>25</v>
      </c>
      <c r="AJ267" s="2">
        <f t="shared" si="14"/>
        <v>25</v>
      </c>
    </row>
    <row r="268" spans="2:36" x14ac:dyDescent="0.2">
      <c r="B268" s="102"/>
      <c r="C268" s="103">
        <v>265</v>
      </c>
      <c r="D268" s="205"/>
      <c r="E268" s="205"/>
      <c r="F268" s="205"/>
      <c r="G268" s="205"/>
      <c r="H268" s="205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  <c r="AD268" s="206"/>
      <c r="AE268" s="206"/>
      <c r="AF268" s="206"/>
      <c r="AG268" s="206"/>
      <c r="AH268" s="2">
        <f t="shared" si="12"/>
        <v>0</v>
      </c>
      <c r="AI268" s="2">
        <f t="shared" si="13"/>
        <v>25</v>
      </c>
      <c r="AJ268" s="2">
        <f t="shared" si="14"/>
        <v>25</v>
      </c>
    </row>
    <row r="269" spans="2:36" x14ac:dyDescent="0.2">
      <c r="B269" s="102"/>
      <c r="C269" s="103">
        <v>266</v>
      </c>
      <c r="D269" s="205"/>
      <c r="E269" s="205"/>
      <c r="F269" s="205"/>
      <c r="G269" s="205"/>
      <c r="H269" s="205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  <c r="AD269" s="206"/>
      <c r="AE269" s="206"/>
      <c r="AF269" s="206"/>
      <c r="AG269" s="206"/>
      <c r="AH269" s="2">
        <f t="shared" si="12"/>
        <v>0</v>
      </c>
      <c r="AI269" s="2">
        <f t="shared" si="13"/>
        <v>25</v>
      </c>
      <c r="AJ269" s="2">
        <f t="shared" si="14"/>
        <v>25</v>
      </c>
    </row>
    <row r="270" spans="2:36" x14ac:dyDescent="0.2">
      <c r="B270" s="102"/>
      <c r="C270" s="103">
        <v>267</v>
      </c>
      <c r="D270" s="205"/>
      <c r="E270" s="205"/>
      <c r="F270" s="205"/>
      <c r="G270" s="205"/>
      <c r="H270" s="205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  <c r="AD270" s="206"/>
      <c r="AE270" s="206"/>
      <c r="AF270" s="206"/>
      <c r="AG270" s="206"/>
      <c r="AH270" s="2">
        <f t="shared" si="12"/>
        <v>0</v>
      </c>
      <c r="AI270" s="2">
        <f t="shared" si="13"/>
        <v>25</v>
      </c>
      <c r="AJ270" s="2">
        <f t="shared" si="14"/>
        <v>25</v>
      </c>
    </row>
    <row r="271" spans="2:36" x14ac:dyDescent="0.2">
      <c r="B271" s="102"/>
      <c r="C271" s="103">
        <v>268</v>
      </c>
      <c r="D271" s="205"/>
      <c r="E271" s="205"/>
      <c r="F271" s="205"/>
      <c r="G271" s="205"/>
      <c r="H271" s="205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  <c r="AD271" s="206"/>
      <c r="AE271" s="206"/>
      <c r="AF271" s="206"/>
      <c r="AG271" s="206"/>
      <c r="AH271" s="2">
        <f t="shared" si="12"/>
        <v>0</v>
      </c>
      <c r="AI271" s="2">
        <f t="shared" si="13"/>
        <v>25</v>
      </c>
      <c r="AJ271" s="2">
        <f t="shared" si="14"/>
        <v>25</v>
      </c>
    </row>
    <row r="272" spans="2:36" x14ac:dyDescent="0.2">
      <c r="B272" s="102"/>
      <c r="C272" s="103">
        <v>269</v>
      </c>
      <c r="D272" s="205"/>
      <c r="E272" s="205"/>
      <c r="F272" s="205"/>
      <c r="G272" s="205"/>
      <c r="H272" s="205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  <c r="AD272" s="206"/>
      <c r="AE272" s="206"/>
      <c r="AF272" s="206"/>
      <c r="AG272" s="206"/>
      <c r="AH272" s="2">
        <f t="shared" si="12"/>
        <v>0</v>
      </c>
      <c r="AI272" s="2">
        <f t="shared" si="13"/>
        <v>25</v>
      </c>
      <c r="AJ272" s="2">
        <f t="shared" si="14"/>
        <v>25</v>
      </c>
    </row>
    <row r="273" spans="2:36" x14ac:dyDescent="0.2">
      <c r="B273" s="102"/>
      <c r="C273" s="103">
        <v>270</v>
      </c>
      <c r="D273" s="205"/>
      <c r="E273" s="205"/>
      <c r="F273" s="205"/>
      <c r="G273" s="205"/>
      <c r="H273" s="205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  <c r="AD273" s="206"/>
      <c r="AE273" s="206"/>
      <c r="AF273" s="206"/>
      <c r="AG273" s="206"/>
      <c r="AH273" s="2">
        <f t="shared" si="12"/>
        <v>0</v>
      </c>
      <c r="AI273" s="2">
        <f t="shared" si="13"/>
        <v>25</v>
      </c>
      <c r="AJ273" s="2">
        <f t="shared" si="14"/>
        <v>25</v>
      </c>
    </row>
    <row r="274" spans="2:36" x14ac:dyDescent="0.2">
      <c r="B274" s="102"/>
      <c r="C274" s="103">
        <v>271</v>
      </c>
      <c r="D274" s="205"/>
      <c r="E274" s="205"/>
      <c r="F274" s="205"/>
      <c r="G274" s="205"/>
      <c r="H274" s="205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  <c r="AD274" s="206"/>
      <c r="AE274" s="206"/>
      <c r="AF274" s="206"/>
      <c r="AG274" s="206"/>
      <c r="AH274" s="2">
        <f t="shared" si="12"/>
        <v>0</v>
      </c>
      <c r="AI274" s="2">
        <f t="shared" si="13"/>
        <v>25</v>
      </c>
      <c r="AJ274" s="2">
        <f t="shared" si="14"/>
        <v>25</v>
      </c>
    </row>
    <row r="275" spans="2:36" x14ac:dyDescent="0.2">
      <c r="B275" s="102"/>
      <c r="C275" s="103">
        <v>272</v>
      </c>
      <c r="D275" s="205"/>
      <c r="E275" s="205"/>
      <c r="F275" s="205"/>
      <c r="G275" s="205"/>
      <c r="H275" s="205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  <c r="AD275" s="206"/>
      <c r="AE275" s="206"/>
      <c r="AF275" s="206"/>
      <c r="AG275" s="206"/>
      <c r="AH275" s="2">
        <f t="shared" si="12"/>
        <v>0</v>
      </c>
      <c r="AI275" s="2">
        <f t="shared" si="13"/>
        <v>25</v>
      </c>
      <c r="AJ275" s="2">
        <f t="shared" si="14"/>
        <v>25</v>
      </c>
    </row>
    <row r="276" spans="2:36" x14ac:dyDescent="0.2">
      <c r="B276" s="102"/>
      <c r="C276" s="103">
        <v>273</v>
      </c>
      <c r="D276" s="205"/>
      <c r="E276" s="205"/>
      <c r="F276" s="205"/>
      <c r="G276" s="205"/>
      <c r="H276" s="205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  <c r="AD276" s="206"/>
      <c r="AE276" s="206"/>
      <c r="AF276" s="206"/>
      <c r="AG276" s="206"/>
      <c r="AH276" s="2">
        <f t="shared" si="12"/>
        <v>0</v>
      </c>
      <c r="AI276" s="2">
        <f t="shared" si="13"/>
        <v>25</v>
      </c>
      <c r="AJ276" s="2">
        <f t="shared" si="14"/>
        <v>25</v>
      </c>
    </row>
    <row r="277" spans="2:36" x14ac:dyDescent="0.2">
      <c r="B277" s="102"/>
      <c r="C277" s="103">
        <v>274</v>
      </c>
      <c r="D277" s="205"/>
      <c r="E277" s="205"/>
      <c r="F277" s="205"/>
      <c r="G277" s="205"/>
      <c r="H277" s="205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  <c r="AD277" s="206"/>
      <c r="AE277" s="206"/>
      <c r="AF277" s="206"/>
      <c r="AG277" s="206"/>
      <c r="AH277" s="2">
        <f t="shared" si="12"/>
        <v>0</v>
      </c>
      <c r="AI277" s="2">
        <f t="shared" si="13"/>
        <v>25</v>
      </c>
      <c r="AJ277" s="2">
        <f t="shared" si="14"/>
        <v>25</v>
      </c>
    </row>
    <row r="278" spans="2:36" x14ac:dyDescent="0.2">
      <c r="B278" s="102"/>
      <c r="C278" s="103">
        <v>275</v>
      </c>
      <c r="D278" s="205"/>
      <c r="E278" s="205"/>
      <c r="F278" s="205"/>
      <c r="G278" s="205"/>
      <c r="H278" s="205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  <c r="AD278" s="206"/>
      <c r="AE278" s="206"/>
      <c r="AF278" s="206"/>
      <c r="AG278" s="206"/>
      <c r="AH278" s="2">
        <f t="shared" si="12"/>
        <v>0</v>
      </c>
      <c r="AI278" s="2">
        <f t="shared" si="13"/>
        <v>25</v>
      </c>
      <c r="AJ278" s="2">
        <f t="shared" si="14"/>
        <v>25</v>
      </c>
    </row>
    <row r="279" spans="2:36" x14ac:dyDescent="0.2">
      <c r="B279" s="102"/>
      <c r="C279" s="103">
        <v>276</v>
      </c>
      <c r="D279" s="205"/>
      <c r="E279" s="205"/>
      <c r="F279" s="205"/>
      <c r="G279" s="205"/>
      <c r="H279" s="205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  <c r="AD279" s="206"/>
      <c r="AE279" s="206"/>
      <c r="AF279" s="206"/>
      <c r="AG279" s="206"/>
      <c r="AH279" s="2">
        <f t="shared" si="12"/>
        <v>0</v>
      </c>
      <c r="AI279" s="2">
        <f t="shared" si="13"/>
        <v>25</v>
      </c>
      <c r="AJ279" s="2">
        <f t="shared" si="14"/>
        <v>25</v>
      </c>
    </row>
    <row r="280" spans="2:36" x14ac:dyDescent="0.2">
      <c r="B280" s="102"/>
      <c r="C280" s="103">
        <v>277</v>
      </c>
      <c r="D280" s="205"/>
      <c r="E280" s="205"/>
      <c r="F280" s="205"/>
      <c r="G280" s="205"/>
      <c r="H280" s="205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  <c r="AD280" s="206"/>
      <c r="AE280" s="206"/>
      <c r="AF280" s="206"/>
      <c r="AG280" s="206"/>
      <c r="AH280" s="2">
        <f t="shared" si="12"/>
        <v>0</v>
      </c>
      <c r="AI280" s="2">
        <f t="shared" si="13"/>
        <v>25</v>
      </c>
      <c r="AJ280" s="2">
        <f t="shared" si="14"/>
        <v>25</v>
      </c>
    </row>
    <row r="281" spans="2:36" x14ac:dyDescent="0.2">
      <c r="B281" s="102"/>
      <c r="C281" s="103">
        <v>278</v>
      </c>
      <c r="D281" s="205"/>
      <c r="E281" s="205"/>
      <c r="F281" s="205"/>
      <c r="G281" s="205"/>
      <c r="H281" s="205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  <c r="AD281" s="206"/>
      <c r="AE281" s="206"/>
      <c r="AF281" s="206"/>
      <c r="AG281" s="206"/>
      <c r="AH281" s="2">
        <f t="shared" si="12"/>
        <v>0</v>
      </c>
      <c r="AI281" s="2">
        <f t="shared" si="13"/>
        <v>25</v>
      </c>
      <c r="AJ281" s="2">
        <f t="shared" si="14"/>
        <v>25</v>
      </c>
    </row>
    <row r="282" spans="2:36" x14ac:dyDescent="0.2">
      <c r="B282" s="102"/>
      <c r="C282" s="103">
        <v>279</v>
      </c>
      <c r="D282" s="205"/>
      <c r="E282" s="205"/>
      <c r="F282" s="205"/>
      <c r="G282" s="205"/>
      <c r="H282" s="205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  <c r="AD282" s="206"/>
      <c r="AE282" s="206"/>
      <c r="AF282" s="206"/>
      <c r="AG282" s="206"/>
      <c r="AH282" s="2">
        <f t="shared" si="12"/>
        <v>0</v>
      </c>
      <c r="AI282" s="2">
        <f t="shared" si="13"/>
        <v>25</v>
      </c>
      <c r="AJ282" s="2">
        <f t="shared" si="14"/>
        <v>25</v>
      </c>
    </row>
    <row r="283" spans="2:36" x14ac:dyDescent="0.2">
      <c r="B283" s="102"/>
      <c r="C283" s="103">
        <v>280</v>
      </c>
      <c r="D283" s="205"/>
      <c r="E283" s="205"/>
      <c r="F283" s="205"/>
      <c r="G283" s="205"/>
      <c r="H283" s="205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  <c r="AD283" s="206"/>
      <c r="AE283" s="206"/>
      <c r="AF283" s="206"/>
      <c r="AG283" s="206"/>
      <c r="AH283" s="2">
        <f t="shared" si="12"/>
        <v>0</v>
      </c>
      <c r="AI283" s="2">
        <f t="shared" si="13"/>
        <v>25</v>
      </c>
      <c r="AJ283" s="2">
        <f t="shared" si="14"/>
        <v>25</v>
      </c>
    </row>
    <row r="284" spans="2:36" x14ac:dyDescent="0.2">
      <c r="B284" s="102"/>
      <c r="C284" s="103">
        <v>281</v>
      </c>
      <c r="D284" s="205"/>
      <c r="E284" s="205"/>
      <c r="F284" s="205"/>
      <c r="G284" s="205"/>
      <c r="H284" s="205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  <c r="AD284" s="206"/>
      <c r="AE284" s="206"/>
      <c r="AF284" s="206"/>
      <c r="AG284" s="206"/>
      <c r="AH284" s="2">
        <f t="shared" si="12"/>
        <v>0</v>
      </c>
      <c r="AI284" s="2">
        <f t="shared" si="13"/>
        <v>25</v>
      </c>
      <c r="AJ284" s="2">
        <f t="shared" si="14"/>
        <v>25</v>
      </c>
    </row>
    <row r="285" spans="2:36" x14ac:dyDescent="0.2">
      <c r="B285" s="102"/>
      <c r="C285" s="103">
        <v>282</v>
      </c>
      <c r="D285" s="205"/>
      <c r="E285" s="205"/>
      <c r="F285" s="205"/>
      <c r="G285" s="205"/>
      <c r="H285" s="205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  <c r="AD285" s="206"/>
      <c r="AE285" s="206"/>
      <c r="AF285" s="206"/>
      <c r="AG285" s="206"/>
      <c r="AH285" s="2">
        <f t="shared" si="12"/>
        <v>0</v>
      </c>
      <c r="AI285" s="2">
        <f t="shared" si="13"/>
        <v>25</v>
      </c>
      <c r="AJ285" s="2">
        <f t="shared" si="14"/>
        <v>25</v>
      </c>
    </row>
    <row r="286" spans="2:36" x14ac:dyDescent="0.2">
      <c r="B286" s="102"/>
      <c r="C286" s="103">
        <v>283</v>
      </c>
      <c r="D286" s="205"/>
      <c r="E286" s="205"/>
      <c r="F286" s="205"/>
      <c r="G286" s="205"/>
      <c r="H286" s="205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  <c r="AD286" s="206"/>
      <c r="AE286" s="206"/>
      <c r="AF286" s="206"/>
      <c r="AG286" s="206"/>
      <c r="AH286" s="2">
        <f t="shared" si="12"/>
        <v>0</v>
      </c>
      <c r="AI286" s="2">
        <f t="shared" si="13"/>
        <v>25</v>
      </c>
      <c r="AJ286" s="2">
        <f t="shared" si="14"/>
        <v>25</v>
      </c>
    </row>
    <row r="287" spans="2:36" x14ac:dyDescent="0.2">
      <c r="B287" s="102"/>
      <c r="C287" s="103">
        <v>284</v>
      </c>
      <c r="D287" s="205"/>
      <c r="E287" s="205"/>
      <c r="F287" s="205"/>
      <c r="G287" s="205"/>
      <c r="H287" s="205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  <c r="AD287" s="206"/>
      <c r="AE287" s="206"/>
      <c r="AF287" s="206"/>
      <c r="AG287" s="206"/>
      <c r="AH287" s="2">
        <f t="shared" si="12"/>
        <v>0</v>
      </c>
      <c r="AI287" s="2">
        <f t="shared" si="13"/>
        <v>25</v>
      </c>
      <c r="AJ287" s="2">
        <f t="shared" si="14"/>
        <v>25</v>
      </c>
    </row>
    <row r="288" spans="2:36" x14ac:dyDescent="0.2">
      <c r="B288" s="102"/>
      <c r="C288" s="103">
        <v>285</v>
      </c>
      <c r="D288" s="205"/>
      <c r="E288" s="205"/>
      <c r="F288" s="205"/>
      <c r="G288" s="205"/>
      <c r="H288" s="205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  <c r="AD288" s="206"/>
      <c r="AE288" s="206"/>
      <c r="AF288" s="206"/>
      <c r="AG288" s="206"/>
      <c r="AH288" s="2">
        <f t="shared" si="12"/>
        <v>0</v>
      </c>
      <c r="AI288" s="2">
        <f t="shared" si="13"/>
        <v>25</v>
      </c>
      <c r="AJ288" s="2">
        <f t="shared" si="14"/>
        <v>25</v>
      </c>
    </row>
    <row r="289" spans="2:36" x14ac:dyDescent="0.2">
      <c r="B289" s="102"/>
      <c r="C289" s="103">
        <v>286</v>
      </c>
      <c r="D289" s="205"/>
      <c r="E289" s="205"/>
      <c r="F289" s="205"/>
      <c r="G289" s="205"/>
      <c r="H289" s="205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  <c r="AD289" s="206"/>
      <c r="AE289" s="206"/>
      <c r="AF289" s="206"/>
      <c r="AG289" s="206"/>
      <c r="AH289" s="2">
        <f t="shared" si="12"/>
        <v>0</v>
      </c>
      <c r="AI289" s="2">
        <f t="shared" si="13"/>
        <v>25</v>
      </c>
      <c r="AJ289" s="2">
        <f t="shared" si="14"/>
        <v>25</v>
      </c>
    </row>
    <row r="290" spans="2:36" x14ac:dyDescent="0.2">
      <c r="B290" s="102"/>
      <c r="C290" s="103">
        <v>287</v>
      </c>
      <c r="D290" s="205"/>
      <c r="E290" s="205"/>
      <c r="F290" s="205"/>
      <c r="G290" s="205"/>
      <c r="H290" s="205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  <c r="AD290" s="206"/>
      <c r="AE290" s="206"/>
      <c r="AF290" s="206"/>
      <c r="AG290" s="206"/>
      <c r="AH290" s="2">
        <f t="shared" si="12"/>
        <v>0</v>
      </c>
      <c r="AI290" s="2">
        <f t="shared" si="13"/>
        <v>25</v>
      </c>
      <c r="AJ290" s="2">
        <f t="shared" si="14"/>
        <v>25</v>
      </c>
    </row>
    <row r="291" spans="2:36" x14ac:dyDescent="0.2">
      <c r="B291" s="102"/>
      <c r="C291" s="103">
        <v>288</v>
      </c>
      <c r="D291" s="205"/>
      <c r="E291" s="205"/>
      <c r="F291" s="205"/>
      <c r="G291" s="205"/>
      <c r="H291" s="205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  <c r="AD291" s="206"/>
      <c r="AE291" s="206"/>
      <c r="AF291" s="206"/>
      <c r="AG291" s="206"/>
      <c r="AH291" s="2">
        <f t="shared" si="12"/>
        <v>0</v>
      </c>
      <c r="AI291" s="2">
        <f t="shared" si="13"/>
        <v>25</v>
      </c>
      <c r="AJ291" s="2">
        <f t="shared" si="14"/>
        <v>25</v>
      </c>
    </row>
    <row r="292" spans="2:36" x14ac:dyDescent="0.2">
      <c r="B292" s="102"/>
      <c r="C292" s="103">
        <v>289</v>
      </c>
      <c r="D292" s="205"/>
      <c r="E292" s="205"/>
      <c r="F292" s="205"/>
      <c r="G292" s="205"/>
      <c r="H292" s="205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  <c r="AD292" s="206"/>
      <c r="AE292" s="206"/>
      <c r="AF292" s="206"/>
      <c r="AG292" s="206"/>
      <c r="AH292" s="2">
        <f t="shared" si="12"/>
        <v>0</v>
      </c>
      <c r="AI292" s="2">
        <f t="shared" si="13"/>
        <v>25</v>
      </c>
      <c r="AJ292" s="2">
        <f t="shared" si="14"/>
        <v>25</v>
      </c>
    </row>
    <row r="293" spans="2:36" x14ac:dyDescent="0.2">
      <c r="B293" s="102"/>
      <c r="C293" s="103">
        <v>290</v>
      </c>
      <c r="D293" s="205"/>
      <c r="E293" s="205"/>
      <c r="F293" s="205"/>
      <c r="G293" s="205"/>
      <c r="H293" s="205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  <c r="AD293" s="206"/>
      <c r="AE293" s="206"/>
      <c r="AF293" s="206"/>
      <c r="AG293" s="206"/>
      <c r="AH293" s="2">
        <f t="shared" si="12"/>
        <v>0</v>
      </c>
      <c r="AI293" s="2">
        <f t="shared" si="13"/>
        <v>25</v>
      </c>
      <c r="AJ293" s="2">
        <f t="shared" si="14"/>
        <v>25</v>
      </c>
    </row>
    <row r="294" spans="2:36" x14ac:dyDescent="0.2">
      <c r="B294" s="102"/>
      <c r="C294" s="103">
        <v>291</v>
      </c>
      <c r="D294" s="205"/>
      <c r="E294" s="205"/>
      <c r="F294" s="205"/>
      <c r="G294" s="205"/>
      <c r="H294" s="205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  <c r="AD294" s="206"/>
      <c r="AE294" s="206"/>
      <c r="AF294" s="206"/>
      <c r="AG294" s="206"/>
      <c r="AH294" s="2">
        <f t="shared" si="12"/>
        <v>0</v>
      </c>
      <c r="AI294" s="2">
        <f t="shared" si="13"/>
        <v>25</v>
      </c>
      <c r="AJ294" s="2">
        <f t="shared" si="14"/>
        <v>25</v>
      </c>
    </row>
    <row r="295" spans="2:36" x14ac:dyDescent="0.2">
      <c r="B295" s="102"/>
      <c r="C295" s="103">
        <v>292</v>
      </c>
      <c r="D295" s="205"/>
      <c r="E295" s="205"/>
      <c r="F295" s="205"/>
      <c r="G295" s="205"/>
      <c r="H295" s="205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  <c r="AD295" s="206"/>
      <c r="AE295" s="206"/>
      <c r="AF295" s="206"/>
      <c r="AG295" s="206"/>
      <c r="AH295" s="2">
        <f t="shared" si="12"/>
        <v>0</v>
      </c>
      <c r="AI295" s="2">
        <f t="shared" si="13"/>
        <v>25</v>
      </c>
      <c r="AJ295" s="2">
        <f t="shared" si="14"/>
        <v>25</v>
      </c>
    </row>
    <row r="296" spans="2:36" x14ac:dyDescent="0.2">
      <c r="B296" s="102"/>
      <c r="C296" s="103">
        <v>293</v>
      </c>
      <c r="D296" s="205"/>
      <c r="E296" s="205"/>
      <c r="F296" s="205"/>
      <c r="G296" s="205"/>
      <c r="H296" s="205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  <c r="AD296" s="206"/>
      <c r="AE296" s="206"/>
      <c r="AF296" s="206"/>
      <c r="AG296" s="206"/>
      <c r="AH296" s="2">
        <f t="shared" si="12"/>
        <v>0</v>
      </c>
      <c r="AI296" s="2">
        <f t="shared" si="13"/>
        <v>25</v>
      </c>
      <c r="AJ296" s="2">
        <f t="shared" si="14"/>
        <v>25</v>
      </c>
    </row>
    <row r="297" spans="2:36" x14ac:dyDescent="0.2">
      <c r="B297" s="102"/>
      <c r="C297" s="103">
        <v>294</v>
      </c>
      <c r="D297" s="205"/>
      <c r="E297" s="205"/>
      <c r="F297" s="205"/>
      <c r="G297" s="205"/>
      <c r="H297" s="205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  <c r="AD297" s="206"/>
      <c r="AE297" s="206"/>
      <c r="AF297" s="206"/>
      <c r="AG297" s="206"/>
      <c r="AH297" s="2">
        <f t="shared" si="12"/>
        <v>0</v>
      </c>
      <c r="AI297" s="2">
        <f t="shared" si="13"/>
        <v>25</v>
      </c>
      <c r="AJ297" s="2">
        <f t="shared" si="14"/>
        <v>25</v>
      </c>
    </row>
    <row r="298" spans="2:36" x14ac:dyDescent="0.2">
      <c r="B298" s="102"/>
      <c r="C298" s="103">
        <v>295</v>
      </c>
      <c r="D298" s="205"/>
      <c r="E298" s="205"/>
      <c r="F298" s="205"/>
      <c r="G298" s="205"/>
      <c r="H298" s="205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  <c r="AD298" s="206"/>
      <c r="AE298" s="206"/>
      <c r="AF298" s="206"/>
      <c r="AG298" s="206"/>
      <c r="AH298" s="2">
        <f t="shared" si="12"/>
        <v>0</v>
      </c>
      <c r="AI298" s="2">
        <f t="shared" si="13"/>
        <v>25</v>
      </c>
      <c r="AJ298" s="2">
        <f t="shared" si="14"/>
        <v>25</v>
      </c>
    </row>
    <row r="299" spans="2:36" x14ac:dyDescent="0.2">
      <c r="B299" s="102"/>
      <c r="C299" s="103">
        <v>296</v>
      </c>
      <c r="D299" s="205"/>
      <c r="E299" s="205"/>
      <c r="F299" s="205"/>
      <c r="G299" s="205"/>
      <c r="H299" s="205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  <c r="AD299" s="206"/>
      <c r="AE299" s="206"/>
      <c r="AF299" s="206"/>
      <c r="AG299" s="206"/>
      <c r="AH299" s="2">
        <f t="shared" si="12"/>
        <v>0</v>
      </c>
      <c r="AI299" s="2">
        <f t="shared" si="13"/>
        <v>25</v>
      </c>
      <c r="AJ299" s="2">
        <f t="shared" si="14"/>
        <v>25</v>
      </c>
    </row>
    <row r="300" spans="2:36" x14ac:dyDescent="0.2">
      <c r="B300" s="102"/>
      <c r="C300" s="103">
        <v>297</v>
      </c>
      <c r="D300" s="205"/>
      <c r="E300" s="205"/>
      <c r="F300" s="205"/>
      <c r="G300" s="205"/>
      <c r="H300" s="205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  <c r="AD300" s="206"/>
      <c r="AE300" s="206"/>
      <c r="AF300" s="206"/>
      <c r="AG300" s="206"/>
      <c r="AH300" s="2">
        <f t="shared" si="12"/>
        <v>0</v>
      </c>
      <c r="AI300" s="2">
        <f t="shared" si="13"/>
        <v>25</v>
      </c>
      <c r="AJ300" s="2">
        <f t="shared" si="14"/>
        <v>25</v>
      </c>
    </row>
    <row r="301" spans="2:36" x14ac:dyDescent="0.2">
      <c r="B301" s="102"/>
      <c r="C301" s="103">
        <v>298</v>
      </c>
      <c r="D301" s="205"/>
      <c r="E301" s="205"/>
      <c r="F301" s="205"/>
      <c r="G301" s="205"/>
      <c r="H301" s="205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  <c r="AD301" s="206"/>
      <c r="AE301" s="206"/>
      <c r="AF301" s="206"/>
      <c r="AG301" s="206"/>
      <c r="AH301" s="2">
        <f t="shared" si="12"/>
        <v>0</v>
      </c>
      <c r="AI301" s="2">
        <f t="shared" si="13"/>
        <v>25</v>
      </c>
      <c r="AJ301" s="2">
        <f t="shared" si="14"/>
        <v>25</v>
      </c>
    </row>
    <row r="302" spans="2:36" x14ac:dyDescent="0.2">
      <c r="B302" s="102"/>
      <c r="C302" s="103">
        <v>299</v>
      </c>
      <c r="D302" s="205"/>
      <c r="E302" s="205"/>
      <c r="F302" s="205"/>
      <c r="G302" s="205"/>
      <c r="H302" s="205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  <c r="AD302" s="206"/>
      <c r="AE302" s="206"/>
      <c r="AF302" s="206"/>
      <c r="AG302" s="206"/>
      <c r="AH302" s="2">
        <f t="shared" si="12"/>
        <v>0</v>
      </c>
      <c r="AI302" s="2">
        <f t="shared" si="13"/>
        <v>25</v>
      </c>
      <c r="AJ302" s="2">
        <f t="shared" si="14"/>
        <v>25</v>
      </c>
    </row>
    <row r="303" spans="2:36" x14ac:dyDescent="0.2">
      <c r="B303" s="102"/>
      <c r="C303" s="103">
        <v>300</v>
      </c>
      <c r="D303" s="205"/>
      <c r="E303" s="205"/>
      <c r="F303" s="205"/>
      <c r="G303" s="205"/>
      <c r="H303" s="205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  <c r="AD303" s="206"/>
      <c r="AE303" s="206"/>
      <c r="AF303" s="206"/>
      <c r="AG303" s="206"/>
      <c r="AH303" s="2">
        <f t="shared" si="12"/>
        <v>0</v>
      </c>
      <c r="AI303" s="2">
        <f t="shared" si="13"/>
        <v>25</v>
      </c>
      <c r="AJ303" s="2">
        <f t="shared" si="14"/>
        <v>25</v>
      </c>
    </row>
    <row r="304" spans="2:36" x14ac:dyDescent="0.2">
      <c r="B304" s="102"/>
      <c r="C304" s="103">
        <v>301</v>
      </c>
      <c r="D304" s="205"/>
      <c r="E304" s="205"/>
      <c r="F304" s="205"/>
      <c r="G304" s="205"/>
      <c r="H304" s="205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  <c r="AD304" s="206"/>
      <c r="AE304" s="206"/>
      <c r="AF304" s="206"/>
      <c r="AG304" s="206"/>
      <c r="AH304" s="2">
        <f t="shared" si="12"/>
        <v>0</v>
      </c>
      <c r="AI304" s="2">
        <f t="shared" si="13"/>
        <v>25</v>
      </c>
      <c r="AJ304" s="2">
        <f t="shared" si="14"/>
        <v>25</v>
      </c>
    </row>
    <row r="305" spans="2:36" x14ac:dyDescent="0.2">
      <c r="B305" s="102"/>
      <c r="C305" s="103">
        <v>302</v>
      </c>
      <c r="D305" s="205"/>
      <c r="E305" s="205"/>
      <c r="F305" s="205"/>
      <c r="G305" s="205"/>
      <c r="H305" s="205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  <c r="AD305" s="206"/>
      <c r="AE305" s="206"/>
      <c r="AF305" s="206"/>
      <c r="AG305" s="206"/>
      <c r="AH305" s="2">
        <f t="shared" si="12"/>
        <v>0</v>
      </c>
      <c r="AI305" s="2">
        <f t="shared" si="13"/>
        <v>25</v>
      </c>
      <c r="AJ305" s="2">
        <f t="shared" si="14"/>
        <v>25</v>
      </c>
    </row>
    <row r="306" spans="2:36" x14ac:dyDescent="0.2">
      <c r="B306" s="102"/>
      <c r="C306" s="103">
        <v>303</v>
      </c>
      <c r="D306" s="205"/>
      <c r="E306" s="205"/>
      <c r="F306" s="205"/>
      <c r="G306" s="205"/>
      <c r="H306" s="205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  <c r="AD306" s="206"/>
      <c r="AE306" s="206"/>
      <c r="AF306" s="206"/>
      <c r="AG306" s="206"/>
      <c r="AH306" s="2">
        <f t="shared" si="12"/>
        <v>0</v>
      </c>
      <c r="AI306" s="2">
        <f t="shared" si="13"/>
        <v>25</v>
      </c>
      <c r="AJ306" s="2">
        <f t="shared" si="14"/>
        <v>25</v>
      </c>
    </row>
    <row r="307" spans="2:36" x14ac:dyDescent="0.2">
      <c r="B307" s="102"/>
      <c r="C307" s="103">
        <v>304</v>
      </c>
      <c r="D307" s="205"/>
      <c r="E307" s="205"/>
      <c r="F307" s="205"/>
      <c r="G307" s="205"/>
      <c r="H307" s="205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  <c r="AD307" s="206"/>
      <c r="AE307" s="206"/>
      <c r="AF307" s="206"/>
      <c r="AG307" s="206"/>
      <c r="AH307" s="2">
        <f t="shared" si="12"/>
        <v>0</v>
      </c>
      <c r="AI307" s="2">
        <f t="shared" si="13"/>
        <v>25</v>
      </c>
      <c r="AJ307" s="2">
        <f t="shared" si="14"/>
        <v>25</v>
      </c>
    </row>
    <row r="308" spans="2:36" x14ac:dyDescent="0.2">
      <c r="B308" s="102"/>
      <c r="C308" s="103">
        <v>305</v>
      </c>
      <c r="D308" s="205"/>
      <c r="E308" s="205"/>
      <c r="F308" s="205"/>
      <c r="G308" s="205"/>
      <c r="H308" s="205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  <c r="AD308" s="206"/>
      <c r="AE308" s="206"/>
      <c r="AF308" s="206"/>
      <c r="AG308" s="206"/>
      <c r="AH308" s="2">
        <f t="shared" si="12"/>
        <v>0</v>
      </c>
      <c r="AI308" s="2">
        <f t="shared" si="13"/>
        <v>25</v>
      </c>
      <c r="AJ308" s="2">
        <f t="shared" si="14"/>
        <v>25</v>
      </c>
    </row>
    <row r="309" spans="2:36" x14ac:dyDescent="0.2">
      <c r="B309" s="102"/>
      <c r="C309" s="103">
        <v>306</v>
      </c>
      <c r="D309" s="205"/>
      <c r="E309" s="205"/>
      <c r="F309" s="205"/>
      <c r="G309" s="205"/>
      <c r="H309" s="205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  <c r="AD309" s="206"/>
      <c r="AE309" s="206"/>
      <c r="AF309" s="206"/>
      <c r="AG309" s="206"/>
      <c r="AH309" s="2">
        <f t="shared" si="12"/>
        <v>0</v>
      </c>
      <c r="AI309" s="2">
        <f t="shared" si="13"/>
        <v>25</v>
      </c>
      <c r="AJ309" s="2">
        <f t="shared" si="14"/>
        <v>25</v>
      </c>
    </row>
    <row r="310" spans="2:36" x14ac:dyDescent="0.2">
      <c r="B310" s="102"/>
      <c r="C310" s="103">
        <v>307</v>
      </c>
      <c r="D310" s="205"/>
      <c r="E310" s="205"/>
      <c r="F310" s="205"/>
      <c r="G310" s="205"/>
      <c r="H310" s="205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  <c r="AD310" s="206"/>
      <c r="AE310" s="206"/>
      <c r="AF310" s="206"/>
      <c r="AG310" s="206"/>
      <c r="AH310" s="2">
        <f t="shared" si="12"/>
        <v>0</v>
      </c>
      <c r="AI310" s="2">
        <f t="shared" si="13"/>
        <v>25</v>
      </c>
      <c r="AJ310" s="2">
        <f t="shared" si="14"/>
        <v>25</v>
      </c>
    </row>
    <row r="311" spans="2:36" x14ac:dyDescent="0.2">
      <c r="B311" s="102"/>
      <c r="C311" s="103">
        <v>308</v>
      </c>
      <c r="D311" s="205"/>
      <c r="E311" s="205"/>
      <c r="F311" s="205"/>
      <c r="G311" s="205"/>
      <c r="H311" s="205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  <c r="AD311" s="206"/>
      <c r="AE311" s="206"/>
      <c r="AF311" s="206"/>
      <c r="AG311" s="206"/>
      <c r="AH311" s="2">
        <f t="shared" si="12"/>
        <v>0</v>
      </c>
      <c r="AI311" s="2">
        <f t="shared" si="13"/>
        <v>25</v>
      </c>
      <c r="AJ311" s="2">
        <f t="shared" si="14"/>
        <v>25</v>
      </c>
    </row>
    <row r="312" spans="2:36" x14ac:dyDescent="0.2">
      <c r="B312" s="102"/>
      <c r="C312" s="103">
        <v>309</v>
      </c>
      <c r="D312" s="205"/>
      <c r="E312" s="205"/>
      <c r="F312" s="205"/>
      <c r="G312" s="205"/>
      <c r="H312" s="205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  <c r="AD312" s="206"/>
      <c r="AE312" s="206"/>
      <c r="AF312" s="206"/>
      <c r="AG312" s="206"/>
      <c r="AH312" s="2">
        <f t="shared" si="12"/>
        <v>0</v>
      </c>
      <c r="AI312" s="2">
        <f t="shared" si="13"/>
        <v>25</v>
      </c>
      <c r="AJ312" s="2">
        <f t="shared" si="14"/>
        <v>25</v>
      </c>
    </row>
    <row r="313" spans="2:36" x14ac:dyDescent="0.2">
      <c r="B313" s="102"/>
      <c r="C313" s="103">
        <v>310</v>
      </c>
      <c r="D313" s="205"/>
      <c r="E313" s="205"/>
      <c r="F313" s="205"/>
      <c r="G313" s="205"/>
      <c r="H313" s="205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  <c r="AD313" s="206"/>
      <c r="AE313" s="206"/>
      <c r="AF313" s="206"/>
      <c r="AG313" s="206"/>
      <c r="AH313" s="2">
        <f t="shared" si="12"/>
        <v>0</v>
      </c>
      <c r="AI313" s="2">
        <f t="shared" si="13"/>
        <v>25</v>
      </c>
      <c r="AJ313" s="2">
        <f t="shared" si="14"/>
        <v>25</v>
      </c>
    </row>
    <row r="314" spans="2:36" x14ac:dyDescent="0.2">
      <c r="B314" s="102"/>
      <c r="C314" s="103">
        <v>311</v>
      </c>
      <c r="D314" s="205"/>
      <c r="E314" s="205"/>
      <c r="F314" s="205"/>
      <c r="G314" s="205"/>
      <c r="H314" s="205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  <c r="AD314" s="206"/>
      <c r="AE314" s="206"/>
      <c r="AF314" s="206"/>
      <c r="AG314" s="206"/>
      <c r="AH314" s="2">
        <f t="shared" si="12"/>
        <v>0</v>
      </c>
      <c r="AI314" s="2">
        <f t="shared" si="13"/>
        <v>25</v>
      </c>
      <c r="AJ314" s="2">
        <f t="shared" si="14"/>
        <v>25</v>
      </c>
    </row>
    <row r="315" spans="2:36" x14ac:dyDescent="0.2">
      <c r="B315" s="102"/>
      <c r="C315" s="103">
        <v>312</v>
      </c>
      <c r="D315" s="205"/>
      <c r="E315" s="205"/>
      <c r="F315" s="205"/>
      <c r="G315" s="205"/>
      <c r="H315" s="205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  <c r="AD315" s="206"/>
      <c r="AE315" s="206"/>
      <c r="AF315" s="206"/>
      <c r="AG315" s="206"/>
      <c r="AH315" s="2">
        <f t="shared" si="12"/>
        <v>0</v>
      </c>
      <c r="AI315" s="2">
        <f t="shared" si="13"/>
        <v>25</v>
      </c>
      <c r="AJ315" s="2">
        <f t="shared" si="14"/>
        <v>25</v>
      </c>
    </row>
    <row r="316" spans="2:36" x14ac:dyDescent="0.2">
      <c r="B316" s="102"/>
      <c r="C316" s="103">
        <v>313</v>
      </c>
      <c r="D316" s="205"/>
      <c r="E316" s="205"/>
      <c r="F316" s="205"/>
      <c r="G316" s="205"/>
      <c r="H316" s="205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  <c r="AD316" s="206"/>
      <c r="AE316" s="206"/>
      <c r="AF316" s="206"/>
      <c r="AG316" s="206"/>
      <c r="AH316" s="2">
        <f t="shared" si="12"/>
        <v>0</v>
      </c>
      <c r="AI316" s="2">
        <f t="shared" si="13"/>
        <v>25</v>
      </c>
      <c r="AJ316" s="2">
        <f t="shared" si="14"/>
        <v>25</v>
      </c>
    </row>
    <row r="317" spans="2:36" x14ac:dyDescent="0.2">
      <c r="B317" s="102"/>
      <c r="C317" s="103">
        <v>314</v>
      </c>
      <c r="D317" s="205"/>
      <c r="E317" s="205"/>
      <c r="F317" s="205"/>
      <c r="G317" s="205"/>
      <c r="H317" s="205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  <c r="AD317" s="206"/>
      <c r="AE317" s="206"/>
      <c r="AF317" s="206"/>
      <c r="AG317" s="206"/>
      <c r="AH317" s="2">
        <f t="shared" si="12"/>
        <v>0</v>
      </c>
      <c r="AI317" s="2">
        <f t="shared" si="13"/>
        <v>25</v>
      </c>
      <c r="AJ317" s="2">
        <f t="shared" si="14"/>
        <v>25</v>
      </c>
    </row>
    <row r="318" spans="2:36" x14ac:dyDescent="0.2">
      <c r="B318" s="102"/>
      <c r="C318" s="103">
        <v>315</v>
      </c>
      <c r="D318" s="205"/>
      <c r="E318" s="205"/>
      <c r="F318" s="205"/>
      <c r="G318" s="205"/>
      <c r="H318" s="205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  <c r="AD318" s="206"/>
      <c r="AE318" s="206"/>
      <c r="AF318" s="206"/>
      <c r="AG318" s="206"/>
      <c r="AH318" s="2">
        <f t="shared" si="12"/>
        <v>0</v>
      </c>
      <c r="AI318" s="2">
        <f t="shared" si="13"/>
        <v>25</v>
      </c>
      <c r="AJ318" s="2">
        <f t="shared" si="14"/>
        <v>25</v>
      </c>
    </row>
    <row r="319" spans="2:36" x14ac:dyDescent="0.2">
      <c r="B319" s="102"/>
      <c r="C319" s="103">
        <v>316</v>
      </c>
      <c r="D319" s="205"/>
      <c r="E319" s="205"/>
      <c r="F319" s="205"/>
      <c r="G319" s="205"/>
      <c r="H319" s="205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  <c r="AD319" s="206"/>
      <c r="AE319" s="206"/>
      <c r="AF319" s="206"/>
      <c r="AG319" s="206"/>
      <c r="AH319" s="2">
        <f t="shared" si="12"/>
        <v>0</v>
      </c>
      <c r="AI319" s="2">
        <f t="shared" si="13"/>
        <v>25</v>
      </c>
      <c r="AJ319" s="2">
        <f t="shared" si="14"/>
        <v>25</v>
      </c>
    </row>
    <row r="320" spans="2:36" x14ac:dyDescent="0.2">
      <c r="B320" s="102"/>
      <c r="C320" s="103">
        <v>317</v>
      </c>
      <c r="D320" s="205"/>
      <c r="E320" s="205"/>
      <c r="F320" s="205"/>
      <c r="G320" s="205"/>
      <c r="H320" s="205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  <c r="AD320" s="206"/>
      <c r="AE320" s="206"/>
      <c r="AF320" s="206"/>
      <c r="AG320" s="206"/>
      <c r="AH320" s="2">
        <f t="shared" si="12"/>
        <v>0</v>
      </c>
      <c r="AI320" s="2">
        <f t="shared" si="13"/>
        <v>25</v>
      </c>
      <c r="AJ320" s="2">
        <f t="shared" si="14"/>
        <v>25</v>
      </c>
    </row>
    <row r="321" spans="2:36" x14ac:dyDescent="0.2">
      <c r="B321" s="102"/>
      <c r="C321" s="103">
        <v>318</v>
      </c>
      <c r="D321" s="205"/>
      <c r="E321" s="205"/>
      <c r="F321" s="205"/>
      <c r="G321" s="205"/>
      <c r="H321" s="205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  <c r="AD321" s="206"/>
      <c r="AE321" s="206"/>
      <c r="AF321" s="206"/>
      <c r="AG321" s="206"/>
      <c r="AH321" s="2">
        <f t="shared" si="12"/>
        <v>0</v>
      </c>
      <c r="AI321" s="2">
        <f t="shared" si="13"/>
        <v>25</v>
      </c>
      <c r="AJ321" s="2">
        <f t="shared" si="14"/>
        <v>25</v>
      </c>
    </row>
    <row r="322" spans="2:36" x14ac:dyDescent="0.2">
      <c r="B322" s="102"/>
      <c r="C322" s="103">
        <v>319</v>
      </c>
      <c r="D322" s="205"/>
      <c r="E322" s="205"/>
      <c r="F322" s="205"/>
      <c r="G322" s="205"/>
      <c r="H322" s="205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  <c r="AD322" s="206"/>
      <c r="AE322" s="206"/>
      <c r="AF322" s="206"/>
      <c r="AG322" s="206"/>
      <c r="AH322" s="2">
        <f t="shared" si="12"/>
        <v>0</v>
      </c>
      <c r="AI322" s="2">
        <f t="shared" si="13"/>
        <v>25</v>
      </c>
      <c r="AJ322" s="2">
        <f t="shared" si="14"/>
        <v>25</v>
      </c>
    </row>
    <row r="323" spans="2:36" x14ac:dyDescent="0.2">
      <c r="B323" s="102"/>
      <c r="C323" s="103">
        <v>320</v>
      </c>
      <c r="D323" s="205"/>
      <c r="E323" s="205"/>
      <c r="F323" s="205"/>
      <c r="G323" s="205"/>
      <c r="H323" s="205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  <c r="AD323" s="206"/>
      <c r="AE323" s="206"/>
      <c r="AF323" s="206"/>
      <c r="AG323" s="206"/>
      <c r="AH323" s="2">
        <f t="shared" si="12"/>
        <v>0</v>
      </c>
      <c r="AI323" s="2">
        <f t="shared" si="13"/>
        <v>25</v>
      </c>
      <c r="AJ323" s="2">
        <f t="shared" si="14"/>
        <v>25</v>
      </c>
    </row>
    <row r="324" spans="2:36" x14ac:dyDescent="0.2">
      <c r="B324" s="102"/>
      <c r="C324" s="103">
        <v>321</v>
      </c>
      <c r="D324" s="205"/>
      <c r="E324" s="205"/>
      <c r="F324" s="205"/>
      <c r="G324" s="205"/>
      <c r="H324" s="205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  <c r="AD324" s="206"/>
      <c r="AE324" s="206"/>
      <c r="AF324" s="206"/>
      <c r="AG324" s="206"/>
      <c r="AH324" s="2">
        <f t="shared" ref="AH324:AH363" si="15">FREQUENCY(I324:AG324,-1)</f>
        <v>0</v>
      </c>
      <c r="AI324" s="2">
        <f t="shared" si="13"/>
        <v>25</v>
      </c>
      <c r="AJ324" s="2">
        <f t="shared" si="14"/>
        <v>25</v>
      </c>
    </row>
    <row r="325" spans="2:36" x14ac:dyDescent="0.2">
      <c r="B325" s="102"/>
      <c r="C325" s="103">
        <v>322</v>
      </c>
      <c r="D325" s="205"/>
      <c r="E325" s="205"/>
      <c r="F325" s="205"/>
      <c r="G325" s="205"/>
      <c r="H325" s="205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  <c r="AD325" s="206"/>
      <c r="AE325" s="206"/>
      <c r="AF325" s="206"/>
      <c r="AG325" s="206"/>
      <c r="AH325" s="2">
        <f t="shared" si="15"/>
        <v>0</v>
      </c>
      <c r="AI325" s="2">
        <f t="shared" ref="AI325:AI363" si="16">COUNTBLANK(I325:AG325)</f>
        <v>25</v>
      </c>
      <c r="AJ325" s="2">
        <f t="shared" ref="AJ325:AJ363" si="17">SUM(AH325:AI325)</f>
        <v>25</v>
      </c>
    </row>
    <row r="326" spans="2:36" x14ac:dyDescent="0.2">
      <c r="B326" s="102"/>
      <c r="C326" s="103">
        <v>323</v>
      </c>
      <c r="D326" s="205"/>
      <c r="E326" s="205"/>
      <c r="F326" s="205"/>
      <c r="G326" s="205"/>
      <c r="H326" s="205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  <c r="AD326" s="206"/>
      <c r="AE326" s="206"/>
      <c r="AF326" s="206"/>
      <c r="AG326" s="206"/>
      <c r="AH326" s="2">
        <f t="shared" si="15"/>
        <v>0</v>
      </c>
      <c r="AI326" s="2">
        <f t="shared" si="16"/>
        <v>25</v>
      </c>
      <c r="AJ326" s="2">
        <f t="shared" si="17"/>
        <v>25</v>
      </c>
    </row>
    <row r="327" spans="2:36" x14ac:dyDescent="0.2">
      <c r="B327" s="102"/>
      <c r="C327" s="103">
        <v>324</v>
      </c>
      <c r="D327" s="205"/>
      <c r="E327" s="205"/>
      <c r="F327" s="205"/>
      <c r="G327" s="205"/>
      <c r="H327" s="205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  <c r="AD327" s="206"/>
      <c r="AE327" s="206"/>
      <c r="AF327" s="206"/>
      <c r="AG327" s="206"/>
      <c r="AH327" s="2">
        <f t="shared" si="15"/>
        <v>0</v>
      </c>
      <c r="AI327" s="2">
        <f t="shared" si="16"/>
        <v>25</v>
      </c>
      <c r="AJ327" s="2">
        <f t="shared" si="17"/>
        <v>25</v>
      </c>
    </row>
    <row r="328" spans="2:36" x14ac:dyDescent="0.2">
      <c r="B328" s="102"/>
      <c r="C328" s="103">
        <v>325</v>
      </c>
      <c r="D328" s="205"/>
      <c r="E328" s="205"/>
      <c r="F328" s="205"/>
      <c r="G328" s="205"/>
      <c r="H328" s="205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  <c r="AD328" s="206"/>
      <c r="AE328" s="206"/>
      <c r="AF328" s="206"/>
      <c r="AG328" s="206"/>
      <c r="AH328" s="2">
        <f t="shared" si="15"/>
        <v>0</v>
      </c>
      <c r="AI328" s="2">
        <f t="shared" si="16"/>
        <v>25</v>
      </c>
      <c r="AJ328" s="2">
        <f t="shared" si="17"/>
        <v>25</v>
      </c>
    </row>
    <row r="329" spans="2:36" x14ac:dyDescent="0.2">
      <c r="B329" s="102"/>
      <c r="C329" s="103">
        <v>326</v>
      </c>
      <c r="D329" s="205"/>
      <c r="E329" s="205"/>
      <c r="F329" s="205"/>
      <c r="G329" s="205"/>
      <c r="H329" s="205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  <c r="AD329" s="206"/>
      <c r="AE329" s="206"/>
      <c r="AF329" s="206"/>
      <c r="AG329" s="206"/>
      <c r="AH329" s="2">
        <f t="shared" si="15"/>
        <v>0</v>
      </c>
      <c r="AI329" s="2">
        <f t="shared" si="16"/>
        <v>25</v>
      </c>
      <c r="AJ329" s="2">
        <f t="shared" si="17"/>
        <v>25</v>
      </c>
    </row>
    <row r="330" spans="2:36" x14ac:dyDescent="0.2">
      <c r="B330" s="102"/>
      <c r="C330" s="103">
        <v>327</v>
      </c>
      <c r="D330" s="205"/>
      <c r="E330" s="205"/>
      <c r="F330" s="205"/>
      <c r="G330" s="205"/>
      <c r="H330" s="205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  <c r="AD330" s="206"/>
      <c r="AE330" s="206"/>
      <c r="AF330" s="206"/>
      <c r="AG330" s="206"/>
      <c r="AH330" s="2">
        <f t="shared" si="15"/>
        <v>0</v>
      </c>
      <c r="AI330" s="2">
        <f t="shared" si="16"/>
        <v>25</v>
      </c>
      <c r="AJ330" s="2">
        <f t="shared" si="17"/>
        <v>25</v>
      </c>
    </row>
    <row r="331" spans="2:36" x14ac:dyDescent="0.2">
      <c r="B331" s="102"/>
      <c r="C331" s="103">
        <v>328</v>
      </c>
      <c r="D331" s="205"/>
      <c r="E331" s="205"/>
      <c r="F331" s="205"/>
      <c r="G331" s="205"/>
      <c r="H331" s="205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  <c r="AD331" s="206"/>
      <c r="AE331" s="206"/>
      <c r="AF331" s="206"/>
      <c r="AG331" s="206"/>
      <c r="AH331" s="2">
        <f t="shared" si="15"/>
        <v>0</v>
      </c>
      <c r="AI331" s="2">
        <f t="shared" si="16"/>
        <v>25</v>
      </c>
      <c r="AJ331" s="2">
        <f t="shared" si="17"/>
        <v>25</v>
      </c>
    </row>
    <row r="332" spans="2:36" x14ac:dyDescent="0.2">
      <c r="B332" s="102"/>
      <c r="C332" s="103">
        <v>329</v>
      </c>
      <c r="D332" s="205"/>
      <c r="E332" s="205"/>
      <c r="F332" s="205"/>
      <c r="G332" s="205"/>
      <c r="H332" s="205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  <c r="AD332" s="206"/>
      <c r="AE332" s="206"/>
      <c r="AF332" s="206"/>
      <c r="AG332" s="206"/>
      <c r="AH332" s="2">
        <f t="shared" si="15"/>
        <v>0</v>
      </c>
      <c r="AI332" s="2">
        <f t="shared" si="16"/>
        <v>25</v>
      </c>
      <c r="AJ332" s="2">
        <f t="shared" si="17"/>
        <v>25</v>
      </c>
    </row>
    <row r="333" spans="2:36" x14ac:dyDescent="0.2">
      <c r="B333" s="102"/>
      <c r="C333" s="103">
        <v>330</v>
      </c>
      <c r="D333" s="205"/>
      <c r="E333" s="205"/>
      <c r="F333" s="205"/>
      <c r="G333" s="205"/>
      <c r="H333" s="205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  <c r="AD333" s="206"/>
      <c r="AE333" s="206"/>
      <c r="AF333" s="206"/>
      <c r="AG333" s="206"/>
      <c r="AH333" s="2">
        <f t="shared" si="15"/>
        <v>0</v>
      </c>
      <c r="AI333" s="2">
        <f t="shared" si="16"/>
        <v>25</v>
      </c>
      <c r="AJ333" s="2">
        <f t="shared" si="17"/>
        <v>25</v>
      </c>
    </row>
    <row r="334" spans="2:36" x14ac:dyDescent="0.2">
      <c r="B334" s="102"/>
      <c r="C334" s="103">
        <v>331</v>
      </c>
      <c r="D334" s="205"/>
      <c r="E334" s="205"/>
      <c r="F334" s="205"/>
      <c r="G334" s="205"/>
      <c r="H334" s="205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  <c r="AD334" s="206"/>
      <c r="AE334" s="206"/>
      <c r="AF334" s="206"/>
      <c r="AG334" s="206"/>
      <c r="AH334" s="2">
        <f t="shared" si="15"/>
        <v>0</v>
      </c>
      <c r="AI334" s="2">
        <f t="shared" si="16"/>
        <v>25</v>
      </c>
      <c r="AJ334" s="2">
        <f t="shared" si="17"/>
        <v>25</v>
      </c>
    </row>
    <row r="335" spans="2:36" x14ac:dyDescent="0.2">
      <c r="B335" s="102"/>
      <c r="C335" s="103">
        <v>332</v>
      </c>
      <c r="D335" s="205"/>
      <c r="E335" s="205"/>
      <c r="F335" s="205"/>
      <c r="G335" s="205"/>
      <c r="H335" s="205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  <c r="AD335" s="206"/>
      <c r="AE335" s="206"/>
      <c r="AF335" s="206"/>
      <c r="AG335" s="206"/>
      <c r="AH335" s="2">
        <f t="shared" si="15"/>
        <v>0</v>
      </c>
      <c r="AI335" s="2">
        <f t="shared" si="16"/>
        <v>25</v>
      </c>
      <c r="AJ335" s="2">
        <f t="shared" si="17"/>
        <v>25</v>
      </c>
    </row>
    <row r="336" spans="2:36" x14ac:dyDescent="0.2">
      <c r="B336" s="102"/>
      <c r="C336" s="103">
        <v>333</v>
      </c>
      <c r="D336" s="205"/>
      <c r="E336" s="205"/>
      <c r="F336" s="205"/>
      <c r="G336" s="205"/>
      <c r="H336" s="205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  <c r="AD336" s="206"/>
      <c r="AE336" s="206"/>
      <c r="AF336" s="206"/>
      <c r="AG336" s="206"/>
      <c r="AH336" s="2">
        <f t="shared" si="15"/>
        <v>0</v>
      </c>
      <c r="AI336" s="2">
        <f t="shared" si="16"/>
        <v>25</v>
      </c>
      <c r="AJ336" s="2">
        <f t="shared" si="17"/>
        <v>25</v>
      </c>
    </row>
    <row r="337" spans="2:36" x14ac:dyDescent="0.2">
      <c r="B337" s="102"/>
      <c r="C337" s="103">
        <v>334</v>
      </c>
      <c r="D337" s="205"/>
      <c r="E337" s="205"/>
      <c r="F337" s="205"/>
      <c r="G337" s="205"/>
      <c r="H337" s="205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  <c r="AD337" s="206"/>
      <c r="AE337" s="206"/>
      <c r="AF337" s="206"/>
      <c r="AG337" s="206"/>
      <c r="AH337" s="2">
        <f t="shared" si="15"/>
        <v>0</v>
      </c>
      <c r="AI337" s="2">
        <f t="shared" si="16"/>
        <v>25</v>
      </c>
      <c r="AJ337" s="2">
        <f t="shared" si="17"/>
        <v>25</v>
      </c>
    </row>
    <row r="338" spans="2:36" x14ac:dyDescent="0.2">
      <c r="B338" s="102"/>
      <c r="C338" s="103">
        <v>335</v>
      </c>
      <c r="D338" s="205"/>
      <c r="E338" s="205"/>
      <c r="F338" s="205"/>
      <c r="G338" s="205"/>
      <c r="H338" s="205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  <c r="AD338" s="206"/>
      <c r="AE338" s="206"/>
      <c r="AF338" s="206"/>
      <c r="AG338" s="206"/>
      <c r="AH338" s="2">
        <f t="shared" si="15"/>
        <v>0</v>
      </c>
      <c r="AI338" s="2">
        <f t="shared" si="16"/>
        <v>25</v>
      </c>
      <c r="AJ338" s="2">
        <f t="shared" si="17"/>
        <v>25</v>
      </c>
    </row>
    <row r="339" spans="2:36" x14ac:dyDescent="0.2">
      <c r="B339" s="102"/>
      <c r="C339" s="103">
        <v>336</v>
      </c>
      <c r="D339" s="205"/>
      <c r="E339" s="205"/>
      <c r="F339" s="205"/>
      <c r="G339" s="205"/>
      <c r="H339" s="205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  <c r="AD339" s="206"/>
      <c r="AE339" s="206"/>
      <c r="AF339" s="206"/>
      <c r="AG339" s="206"/>
      <c r="AH339" s="2">
        <f t="shared" si="15"/>
        <v>0</v>
      </c>
      <c r="AI339" s="2">
        <f t="shared" si="16"/>
        <v>25</v>
      </c>
      <c r="AJ339" s="2">
        <f t="shared" si="17"/>
        <v>25</v>
      </c>
    </row>
    <row r="340" spans="2:36" x14ac:dyDescent="0.2">
      <c r="B340" s="102"/>
      <c r="C340" s="103">
        <v>337</v>
      </c>
      <c r="D340" s="205"/>
      <c r="E340" s="205"/>
      <c r="F340" s="205"/>
      <c r="G340" s="205"/>
      <c r="H340" s="205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  <c r="AD340" s="206"/>
      <c r="AE340" s="206"/>
      <c r="AF340" s="206"/>
      <c r="AG340" s="206"/>
      <c r="AH340" s="2">
        <f t="shared" si="15"/>
        <v>0</v>
      </c>
      <c r="AI340" s="2">
        <f t="shared" si="16"/>
        <v>25</v>
      </c>
      <c r="AJ340" s="2">
        <f t="shared" si="17"/>
        <v>25</v>
      </c>
    </row>
    <row r="341" spans="2:36" x14ac:dyDescent="0.2">
      <c r="B341" s="102"/>
      <c r="C341" s="103">
        <v>338</v>
      </c>
      <c r="D341" s="205"/>
      <c r="E341" s="205"/>
      <c r="F341" s="205"/>
      <c r="G341" s="205"/>
      <c r="H341" s="205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  <c r="AD341" s="206"/>
      <c r="AE341" s="206"/>
      <c r="AF341" s="206"/>
      <c r="AG341" s="206"/>
      <c r="AH341" s="2">
        <f t="shared" si="15"/>
        <v>0</v>
      </c>
      <c r="AI341" s="2">
        <f t="shared" si="16"/>
        <v>25</v>
      </c>
      <c r="AJ341" s="2">
        <f t="shared" si="17"/>
        <v>25</v>
      </c>
    </row>
    <row r="342" spans="2:36" x14ac:dyDescent="0.2">
      <c r="B342" s="102"/>
      <c r="C342" s="103">
        <v>339</v>
      </c>
      <c r="D342" s="205"/>
      <c r="E342" s="205"/>
      <c r="F342" s="205"/>
      <c r="G342" s="205"/>
      <c r="H342" s="205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  <c r="AD342" s="206"/>
      <c r="AE342" s="206"/>
      <c r="AF342" s="206"/>
      <c r="AG342" s="206"/>
      <c r="AH342" s="2">
        <f t="shared" si="15"/>
        <v>0</v>
      </c>
      <c r="AI342" s="2">
        <f t="shared" si="16"/>
        <v>25</v>
      </c>
      <c r="AJ342" s="2">
        <f t="shared" si="17"/>
        <v>25</v>
      </c>
    </row>
    <row r="343" spans="2:36" x14ac:dyDescent="0.2">
      <c r="B343" s="102"/>
      <c r="C343" s="103">
        <v>340</v>
      </c>
      <c r="D343" s="205"/>
      <c r="E343" s="205"/>
      <c r="F343" s="205"/>
      <c r="G343" s="205"/>
      <c r="H343" s="205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  <c r="AD343" s="206"/>
      <c r="AE343" s="206"/>
      <c r="AF343" s="206"/>
      <c r="AG343" s="206"/>
      <c r="AH343" s="2">
        <f t="shared" si="15"/>
        <v>0</v>
      </c>
      <c r="AI343" s="2">
        <f t="shared" si="16"/>
        <v>25</v>
      </c>
      <c r="AJ343" s="2">
        <f t="shared" si="17"/>
        <v>25</v>
      </c>
    </row>
    <row r="344" spans="2:36" x14ac:dyDescent="0.2">
      <c r="B344" s="102"/>
      <c r="C344" s="103">
        <v>341</v>
      </c>
      <c r="D344" s="205"/>
      <c r="E344" s="205"/>
      <c r="F344" s="205"/>
      <c r="G344" s="205"/>
      <c r="H344" s="205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  <c r="AD344" s="206"/>
      <c r="AE344" s="206"/>
      <c r="AF344" s="206"/>
      <c r="AG344" s="206"/>
      <c r="AH344" s="2">
        <f t="shared" si="15"/>
        <v>0</v>
      </c>
      <c r="AI344" s="2">
        <f t="shared" si="16"/>
        <v>25</v>
      </c>
      <c r="AJ344" s="2">
        <f t="shared" si="17"/>
        <v>25</v>
      </c>
    </row>
    <row r="345" spans="2:36" x14ac:dyDescent="0.2">
      <c r="B345" s="102"/>
      <c r="C345" s="103">
        <v>342</v>
      </c>
      <c r="D345" s="205"/>
      <c r="E345" s="205"/>
      <c r="F345" s="205"/>
      <c r="G345" s="205"/>
      <c r="H345" s="205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  <c r="AD345" s="206"/>
      <c r="AE345" s="206"/>
      <c r="AF345" s="206"/>
      <c r="AG345" s="206"/>
      <c r="AH345" s="2">
        <f t="shared" si="15"/>
        <v>0</v>
      </c>
      <c r="AI345" s="2">
        <f t="shared" si="16"/>
        <v>25</v>
      </c>
      <c r="AJ345" s="2">
        <f t="shared" si="17"/>
        <v>25</v>
      </c>
    </row>
    <row r="346" spans="2:36" x14ac:dyDescent="0.2">
      <c r="B346" s="102"/>
      <c r="C346" s="103">
        <v>343</v>
      </c>
      <c r="D346" s="205"/>
      <c r="E346" s="205"/>
      <c r="F346" s="205"/>
      <c r="G346" s="205"/>
      <c r="H346" s="205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  <c r="AD346" s="206"/>
      <c r="AE346" s="206"/>
      <c r="AF346" s="206"/>
      <c r="AG346" s="206"/>
      <c r="AH346" s="2">
        <f t="shared" si="15"/>
        <v>0</v>
      </c>
      <c r="AI346" s="2">
        <f t="shared" si="16"/>
        <v>25</v>
      </c>
      <c r="AJ346" s="2">
        <f t="shared" si="17"/>
        <v>25</v>
      </c>
    </row>
    <row r="347" spans="2:36" x14ac:dyDescent="0.2">
      <c r="B347" s="102"/>
      <c r="C347" s="103">
        <v>344</v>
      </c>
      <c r="D347" s="205"/>
      <c r="E347" s="205"/>
      <c r="F347" s="205"/>
      <c r="G347" s="205"/>
      <c r="H347" s="205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  <c r="AD347" s="206"/>
      <c r="AE347" s="206"/>
      <c r="AF347" s="206"/>
      <c r="AG347" s="206"/>
      <c r="AH347" s="2">
        <f t="shared" si="15"/>
        <v>0</v>
      </c>
      <c r="AI347" s="2">
        <f t="shared" si="16"/>
        <v>25</v>
      </c>
      <c r="AJ347" s="2">
        <f t="shared" si="17"/>
        <v>25</v>
      </c>
    </row>
    <row r="348" spans="2:36" x14ac:dyDescent="0.2">
      <c r="B348" s="102"/>
      <c r="C348" s="103">
        <v>345</v>
      </c>
      <c r="D348" s="205"/>
      <c r="E348" s="205"/>
      <c r="F348" s="205"/>
      <c r="G348" s="205"/>
      <c r="H348" s="205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  <c r="AD348" s="206"/>
      <c r="AE348" s="206"/>
      <c r="AF348" s="206"/>
      <c r="AG348" s="206"/>
      <c r="AH348" s="2">
        <f t="shared" si="15"/>
        <v>0</v>
      </c>
      <c r="AI348" s="2">
        <f t="shared" si="16"/>
        <v>25</v>
      </c>
      <c r="AJ348" s="2">
        <f t="shared" si="17"/>
        <v>25</v>
      </c>
    </row>
    <row r="349" spans="2:36" x14ac:dyDescent="0.2">
      <c r="B349" s="102"/>
      <c r="C349" s="103">
        <v>346</v>
      </c>
      <c r="D349" s="205"/>
      <c r="E349" s="205"/>
      <c r="F349" s="205"/>
      <c r="G349" s="205"/>
      <c r="H349" s="205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  <c r="AD349" s="206"/>
      <c r="AE349" s="206"/>
      <c r="AF349" s="206"/>
      <c r="AG349" s="206"/>
      <c r="AH349" s="2">
        <f t="shared" si="15"/>
        <v>0</v>
      </c>
      <c r="AI349" s="2">
        <f t="shared" si="16"/>
        <v>25</v>
      </c>
      <c r="AJ349" s="2">
        <f t="shared" si="17"/>
        <v>25</v>
      </c>
    </row>
    <row r="350" spans="2:36" x14ac:dyDescent="0.2">
      <c r="B350" s="102"/>
      <c r="C350" s="103">
        <v>347</v>
      </c>
      <c r="D350" s="205"/>
      <c r="E350" s="205"/>
      <c r="F350" s="205"/>
      <c r="G350" s="205"/>
      <c r="H350" s="205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  <c r="AD350" s="206"/>
      <c r="AE350" s="206"/>
      <c r="AF350" s="206"/>
      <c r="AG350" s="206"/>
      <c r="AH350" s="2">
        <f t="shared" si="15"/>
        <v>0</v>
      </c>
      <c r="AI350" s="2">
        <f t="shared" si="16"/>
        <v>25</v>
      </c>
      <c r="AJ350" s="2">
        <f t="shared" si="17"/>
        <v>25</v>
      </c>
    </row>
    <row r="351" spans="2:36" x14ac:dyDescent="0.2">
      <c r="B351" s="102"/>
      <c r="C351" s="103">
        <v>348</v>
      </c>
      <c r="D351" s="205"/>
      <c r="E351" s="205"/>
      <c r="F351" s="205"/>
      <c r="G351" s="205"/>
      <c r="H351" s="205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  <c r="AD351" s="206"/>
      <c r="AE351" s="206"/>
      <c r="AF351" s="206"/>
      <c r="AG351" s="206"/>
      <c r="AH351" s="2">
        <f t="shared" si="15"/>
        <v>0</v>
      </c>
      <c r="AI351" s="2">
        <f t="shared" si="16"/>
        <v>25</v>
      </c>
      <c r="AJ351" s="2">
        <f t="shared" si="17"/>
        <v>25</v>
      </c>
    </row>
    <row r="352" spans="2:36" x14ac:dyDescent="0.2">
      <c r="B352" s="102"/>
      <c r="C352" s="103">
        <v>349</v>
      </c>
      <c r="D352" s="205"/>
      <c r="E352" s="205"/>
      <c r="F352" s="205"/>
      <c r="G352" s="205"/>
      <c r="H352" s="205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  <c r="AD352" s="206"/>
      <c r="AE352" s="206"/>
      <c r="AF352" s="206"/>
      <c r="AG352" s="206"/>
      <c r="AH352" s="2">
        <f t="shared" si="15"/>
        <v>0</v>
      </c>
      <c r="AI352" s="2">
        <f t="shared" si="16"/>
        <v>25</v>
      </c>
      <c r="AJ352" s="2">
        <f t="shared" si="17"/>
        <v>25</v>
      </c>
    </row>
    <row r="353" spans="2:36" x14ac:dyDescent="0.2">
      <c r="B353" s="102"/>
      <c r="C353" s="103">
        <v>350</v>
      </c>
      <c r="D353" s="205"/>
      <c r="E353" s="205"/>
      <c r="F353" s="205"/>
      <c r="G353" s="205"/>
      <c r="H353" s="205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  <c r="AD353" s="206"/>
      <c r="AE353" s="206"/>
      <c r="AF353" s="206"/>
      <c r="AG353" s="206"/>
      <c r="AH353" s="2">
        <f t="shared" si="15"/>
        <v>0</v>
      </c>
      <c r="AI353" s="2">
        <f t="shared" si="16"/>
        <v>25</v>
      </c>
      <c r="AJ353" s="2">
        <f t="shared" si="17"/>
        <v>25</v>
      </c>
    </row>
    <row r="354" spans="2:36" x14ac:dyDescent="0.2">
      <c r="B354" s="102"/>
      <c r="C354" s="103">
        <v>351</v>
      </c>
      <c r="D354" s="205"/>
      <c r="E354" s="205"/>
      <c r="F354" s="205"/>
      <c r="G354" s="205"/>
      <c r="H354" s="205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  <c r="AD354" s="206"/>
      <c r="AE354" s="206"/>
      <c r="AF354" s="206"/>
      <c r="AG354" s="206"/>
      <c r="AH354" s="2">
        <f t="shared" si="15"/>
        <v>0</v>
      </c>
      <c r="AI354" s="2">
        <f t="shared" si="16"/>
        <v>25</v>
      </c>
      <c r="AJ354" s="2">
        <f t="shared" si="17"/>
        <v>25</v>
      </c>
    </row>
    <row r="355" spans="2:36" x14ac:dyDescent="0.2">
      <c r="B355" s="102"/>
      <c r="C355" s="103">
        <v>352</v>
      </c>
      <c r="D355" s="205"/>
      <c r="E355" s="205"/>
      <c r="F355" s="205"/>
      <c r="G355" s="205"/>
      <c r="H355" s="205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  <c r="AD355" s="206"/>
      <c r="AE355" s="206"/>
      <c r="AF355" s="206"/>
      <c r="AG355" s="206"/>
      <c r="AH355" s="2">
        <f t="shared" si="15"/>
        <v>0</v>
      </c>
      <c r="AI355" s="2">
        <f t="shared" si="16"/>
        <v>25</v>
      </c>
      <c r="AJ355" s="2">
        <f t="shared" si="17"/>
        <v>25</v>
      </c>
    </row>
    <row r="356" spans="2:36" x14ac:dyDescent="0.2">
      <c r="B356" s="102"/>
      <c r="C356" s="103">
        <v>353</v>
      </c>
      <c r="D356" s="205"/>
      <c r="E356" s="205"/>
      <c r="F356" s="205"/>
      <c r="G356" s="205"/>
      <c r="H356" s="205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  <c r="AD356" s="206"/>
      <c r="AE356" s="206"/>
      <c r="AF356" s="206"/>
      <c r="AG356" s="206"/>
      <c r="AH356" s="2">
        <f t="shared" si="15"/>
        <v>0</v>
      </c>
      <c r="AI356" s="2">
        <f t="shared" si="16"/>
        <v>25</v>
      </c>
      <c r="AJ356" s="2">
        <f t="shared" si="17"/>
        <v>25</v>
      </c>
    </row>
    <row r="357" spans="2:36" x14ac:dyDescent="0.2">
      <c r="B357" s="102"/>
      <c r="C357" s="103">
        <v>354</v>
      </c>
      <c r="D357" s="205"/>
      <c r="E357" s="205"/>
      <c r="F357" s="205"/>
      <c r="G357" s="205"/>
      <c r="H357" s="205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  <c r="AD357" s="206"/>
      <c r="AE357" s="206"/>
      <c r="AF357" s="206"/>
      <c r="AG357" s="206"/>
      <c r="AH357" s="2">
        <f t="shared" si="15"/>
        <v>0</v>
      </c>
      <c r="AI357" s="2">
        <f t="shared" si="16"/>
        <v>25</v>
      </c>
      <c r="AJ357" s="2">
        <f t="shared" si="17"/>
        <v>25</v>
      </c>
    </row>
    <row r="358" spans="2:36" x14ac:dyDescent="0.2">
      <c r="B358" s="102"/>
      <c r="C358" s="103">
        <v>355</v>
      </c>
      <c r="D358" s="205"/>
      <c r="E358" s="205"/>
      <c r="F358" s="205"/>
      <c r="G358" s="205"/>
      <c r="H358" s="205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  <c r="AD358" s="206"/>
      <c r="AE358" s="206"/>
      <c r="AF358" s="206"/>
      <c r="AG358" s="206"/>
      <c r="AH358" s="2">
        <f t="shared" si="15"/>
        <v>0</v>
      </c>
      <c r="AI358" s="2">
        <f t="shared" si="16"/>
        <v>25</v>
      </c>
      <c r="AJ358" s="2">
        <f t="shared" si="17"/>
        <v>25</v>
      </c>
    </row>
    <row r="359" spans="2:36" x14ac:dyDescent="0.2">
      <c r="B359" s="102"/>
      <c r="C359" s="103">
        <v>356</v>
      </c>
      <c r="D359" s="205"/>
      <c r="E359" s="205"/>
      <c r="F359" s="205"/>
      <c r="G359" s="205"/>
      <c r="H359" s="205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  <c r="AD359" s="206"/>
      <c r="AE359" s="206"/>
      <c r="AF359" s="206"/>
      <c r="AG359" s="206"/>
      <c r="AH359" s="2">
        <f t="shared" si="15"/>
        <v>0</v>
      </c>
      <c r="AI359" s="2">
        <f t="shared" si="16"/>
        <v>25</v>
      </c>
      <c r="AJ359" s="2">
        <f t="shared" si="17"/>
        <v>25</v>
      </c>
    </row>
    <row r="360" spans="2:36" x14ac:dyDescent="0.2">
      <c r="B360" s="102"/>
      <c r="C360" s="103">
        <v>357</v>
      </c>
      <c r="D360" s="205"/>
      <c r="E360" s="205"/>
      <c r="F360" s="205"/>
      <c r="G360" s="205"/>
      <c r="H360" s="205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  <c r="AD360" s="206"/>
      <c r="AE360" s="206"/>
      <c r="AF360" s="206"/>
      <c r="AG360" s="206"/>
      <c r="AH360" s="2">
        <f t="shared" si="15"/>
        <v>0</v>
      </c>
      <c r="AI360" s="2">
        <f t="shared" si="16"/>
        <v>25</v>
      </c>
      <c r="AJ360" s="2">
        <f t="shared" si="17"/>
        <v>25</v>
      </c>
    </row>
    <row r="361" spans="2:36" x14ac:dyDescent="0.2">
      <c r="B361" s="102"/>
      <c r="C361" s="103">
        <v>358</v>
      </c>
      <c r="D361" s="205"/>
      <c r="E361" s="205"/>
      <c r="F361" s="205"/>
      <c r="G361" s="205"/>
      <c r="H361" s="205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  <c r="AD361" s="206"/>
      <c r="AE361" s="206"/>
      <c r="AF361" s="206"/>
      <c r="AG361" s="206"/>
      <c r="AH361" s="2">
        <f t="shared" si="15"/>
        <v>0</v>
      </c>
      <c r="AI361" s="2">
        <f t="shared" si="16"/>
        <v>25</v>
      </c>
      <c r="AJ361" s="2">
        <f t="shared" si="17"/>
        <v>25</v>
      </c>
    </row>
    <row r="362" spans="2:36" x14ac:dyDescent="0.2">
      <c r="B362" s="102"/>
      <c r="C362" s="103">
        <v>359</v>
      </c>
      <c r="D362" s="205"/>
      <c r="E362" s="205"/>
      <c r="F362" s="205"/>
      <c r="G362" s="205"/>
      <c r="H362" s="205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  <c r="AD362" s="206"/>
      <c r="AE362" s="206"/>
      <c r="AF362" s="206"/>
      <c r="AG362" s="206"/>
      <c r="AH362" s="2">
        <f t="shared" si="15"/>
        <v>0</v>
      </c>
      <c r="AI362" s="2">
        <f t="shared" si="16"/>
        <v>25</v>
      </c>
      <c r="AJ362" s="2">
        <f t="shared" si="17"/>
        <v>25</v>
      </c>
    </row>
    <row r="363" spans="2:36" x14ac:dyDescent="0.2">
      <c r="B363" s="104"/>
      <c r="C363" s="105">
        <v>360</v>
      </c>
      <c r="D363" s="205"/>
      <c r="E363" s="205"/>
      <c r="F363" s="205"/>
      <c r="G363" s="205"/>
      <c r="H363" s="205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  <c r="AD363" s="206"/>
      <c r="AE363" s="206"/>
      <c r="AF363" s="206"/>
      <c r="AG363" s="206"/>
      <c r="AH363" s="2">
        <f t="shared" si="15"/>
        <v>0</v>
      </c>
      <c r="AI363" s="2">
        <f t="shared" si="16"/>
        <v>25</v>
      </c>
      <c r="AJ363" s="2">
        <f t="shared" si="17"/>
        <v>25</v>
      </c>
    </row>
    <row r="364" spans="2:36" x14ac:dyDescent="0.2">
      <c r="AH364" s="2">
        <f>SUM(AH4:AH363)</f>
        <v>816</v>
      </c>
    </row>
  </sheetData>
  <mergeCells count="2">
    <mergeCell ref="I1:AG1"/>
    <mergeCell ref="B1:H1"/>
  </mergeCells>
  <phoneticPr fontId="13" type="noConversion"/>
  <conditionalFormatting sqref="AI2">
    <cfRule type="cellIs" dxfId="5" priority="5" operator="equal">
      <formula>-1</formula>
    </cfRule>
    <cfRule type="cellIs" dxfId="4" priority="6" operator="equal">
      <formula>0</formula>
    </cfRule>
  </conditionalFormatting>
  <conditionalFormatting sqref="I4:AG363">
    <cfRule type="cellIs" dxfId="3" priority="3" operator="equal">
      <formula>-1</formula>
    </cfRule>
    <cfRule type="cellIs" dxfId="2" priority="4" operator="equal">
      <formula>0</formula>
    </cfRule>
  </conditionalFormatting>
  <conditionalFormatting sqref="AH2">
    <cfRule type="cellIs" dxfId="1" priority="1" operator="equal">
      <formula>-1</formula>
    </cfRule>
    <cfRule type="cellIs" dxfId="0" priority="2" operator="equal">
      <formula>0</formula>
    </cfRule>
  </conditionalFormatting>
  <pageMargins left="0.7" right="0.7" top="0.75" bottom="0.75" header="0.3" footer="0.3"/>
  <ignoredErrors>
    <ignoredError sqref="AH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AC29"/>
  <sheetViews>
    <sheetView topLeftCell="A15" workbookViewId="0">
      <selection activeCell="C38" sqref="C38"/>
    </sheetView>
  </sheetViews>
  <sheetFormatPr baseColWidth="10" defaultColWidth="11.5" defaultRowHeight="15" x14ac:dyDescent="0.2"/>
  <cols>
    <col min="2" max="2" width="10.6640625" customWidth="1"/>
    <col min="12" max="12" width="19.1640625" customWidth="1"/>
    <col min="13" max="13" width="14" customWidth="1"/>
    <col min="18" max="18" width="17.33203125" customWidth="1"/>
    <col min="21" max="21" width="23.6640625" customWidth="1"/>
    <col min="22" max="22" width="13.6640625" customWidth="1"/>
    <col min="25" max="25" width="13.6640625" bestFit="1" customWidth="1"/>
    <col min="26" max="28" width="11.5" bestFit="1" customWidth="1"/>
    <col min="29" max="29" width="11" bestFit="1" customWidth="1"/>
  </cols>
  <sheetData>
    <row r="1" spans="1:29" ht="16" thickBot="1" x14ac:dyDescent="0.25">
      <c r="A1" s="1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155" t="s">
        <v>36</v>
      </c>
      <c r="P1" s="91">
        <v>43717</v>
      </c>
      <c r="R1" s="10" t="s">
        <v>36</v>
      </c>
      <c r="S1" s="6">
        <v>43717</v>
      </c>
    </row>
    <row r="2" spans="1:29" ht="18" x14ac:dyDescent="0.35">
      <c r="A2" s="92"/>
      <c r="B2" s="93" t="s">
        <v>0</v>
      </c>
      <c r="C2" s="93"/>
      <c r="D2" s="93" t="s">
        <v>1</v>
      </c>
      <c r="E2" s="94" t="s">
        <v>2</v>
      </c>
      <c r="F2" s="94"/>
      <c r="G2" s="95" t="s">
        <v>3</v>
      </c>
      <c r="H2" s="95" t="s">
        <v>4</v>
      </c>
      <c r="I2" s="94" t="s">
        <v>15</v>
      </c>
      <c r="J2" s="94"/>
      <c r="K2" s="94"/>
      <c r="L2" s="94"/>
      <c r="M2" s="94"/>
      <c r="N2" s="95"/>
      <c r="O2" s="94" t="s">
        <v>11</v>
      </c>
      <c r="P2" s="96"/>
      <c r="R2" s="10"/>
      <c r="S2" s="6"/>
      <c r="U2" s="171"/>
      <c r="V2" s="200"/>
      <c r="W2" s="200"/>
      <c r="X2" s="200"/>
      <c r="Y2" s="237" t="s">
        <v>13</v>
      </c>
      <c r="Z2" s="255" t="s">
        <v>42</v>
      </c>
      <c r="AA2" s="255"/>
      <c r="AB2" s="255"/>
      <c r="AC2" s="256"/>
    </row>
    <row r="3" spans="1:29" ht="31" thickBot="1" x14ac:dyDescent="0.4">
      <c r="A3" s="156" t="s">
        <v>283</v>
      </c>
      <c r="B3" s="94" t="s">
        <v>5</v>
      </c>
      <c r="C3" s="94" t="s">
        <v>38</v>
      </c>
      <c r="D3" s="94" t="s">
        <v>5</v>
      </c>
      <c r="E3" s="94" t="s">
        <v>6</v>
      </c>
      <c r="F3" s="94" t="s">
        <v>7</v>
      </c>
      <c r="G3" s="94" t="s">
        <v>8</v>
      </c>
      <c r="H3" s="94" t="s">
        <v>8</v>
      </c>
      <c r="I3" s="94" t="s">
        <v>14</v>
      </c>
      <c r="J3" s="94" t="s">
        <v>13</v>
      </c>
      <c r="K3" s="169" t="s">
        <v>16</v>
      </c>
      <c r="L3" s="169" t="s">
        <v>284</v>
      </c>
      <c r="M3" s="169" t="s">
        <v>285</v>
      </c>
      <c r="N3" s="169" t="s">
        <v>9</v>
      </c>
      <c r="O3" s="169" t="s">
        <v>12</v>
      </c>
      <c r="P3" s="170" t="s">
        <v>10</v>
      </c>
      <c r="U3" s="201"/>
      <c r="V3" s="202" t="s">
        <v>287</v>
      </c>
      <c r="W3" s="202" t="s">
        <v>288</v>
      </c>
      <c r="X3" s="202" t="s">
        <v>289</v>
      </c>
      <c r="Y3" s="238" t="s">
        <v>290</v>
      </c>
      <c r="Z3" s="203" t="s">
        <v>291</v>
      </c>
      <c r="AA3" s="203" t="s">
        <v>292</v>
      </c>
      <c r="AB3" s="203" t="s">
        <v>293</v>
      </c>
      <c r="AC3" s="204" t="s">
        <v>294</v>
      </c>
    </row>
    <row r="4" spans="1:29" ht="16" x14ac:dyDescent="0.2">
      <c r="A4" s="97">
        <v>1</v>
      </c>
      <c r="B4" s="98">
        <v>2008</v>
      </c>
      <c r="C4" s="98">
        <v>11</v>
      </c>
      <c r="D4" s="98">
        <v>2018</v>
      </c>
      <c r="E4" s="98">
        <v>1800</v>
      </c>
      <c r="F4" s="98">
        <v>1400</v>
      </c>
      <c r="G4" s="98">
        <v>22171</v>
      </c>
      <c r="H4" s="98">
        <v>8665</v>
      </c>
      <c r="I4" s="98">
        <v>9.25</v>
      </c>
      <c r="J4" s="98">
        <v>3.9859</v>
      </c>
      <c r="K4" s="157">
        <v>45017</v>
      </c>
      <c r="L4" s="158">
        <v>43</v>
      </c>
      <c r="M4" s="159" t="s">
        <v>286</v>
      </c>
      <c r="N4" s="160">
        <v>11500</v>
      </c>
      <c r="O4" s="160">
        <v>4750</v>
      </c>
      <c r="P4" s="161">
        <v>325</v>
      </c>
      <c r="R4" s="177" t="s">
        <v>298</v>
      </c>
      <c r="S4" s="172">
        <v>30</v>
      </c>
      <c r="U4" s="180" t="s">
        <v>295</v>
      </c>
      <c r="V4" s="158" t="s">
        <v>296</v>
      </c>
      <c r="W4" s="158" t="s">
        <v>296</v>
      </c>
      <c r="X4" s="158" t="s">
        <v>297</v>
      </c>
      <c r="Y4" s="239" t="s">
        <v>296</v>
      </c>
      <c r="Z4" s="158" t="s">
        <v>296</v>
      </c>
      <c r="AA4" s="158" t="s">
        <v>296</v>
      </c>
      <c r="AB4" s="158" t="s">
        <v>296</v>
      </c>
      <c r="AC4" s="183" t="s">
        <v>296</v>
      </c>
    </row>
    <row r="5" spans="1:29" ht="16" x14ac:dyDescent="0.2">
      <c r="A5" s="97">
        <v>2</v>
      </c>
      <c r="B5" s="98">
        <v>2004</v>
      </c>
      <c r="C5" s="98">
        <v>15</v>
      </c>
      <c r="D5" s="98">
        <v>2019</v>
      </c>
      <c r="E5" s="98">
        <v>2500</v>
      </c>
      <c r="F5" s="98">
        <v>1900</v>
      </c>
      <c r="G5" s="98">
        <v>33400</v>
      </c>
      <c r="H5" s="98">
        <v>10600</v>
      </c>
      <c r="I5" s="98">
        <v>7</v>
      </c>
      <c r="J5" s="98">
        <v>4.8760000000000003</v>
      </c>
      <c r="K5" s="157">
        <v>45107</v>
      </c>
      <c r="L5" s="158">
        <v>46</v>
      </c>
      <c r="M5" s="159" t="s">
        <v>286</v>
      </c>
      <c r="N5" s="160">
        <v>10500</v>
      </c>
      <c r="O5" s="162">
        <v>5250</v>
      </c>
      <c r="P5" s="161">
        <v>350</v>
      </c>
      <c r="R5" s="178" t="s">
        <v>299</v>
      </c>
      <c r="S5" s="173">
        <v>25</v>
      </c>
      <c r="U5" s="181" t="s">
        <v>27</v>
      </c>
      <c r="V5" s="184">
        <v>4.0036396724294813E-2</v>
      </c>
      <c r="W5" s="185">
        <v>0.52500000000000002</v>
      </c>
      <c r="X5" s="158">
        <v>1</v>
      </c>
      <c r="Y5" s="240">
        <v>0.98</v>
      </c>
      <c r="Z5" s="187">
        <v>2656.3364692861096</v>
      </c>
      <c r="AA5" s="187">
        <v>1436.1300075585789</v>
      </c>
      <c r="AB5" s="187">
        <v>1144.1647597254005</v>
      </c>
      <c r="AC5" s="188">
        <v>1015.2284263959391</v>
      </c>
    </row>
    <row r="6" spans="1:29" ht="16" x14ac:dyDescent="0.2">
      <c r="A6" s="97">
        <v>3</v>
      </c>
      <c r="B6" s="98">
        <v>2000</v>
      </c>
      <c r="C6" s="98">
        <v>19</v>
      </c>
      <c r="D6" s="98">
        <v>2020</v>
      </c>
      <c r="E6" s="98">
        <v>1300</v>
      </c>
      <c r="F6" s="98">
        <v>1000</v>
      </c>
      <c r="G6" s="98">
        <v>15317</v>
      </c>
      <c r="H6" s="98">
        <v>6435</v>
      </c>
      <c r="I6" s="98">
        <v>4.25</v>
      </c>
      <c r="J6" s="98">
        <v>2.9601000000000002</v>
      </c>
      <c r="K6" s="157">
        <v>44317</v>
      </c>
      <c r="L6" s="158">
        <v>20</v>
      </c>
      <c r="M6" s="159" t="s">
        <v>286</v>
      </c>
      <c r="N6" s="160">
        <v>9250</v>
      </c>
      <c r="O6" s="160">
        <v>4750</v>
      </c>
      <c r="P6" s="161">
        <v>300</v>
      </c>
      <c r="R6" s="178" t="s">
        <v>300</v>
      </c>
      <c r="S6" s="174">
        <v>360</v>
      </c>
      <c r="U6" s="181" t="s">
        <v>28</v>
      </c>
      <c r="V6" s="184">
        <v>0.12556869881710647</v>
      </c>
      <c r="W6" s="185">
        <v>0.56499999999999995</v>
      </c>
      <c r="X6" s="158">
        <v>3</v>
      </c>
      <c r="Y6" s="240">
        <v>1.01</v>
      </c>
      <c r="Z6" s="187">
        <v>12392.755004766444</v>
      </c>
      <c r="AA6" s="187">
        <v>15722.656250000002</v>
      </c>
      <c r="AB6" s="187">
        <v>34344.262295081964</v>
      </c>
      <c r="AC6" s="188">
        <v>5185.8254105445112</v>
      </c>
    </row>
    <row r="7" spans="1:29" x14ac:dyDescent="0.2">
      <c r="A7" s="97">
        <v>4</v>
      </c>
      <c r="B7" s="98">
        <v>2004</v>
      </c>
      <c r="C7" s="98">
        <v>15</v>
      </c>
      <c r="D7" s="98">
        <v>2020</v>
      </c>
      <c r="E7" s="98">
        <v>1300</v>
      </c>
      <c r="F7" s="98">
        <v>1000</v>
      </c>
      <c r="G7" s="98">
        <v>15317</v>
      </c>
      <c r="H7" s="98">
        <v>6419</v>
      </c>
      <c r="I7" s="98">
        <v>5</v>
      </c>
      <c r="J7" s="98">
        <v>2.9527399999999999</v>
      </c>
      <c r="K7" s="157">
        <v>44185</v>
      </c>
      <c r="L7" s="158">
        <v>16</v>
      </c>
      <c r="M7" s="159" t="s">
        <v>286</v>
      </c>
      <c r="N7" s="160">
        <v>9750</v>
      </c>
      <c r="O7" s="160">
        <v>4750</v>
      </c>
      <c r="P7" s="161">
        <v>300</v>
      </c>
      <c r="R7" s="178"/>
      <c r="S7" s="173"/>
      <c r="U7" s="97" t="s">
        <v>29</v>
      </c>
      <c r="V7" s="189">
        <v>8.161137440758294E-2</v>
      </c>
      <c r="W7" s="190">
        <v>0.54500000000000004</v>
      </c>
      <c r="X7" s="158">
        <v>2</v>
      </c>
      <c r="Y7" s="241">
        <v>1.00206139043047</v>
      </c>
      <c r="Z7" s="191">
        <v>8401.9612347850525</v>
      </c>
      <c r="AA7" s="191">
        <v>5557.8194572637294</v>
      </c>
      <c r="AB7" s="191">
        <v>3782.1353002545161</v>
      </c>
      <c r="AC7" s="192">
        <v>2524.412939761884</v>
      </c>
    </row>
    <row r="8" spans="1:29" x14ac:dyDescent="0.2">
      <c r="A8" s="97">
        <v>5</v>
      </c>
      <c r="B8" s="98">
        <v>2005</v>
      </c>
      <c r="C8" s="98">
        <v>14</v>
      </c>
      <c r="D8" s="98">
        <v>2018</v>
      </c>
      <c r="E8" s="98">
        <v>2800</v>
      </c>
      <c r="F8" s="98">
        <v>2000</v>
      </c>
      <c r="G8" s="98">
        <v>39410</v>
      </c>
      <c r="H8" s="98">
        <v>11900</v>
      </c>
      <c r="I8" s="98">
        <v>8.5</v>
      </c>
      <c r="J8" s="98">
        <v>5.4740000000000002</v>
      </c>
      <c r="K8" s="157">
        <v>44742</v>
      </c>
      <c r="L8" s="158">
        <v>34</v>
      </c>
      <c r="M8" s="159" t="s">
        <v>286</v>
      </c>
      <c r="N8" s="160">
        <v>10750</v>
      </c>
      <c r="O8" s="162">
        <v>5250</v>
      </c>
      <c r="P8" s="161">
        <v>350</v>
      </c>
      <c r="R8" s="178" t="s">
        <v>301</v>
      </c>
      <c r="S8" s="175">
        <v>0.1</v>
      </c>
      <c r="U8" s="97" t="s">
        <v>30</v>
      </c>
      <c r="V8" s="190">
        <v>4.6870993599224912E-3</v>
      </c>
      <c r="W8" s="189">
        <v>5.0000000000000001E-3</v>
      </c>
      <c r="X8" s="158"/>
      <c r="Y8" s="241">
        <v>0.1220075249410002</v>
      </c>
      <c r="Z8" s="191">
        <v>3063.979162794526</v>
      </c>
      <c r="AA8" s="191">
        <v>2383.2369138205627</v>
      </c>
      <c r="AB8" s="191">
        <v>4330.81280964917</v>
      </c>
      <c r="AC8" s="192">
        <v>926.80532945798484</v>
      </c>
    </row>
    <row r="9" spans="1:29" ht="16" thickBot="1" x14ac:dyDescent="0.25">
      <c r="A9" s="97">
        <v>6</v>
      </c>
      <c r="B9" s="98">
        <v>2006</v>
      </c>
      <c r="C9" s="98">
        <v>13</v>
      </c>
      <c r="D9" s="98">
        <v>2019</v>
      </c>
      <c r="E9" s="98">
        <v>2800</v>
      </c>
      <c r="F9" s="98">
        <v>2000</v>
      </c>
      <c r="G9" s="98">
        <v>39418</v>
      </c>
      <c r="H9" s="98">
        <v>11891</v>
      </c>
      <c r="I9" s="98">
        <v>10.5</v>
      </c>
      <c r="J9" s="98">
        <v>5.4698599999999997</v>
      </c>
      <c r="K9" s="157">
        <v>45107</v>
      </c>
      <c r="L9" s="158">
        <v>46</v>
      </c>
      <c r="M9" s="159" t="s">
        <v>286</v>
      </c>
      <c r="N9" s="160">
        <v>11000</v>
      </c>
      <c r="O9" s="162">
        <v>5250</v>
      </c>
      <c r="P9" s="161">
        <v>350</v>
      </c>
      <c r="R9" s="179" t="s">
        <v>70</v>
      </c>
      <c r="S9" s="176">
        <v>0.1</v>
      </c>
      <c r="U9" s="97" t="s">
        <v>31</v>
      </c>
      <c r="V9" s="191">
        <v>0.48607340929716647</v>
      </c>
      <c r="W9" s="158">
        <v>0.50000000000000133</v>
      </c>
      <c r="X9" s="158"/>
      <c r="Y9" s="241">
        <v>0.73537968101566809</v>
      </c>
      <c r="Z9" s="191">
        <v>0.59011686325535406</v>
      </c>
      <c r="AA9" s="191">
        <v>0.28850186390731719</v>
      </c>
      <c r="AB9" s="191">
        <v>7.945671056296745E-2</v>
      </c>
      <c r="AC9" s="192">
        <v>0.36186294650429884</v>
      </c>
    </row>
    <row r="10" spans="1:29" x14ac:dyDescent="0.2">
      <c r="A10" s="97">
        <v>7</v>
      </c>
      <c r="B10" s="98">
        <v>2007</v>
      </c>
      <c r="C10" s="98">
        <v>12</v>
      </c>
      <c r="D10" s="98">
        <v>2017</v>
      </c>
      <c r="E10" s="98">
        <v>2800</v>
      </c>
      <c r="F10" s="98">
        <v>2000</v>
      </c>
      <c r="G10" s="98">
        <v>39345</v>
      </c>
      <c r="H10" s="98">
        <v>11800</v>
      </c>
      <c r="I10" s="98">
        <v>10</v>
      </c>
      <c r="J10" s="98">
        <v>5.4279999999999999</v>
      </c>
      <c r="K10" s="157">
        <v>43966</v>
      </c>
      <c r="L10" s="158">
        <v>8</v>
      </c>
      <c r="M10" s="159" t="s">
        <v>286</v>
      </c>
      <c r="N10" s="160">
        <v>11750</v>
      </c>
      <c r="O10" s="162">
        <v>5250</v>
      </c>
      <c r="P10" s="161">
        <v>350</v>
      </c>
      <c r="U10" s="97" t="s">
        <v>32</v>
      </c>
      <c r="V10" s="191">
        <v>1.0573024174392529</v>
      </c>
      <c r="W10" s="158">
        <v>0.99999999999999467</v>
      </c>
      <c r="X10" s="158"/>
      <c r="Y10" s="241">
        <v>0.35984176040715754</v>
      </c>
      <c r="Z10" s="191">
        <v>0.69457960323916756</v>
      </c>
      <c r="AA10" s="191">
        <v>2.4661821121587466</v>
      </c>
      <c r="AB10" s="191">
        <v>11.585469407363965</v>
      </c>
      <c r="AC10" s="192">
        <v>1.7634771939495062</v>
      </c>
    </row>
    <row r="11" spans="1:29" x14ac:dyDescent="0.2">
      <c r="A11" s="97">
        <v>8</v>
      </c>
      <c r="B11" s="98">
        <v>2003</v>
      </c>
      <c r="C11" s="98">
        <v>16</v>
      </c>
      <c r="D11" s="98">
        <v>2023</v>
      </c>
      <c r="E11" s="98">
        <v>2700</v>
      </c>
      <c r="F11" s="98">
        <v>2200</v>
      </c>
      <c r="G11" s="98">
        <v>43093</v>
      </c>
      <c r="H11" s="98">
        <v>11000</v>
      </c>
      <c r="I11" s="98">
        <v>8</v>
      </c>
      <c r="J11" s="98">
        <v>5.0599999999999996</v>
      </c>
      <c r="K11" s="157">
        <v>44378</v>
      </c>
      <c r="L11" s="158">
        <v>22</v>
      </c>
      <c r="M11" s="159" t="s">
        <v>286</v>
      </c>
      <c r="N11" s="160">
        <v>11500</v>
      </c>
      <c r="O11" s="162">
        <v>5250</v>
      </c>
      <c r="P11" s="161">
        <v>350</v>
      </c>
      <c r="U11" s="97" t="s">
        <v>33</v>
      </c>
      <c r="V11" s="191">
        <v>5.7431937569317401E-2</v>
      </c>
      <c r="W11" s="191">
        <v>9.1743119266055034E-3</v>
      </c>
      <c r="X11" s="158"/>
      <c r="Y11" s="241">
        <v>0.12175653718040934</v>
      </c>
      <c r="Z11" s="191">
        <v>0.36467427987043216</v>
      </c>
      <c r="AA11" s="191">
        <v>0.42880790427724635</v>
      </c>
      <c r="AB11" s="191">
        <v>1.1450708305854977</v>
      </c>
      <c r="AC11" s="192">
        <v>0.36713697464464989</v>
      </c>
    </row>
    <row r="12" spans="1:29" ht="16" x14ac:dyDescent="0.2">
      <c r="A12" s="97">
        <v>9</v>
      </c>
      <c r="B12" s="98">
        <v>2008</v>
      </c>
      <c r="C12" s="98">
        <v>11</v>
      </c>
      <c r="D12" s="98">
        <v>2023</v>
      </c>
      <c r="E12" s="98">
        <v>1700</v>
      </c>
      <c r="F12" s="98">
        <v>1200</v>
      </c>
      <c r="G12" s="98">
        <v>21292</v>
      </c>
      <c r="H12" s="98">
        <v>7636</v>
      </c>
      <c r="I12" s="98">
        <v>8.5</v>
      </c>
      <c r="J12" s="98">
        <v>3.5125600000000001</v>
      </c>
      <c r="K12" s="157">
        <v>44256</v>
      </c>
      <c r="L12" s="158">
        <v>18</v>
      </c>
      <c r="M12" s="159" t="s">
        <v>286</v>
      </c>
      <c r="N12" s="160">
        <v>9150</v>
      </c>
      <c r="O12" s="162">
        <v>4500</v>
      </c>
      <c r="P12" s="161">
        <v>350</v>
      </c>
      <c r="U12" s="181" t="s">
        <v>34</v>
      </c>
      <c r="V12" s="196">
        <v>155.32350495226623</v>
      </c>
      <c r="W12" s="193">
        <v>5939.9999999999854</v>
      </c>
      <c r="X12" s="158"/>
      <c r="Y12" s="242">
        <v>17.114636434388565</v>
      </c>
      <c r="Z12" s="186">
        <v>2.4920048359683467</v>
      </c>
      <c r="AA12" s="186">
        <v>3.5809388981966825</v>
      </c>
      <c r="AB12" s="186">
        <v>0.62261183043712787</v>
      </c>
      <c r="AC12" s="198">
        <v>4.3724581852539002</v>
      </c>
    </row>
    <row r="13" spans="1:29" ht="17" thickBot="1" x14ac:dyDescent="0.25">
      <c r="A13" s="97">
        <v>10</v>
      </c>
      <c r="B13" s="98">
        <v>2007</v>
      </c>
      <c r="C13" s="98">
        <v>12</v>
      </c>
      <c r="D13" s="98">
        <v>2022</v>
      </c>
      <c r="E13" s="98">
        <v>1700</v>
      </c>
      <c r="F13" s="98">
        <v>1200</v>
      </c>
      <c r="G13" s="98">
        <v>21442</v>
      </c>
      <c r="H13" s="98">
        <v>7852</v>
      </c>
      <c r="I13" s="98">
        <v>7</v>
      </c>
      <c r="J13" s="98">
        <v>3.61192</v>
      </c>
      <c r="K13" s="157">
        <v>44803</v>
      </c>
      <c r="L13" s="158">
        <v>36</v>
      </c>
      <c r="M13" s="159" t="s">
        <v>286</v>
      </c>
      <c r="N13" s="160">
        <v>8200</v>
      </c>
      <c r="O13" s="162">
        <v>4500</v>
      </c>
      <c r="P13" s="161">
        <v>300</v>
      </c>
      <c r="U13" s="182" t="s">
        <v>35</v>
      </c>
      <c r="V13" s="197">
        <v>164.22391727116886</v>
      </c>
      <c r="W13" s="194">
        <v>5939.9999999999536</v>
      </c>
      <c r="X13" s="164"/>
      <c r="Y13" s="243">
        <v>6.1585609032788593</v>
      </c>
      <c r="Z13" s="195">
        <v>1.730895730236981</v>
      </c>
      <c r="AA13" s="195">
        <v>8.8312474554661087</v>
      </c>
      <c r="AB13" s="195">
        <v>7.2132503141922246</v>
      </c>
      <c r="AC13" s="199">
        <v>7.7107302911930979</v>
      </c>
    </row>
    <row r="14" spans="1:29" x14ac:dyDescent="0.2">
      <c r="A14" s="97">
        <v>11</v>
      </c>
      <c r="B14" s="98">
        <v>2003</v>
      </c>
      <c r="C14" s="98">
        <v>16</v>
      </c>
      <c r="D14" s="98">
        <v>2023</v>
      </c>
      <c r="E14" s="98">
        <v>1300</v>
      </c>
      <c r="F14" s="98">
        <v>1000</v>
      </c>
      <c r="G14" s="98">
        <v>16439</v>
      </c>
      <c r="H14" s="98">
        <v>6023</v>
      </c>
      <c r="I14" s="98">
        <v>4</v>
      </c>
      <c r="J14" s="98">
        <v>2.7705799999999998</v>
      </c>
      <c r="K14" s="157">
        <v>43814</v>
      </c>
      <c r="L14" s="158">
        <v>3</v>
      </c>
      <c r="M14" s="159" t="s">
        <v>286</v>
      </c>
      <c r="N14" s="160">
        <v>8950</v>
      </c>
      <c r="O14" s="160">
        <v>4500</v>
      </c>
      <c r="P14" s="161">
        <v>300</v>
      </c>
    </row>
    <row r="15" spans="1:29" x14ac:dyDescent="0.2">
      <c r="A15" s="97">
        <v>12</v>
      </c>
      <c r="B15" s="98">
        <v>2003</v>
      </c>
      <c r="C15" s="98">
        <v>16</v>
      </c>
      <c r="D15" s="98">
        <v>2018</v>
      </c>
      <c r="E15" s="98">
        <v>1300</v>
      </c>
      <c r="F15" s="98">
        <v>1000</v>
      </c>
      <c r="G15" s="98">
        <v>16439</v>
      </c>
      <c r="H15" s="98">
        <v>6023</v>
      </c>
      <c r="I15" s="98">
        <v>4.5</v>
      </c>
      <c r="J15" s="98">
        <v>2.7705799999999998</v>
      </c>
      <c r="K15" s="157">
        <v>45092</v>
      </c>
      <c r="L15" s="158">
        <v>46</v>
      </c>
      <c r="M15" s="159" t="s">
        <v>286</v>
      </c>
      <c r="N15" s="160">
        <v>9000</v>
      </c>
      <c r="O15" s="160">
        <v>4500</v>
      </c>
      <c r="P15" s="161">
        <v>300</v>
      </c>
    </row>
    <row r="16" spans="1:29" x14ac:dyDescent="0.2">
      <c r="A16" s="97">
        <v>13</v>
      </c>
      <c r="B16" s="98">
        <v>2006</v>
      </c>
      <c r="C16" s="98">
        <v>13</v>
      </c>
      <c r="D16" s="98">
        <v>2021</v>
      </c>
      <c r="E16" s="98">
        <v>2500</v>
      </c>
      <c r="F16" s="98">
        <v>1900</v>
      </c>
      <c r="G16" s="98">
        <v>34704</v>
      </c>
      <c r="H16" s="98">
        <v>11334</v>
      </c>
      <c r="I16" s="98">
        <v>8</v>
      </c>
      <c r="J16" s="98">
        <v>5.2136399999999998</v>
      </c>
      <c r="K16" s="157">
        <v>43997</v>
      </c>
      <c r="L16" s="158">
        <v>9</v>
      </c>
      <c r="M16" s="159" t="s">
        <v>286</v>
      </c>
      <c r="N16" s="160">
        <v>9150</v>
      </c>
      <c r="O16" s="162">
        <v>5250</v>
      </c>
      <c r="P16" s="161">
        <v>350</v>
      </c>
    </row>
    <row r="17" spans="1:16" x14ac:dyDescent="0.2">
      <c r="A17" s="97">
        <v>14</v>
      </c>
      <c r="B17" s="98">
        <v>2005</v>
      </c>
      <c r="C17" s="98">
        <v>14</v>
      </c>
      <c r="D17" s="98">
        <v>2023</v>
      </c>
      <c r="E17" s="98">
        <v>2500</v>
      </c>
      <c r="F17" s="98">
        <v>1900</v>
      </c>
      <c r="G17" s="98">
        <v>34740</v>
      </c>
      <c r="H17" s="98">
        <v>11298</v>
      </c>
      <c r="I17" s="98">
        <v>7.5</v>
      </c>
      <c r="J17" s="98">
        <v>5.1970799999999997</v>
      </c>
      <c r="K17" s="157">
        <v>44454</v>
      </c>
      <c r="L17" s="158">
        <v>25</v>
      </c>
      <c r="M17" s="159" t="s">
        <v>286</v>
      </c>
      <c r="N17" s="160">
        <v>10750</v>
      </c>
      <c r="O17" s="162">
        <v>5250</v>
      </c>
      <c r="P17" s="161">
        <v>350</v>
      </c>
    </row>
    <row r="18" spans="1:16" x14ac:dyDescent="0.2">
      <c r="A18" s="97">
        <v>15</v>
      </c>
      <c r="B18" s="98">
        <v>2007</v>
      </c>
      <c r="C18" s="98">
        <v>12</v>
      </c>
      <c r="D18" s="98">
        <v>2022</v>
      </c>
      <c r="E18" s="98">
        <v>1700</v>
      </c>
      <c r="F18" s="98">
        <v>1300</v>
      </c>
      <c r="G18" s="98">
        <v>23716</v>
      </c>
      <c r="H18" s="98">
        <v>9056</v>
      </c>
      <c r="I18" s="98">
        <v>6</v>
      </c>
      <c r="J18" s="98">
        <v>4.1657599999999997</v>
      </c>
      <c r="K18" s="157">
        <v>44104</v>
      </c>
      <c r="L18" s="158">
        <v>13</v>
      </c>
      <c r="M18" s="159" t="s">
        <v>286</v>
      </c>
      <c r="N18" s="160">
        <v>9000</v>
      </c>
      <c r="O18" s="162">
        <v>4750</v>
      </c>
      <c r="P18" s="161">
        <v>300</v>
      </c>
    </row>
    <row r="19" spans="1:16" x14ac:dyDescent="0.2">
      <c r="A19" s="97">
        <v>16</v>
      </c>
      <c r="B19" s="98">
        <v>2004</v>
      </c>
      <c r="C19" s="98">
        <v>15</v>
      </c>
      <c r="D19" s="98">
        <v>2019</v>
      </c>
      <c r="E19" s="98">
        <v>2700</v>
      </c>
      <c r="F19" s="98">
        <v>2000</v>
      </c>
      <c r="G19" s="98">
        <v>35800</v>
      </c>
      <c r="H19" s="98">
        <v>12800</v>
      </c>
      <c r="I19" s="98">
        <v>7.5</v>
      </c>
      <c r="J19" s="98">
        <v>5.8879999999999999</v>
      </c>
      <c r="K19" s="157">
        <v>44377</v>
      </c>
      <c r="L19" s="158">
        <v>22</v>
      </c>
      <c r="M19" s="159" t="s">
        <v>286</v>
      </c>
      <c r="N19" s="160">
        <v>10500</v>
      </c>
      <c r="O19" s="162">
        <v>5750</v>
      </c>
      <c r="P19" s="161">
        <v>350</v>
      </c>
    </row>
    <row r="20" spans="1:16" x14ac:dyDescent="0.2">
      <c r="A20" s="97">
        <v>17</v>
      </c>
      <c r="B20" s="98">
        <v>2003</v>
      </c>
      <c r="C20" s="98">
        <v>16</v>
      </c>
      <c r="D20" s="98">
        <v>2022</v>
      </c>
      <c r="E20" s="98">
        <v>2700</v>
      </c>
      <c r="F20" s="98">
        <v>2000</v>
      </c>
      <c r="G20" s="98">
        <v>35800</v>
      </c>
      <c r="H20" s="98">
        <v>12800</v>
      </c>
      <c r="I20" s="98">
        <v>7</v>
      </c>
      <c r="J20" s="98">
        <v>5.8879999999999999</v>
      </c>
      <c r="K20" s="157">
        <v>44742</v>
      </c>
      <c r="L20" s="158">
        <v>34</v>
      </c>
      <c r="M20" s="159" t="s">
        <v>286</v>
      </c>
      <c r="N20" s="160">
        <v>10500</v>
      </c>
      <c r="O20" s="162">
        <v>5750</v>
      </c>
      <c r="P20" s="161">
        <v>450</v>
      </c>
    </row>
    <row r="21" spans="1:16" x14ac:dyDescent="0.2">
      <c r="A21" s="97">
        <v>18</v>
      </c>
      <c r="B21" s="98">
        <v>2002</v>
      </c>
      <c r="C21" s="98">
        <v>17</v>
      </c>
      <c r="D21" s="98">
        <v>2022</v>
      </c>
      <c r="E21" s="98">
        <v>2700</v>
      </c>
      <c r="F21" s="98">
        <v>2000</v>
      </c>
      <c r="G21" s="98">
        <v>35800</v>
      </c>
      <c r="H21" s="98">
        <v>12800</v>
      </c>
      <c r="I21" s="98">
        <v>6.5</v>
      </c>
      <c r="J21" s="98">
        <v>5.8879999999999999</v>
      </c>
      <c r="K21" s="157">
        <v>44742</v>
      </c>
      <c r="L21" s="158">
        <v>34</v>
      </c>
      <c r="M21" s="159" t="s">
        <v>286</v>
      </c>
      <c r="N21" s="160">
        <v>10500</v>
      </c>
      <c r="O21" s="162">
        <v>5750</v>
      </c>
      <c r="P21" s="161">
        <v>450</v>
      </c>
    </row>
    <row r="22" spans="1:16" x14ac:dyDescent="0.2">
      <c r="A22" s="97">
        <v>19</v>
      </c>
      <c r="B22" s="98">
        <v>2006</v>
      </c>
      <c r="C22" s="98">
        <v>13</v>
      </c>
      <c r="D22" s="98">
        <v>2021</v>
      </c>
      <c r="E22" s="98">
        <v>2800</v>
      </c>
      <c r="F22" s="98">
        <v>2000</v>
      </c>
      <c r="G22" s="98">
        <v>38700</v>
      </c>
      <c r="H22" s="98">
        <v>12000</v>
      </c>
      <c r="I22" s="98">
        <v>10.75</v>
      </c>
      <c r="J22" s="98">
        <v>5.52</v>
      </c>
      <c r="K22" s="157">
        <v>45473</v>
      </c>
      <c r="L22" s="158">
        <v>59</v>
      </c>
      <c r="M22" s="159" t="s">
        <v>286</v>
      </c>
      <c r="N22" s="160">
        <v>10500</v>
      </c>
      <c r="O22" s="162">
        <v>5000</v>
      </c>
      <c r="P22" s="161">
        <v>350</v>
      </c>
    </row>
    <row r="23" spans="1:16" x14ac:dyDescent="0.2">
      <c r="A23" s="97">
        <v>20</v>
      </c>
      <c r="B23" s="98">
        <v>2005</v>
      </c>
      <c r="C23" s="98">
        <v>14</v>
      </c>
      <c r="D23" s="98">
        <v>2020</v>
      </c>
      <c r="E23" s="98">
        <v>2500</v>
      </c>
      <c r="F23" s="98">
        <v>1900</v>
      </c>
      <c r="G23" s="98">
        <v>33400</v>
      </c>
      <c r="H23" s="98">
        <v>10600</v>
      </c>
      <c r="I23" s="98">
        <v>8</v>
      </c>
      <c r="J23" s="98">
        <v>4.8760000000000003</v>
      </c>
      <c r="K23" s="157">
        <v>44742</v>
      </c>
      <c r="L23" s="158">
        <v>34</v>
      </c>
      <c r="M23" s="159" t="s">
        <v>286</v>
      </c>
      <c r="N23" s="160">
        <v>10500</v>
      </c>
      <c r="O23" s="162">
        <v>5250</v>
      </c>
      <c r="P23" s="161">
        <v>350</v>
      </c>
    </row>
    <row r="24" spans="1:16" x14ac:dyDescent="0.2">
      <c r="A24" s="97">
        <v>21</v>
      </c>
      <c r="B24" s="98">
        <v>2008</v>
      </c>
      <c r="C24" s="98">
        <v>11</v>
      </c>
      <c r="D24" s="98">
        <v>2023</v>
      </c>
      <c r="E24" s="98">
        <v>1900</v>
      </c>
      <c r="F24" s="98">
        <v>1400</v>
      </c>
      <c r="G24" s="98">
        <v>21000</v>
      </c>
      <c r="H24" s="98">
        <v>8800</v>
      </c>
      <c r="I24" s="98">
        <v>9.5</v>
      </c>
      <c r="J24" s="98">
        <v>4.048</v>
      </c>
      <c r="K24" s="157">
        <v>45107</v>
      </c>
      <c r="L24" s="158">
        <v>46</v>
      </c>
      <c r="M24" s="159" t="s">
        <v>286</v>
      </c>
      <c r="N24" s="160">
        <v>9500</v>
      </c>
      <c r="O24" s="162">
        <v>4850</v>
      </c>
      <c r="P24" s="161">
        <v>350</v>
      </c>
    </row>
    <row r="25" spans="1:16" x14ac:dyDescent="0.2">
      <c r="A25" s="97">
        <v>22</v>
      </c>
      <c r="B25" s="98">
        <v>2008</v>
      </c>
      <c r="C25" s="98">
        <v>11</v>
      </c>
      <c r="D25" s="98">
        <v>2023</v>
      </c>
      <c r="E25" s="98">
        <v>1900</v>
      </c>
      <c r="F25" s="98">
        <v>1400</v>
      </c>
      <c r="G25" s="98">
        <v>21000</v>
      </c>
      <c r="H25" s="98">
        <v>8800</v>
      </c>
      <c r="I25" s="98">
        <v>9.5</v>
      </c>
      <c r="J25" s="98">
        <v>4.048</v>
      </c>
      <c r="K25" s="157">
        <v>44377</v>
      </c>
      <c r="L25" s="158">
        <v>22</v>
      </c>
      <c r="M25" s="159" t="s">
        <v>286</v>
      </c>
      <c r="N25" s="160">
        <v>9500</v>
      </c>
      <c r="O25" s="162">
        <v>4850</v>
      </c>
      <c r="P25" s="161">
        <v>350</v>
      </c>
    </row>
    <row r="26" spans="1:16" x14ac:dyDescent="0.2">
      <c r="A26" s="97">
        <v>23</v>
      </c>
      <c r="B26" s="98">
        <v>2008</v>
      </c>
      <c r="C26" s="98">
        <v>11</v>
      </c>
      <c r="D26" s="98">
        <v>2023</v>
      </c>
      <c r="E26" s="98">
        <v>1700</v>
      </c>
      <c r="F26" s="98">
        <v>1200</v>
      </c>
      <c r="G26" s="98">
        <v>21000</v>
      </c>
      <c r="H26" s="98">
        <v>7700</v>
      </c>
      <c r="I26" s="98">
        <v>7.75</v>
      </c>
      <c r="J26" s="98">
        <v>3.5419999999999998</v>
      </c>
      <c r="K26" s="157">
        <v>44012</v>
      </c>
      <c r="L26" s="158">
        <v>10</v>
      </c>
      <c r="M26" s="159" t="s">
        <v>286</v>
      </c>
      <c r="N26" s="160">
        <v>9000</v>
      </c>
      <c r="O26" s="162">
        <v>4600</v>
      </c>
      <c r="P26" s="161">
        <v>350</v>
      </c>
    </row>
    <row r="27" spans="1:16" x14ac:dyDescent="0.2">
      <c r="A27" s="97">
        <v>24</v>
      </c>
      <c r="B27" s="98">
        <v>2005</v>
      </c>
      <c r="C27" s="98">
        <v>14</v>
      </c>
      <c r="D27" s="98">
        <v>2020</v>
      </c>
      <c r="E27" s="98">
        <v>2500</v>
      </c>
      <c r="F27" s="98">
        <v>1900</v>
      </c>
      <c r="G27" s="98">
        <v>33400</v>
      </c>
      <c r="H27" s="98">
        <v>10600</v>
      </c>
      <c r="I27" s="98">
        <v>7.75</v>
      </c>
      <c r="J27" s="98">
        <v>4.8760000000000003</v>
      </c>
      <c r="K27" s="157">
        <v>45107</v>
      </c>
      <c r="L27" s="158">
        <v>46</v>
      </c>
      <c r="M27" s="159" t="s">
        <v>286</v>
      </c>
      <c r="N27" s="160">
        <v>10750</v>
      </c>
      <c r="O27" s="162">
        <v>5250</v>
      </c>
      <c r="P27" s="161">
        <v>350</v>
      </c>
    </row>
    <row r="28" spans="1:16" ht="16" thickBot="1" x14ac:dyDescent="0.25">
      <c r="A28" s="99">
        <v>25</v>
      </c>
      <c r="B28" s="100">
        <v>2002</v>
      </c>
      <c r="C28" s="100">
        <v>17</v>
      </c>
      <c r="D28" s="100">
        <v>2022</v>
      </c>
      <c r="E28" s="100">
        <v>2700</v>
      </c>
      <c r="F28" s="100">
        <v>2200</v>
      </c>
      <c r="G28" s="100">
        <v>39307</v>
      </c>
      <c r="H28" s="100">
        <v>12985</v>
      </c>
      <c r="I28" s="100">
        <v>6.75</v>
      </c>
      <c r="J28" s="100">
        <v>5.9730999999999996</v>
      </c>
      <c r="K28" s="163">
        <v>44012</v>
      </c>
      <c r="L28" s="164">
        <v>10</v>
      </c>
      <c r="M28" s="165" t="s">
        <v>286</v>
      </c>
      <c r="N28" s="166">
        <v>9500</v>
      </c>
      <c r="O28" s="167">
        <v>5500</v>
      </c>
      <c r="P28" s="168">
        <v>450</v>
      </c>
    </row>
    <row r="29" spans="1:16" x14ac:dyDescent="0.2">
      <c r="A29" t="s">
        <v>282</v>
      </c>
      <c r="C29" s="98"/>
      <c r="K29" s="6"/>
      <c r="L29" s="154"/>
    </row>
  </sheetData>
  <mergeCells count="1">
    <mergeCell ref="Z2:AC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688"/>
  <sheetViews>
    <sheetView workbookViewId="0">
      <selection activeCell="D48" sqref="D48"/>
    </sheetView>
  </sheetViews>
  <sheetFormatPr baseColWidth="10" defaultColWidth="11.5" defaultRowHeight="15" x14ac:dyDescent="0.2"/>
  <cols>
    <col min="1" max="1" width="10.5" bestFit="1" customWidth="1"/>
    <col min="2" max="2" width="9.6640625" bestFit="1" customWidth="1"/>
    <col min="3" max="3" width="9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4.33203125" style="15" customWidth="1"/>
    <col min="8" max="8" width="15.1640625" bestFit="1" customWidth="1"/>
    <col min="9" max="9" width="8.6640625" bestFit="1" customWidth="1"/>
    <col min="10" max="10" width="20.33203125" style="12" bestFit="1" customWidth="1"/>
  </cols>
  <sheetData>
    <row r="1" spans="1:10" x14ac:dyDescent="0.2">
      <c r="A1" s="11" t="s">
        <v>17</v>
      </c>
      <c r="B1" s="11" t="s">
        <v>18</v>
      </c>
      <c r="C1" s="11" t="s">
        <v>19</v>
      </c>
      <c r="D1" s="11" t="s">
        <v>313</v>
      </c>
      <c r="E1" s="11" t="s">
        <v>20</v>
      </c>
      <c r="F1" s="11" t="s">
        <v>21</v>
      </c>
      <c r="G1" s="14" t="s">
        <v>22</v>
      </c>
      <c r="H1" s="11" t="s">
        <v>23</v>
      </c>
      <c r="I1" s="11" t="s">
        <v>24</v>
      </c>
      <c r="J1" s="11" t="s">
        <v>314</v>
      </c>
    </row>
    <row r="2" spans="1:10" x14ac:dyDescent="0.2">
      <c r="A2" s="6">
        <v>43565</v>
      </c>
      <c r="B2">
        <v>2014</v>
      </c>
      <c r="C2">
        <v>1000</v>
      </c>
      <c r="D2">
        <v>1</v>
      </c>
      <c r="E2">
        <v>5850</v>
      </c>
      <c r="F2" t="s">
        <v>25</v>
      </c>
      <c r="G2" s="9">
        <v>6</v>
      </c>
      <c r="H2" t="s">
        <v>68</v>
      </c>
      <c r="I2">
        <v>5</v>
      </c>
      <c r="J2" s="13">
        <f t="shared" ref="J2:J65" si="0">IF(H2="days",ROUND(G2/30,0),IF(H2="years",G2*12,G2))</f>
        <v>6</v>
      </c>
    </row>
    <row r="3" spans="1:10" x14ac:dyDescent="0.2">
      <c r="A3" s="6">
        <v>42795</v>
      </c>
      <c r="B3">
        <v>2014</v>
      </c>
      <c r="C3">
        <v>1000</v>
      </c>
      <c r="D3">
        <v>2</v>
      </c>
      <c r="E3">
        <v>5400</v>
      </c>
      <c r="F3" t="s">
        <v>25</v>
      </c>
      <c r="G3" s="9">
        <v>6</v>
      </c>
      <c r="H3" t="s">
        <v>68</v>
      </c>
      <c r="I3">
        <v>5</v>
      </c>
      <c r="J3" s="13">
        <f t="shared" si="0"/>
        <v>6</v>
      </c>
    </row>
    <row r="4" spans="1:10" x14ac:dyDescent="0.2">
      <c r="A4" s="6">
        <v>42795</v>
      </c>
      <c r="B4">
        <v>2015</v>
      </c>
      <c r="C4">
        <v>1003</v>
      </c>
      <c r="D4">
        <v>3</v>
      </c>
      <c r="E4">
        <v>7000</v>
      </c>
      <c r="F4" t="s">
        <v>25</v>
      </c>
      <c r="G4" s="9">
        <v>7</v>
      </c>
      <c r="H4" t="s">
        <v>68</v>
      </c>
      <c r="I4">
        <v>4</v>
      </c>
      <c r="J4" s="13">
        <f t="shared" si="0"/>
        <v>7</v>
      </c>
    </row>
    <row r="5" spans="1:10" x14ac:dyDescent="0.2">
      <c r="A5" s="6">
        <v>42649</v>
      </c>
      <c r="B5">
        <v>2011</v>
      </c>
      <c r="C5">
        <v>1022</v>
      </c>
      <c r="D5">
        <v>4</v>
      </c>
      <c r="E5">
        <v>6000</v>
      </c>
      <c r="F5" t="s">
        <v>25</v>
      </c>
      <c r="G5" s="9">
        <v>12</v>
      </c>
      <c r="H5" t="s">
        <v>68</v>
      </c>
      <c r="I5">
        <v>8</v>
      </c>
      <c r="J5" s="13">
        <f t="shared" si="0"/>
        <v>12</v>
      </c>
    </row>
    <row r="6" spans="1:10" x14ac:dyDescent="0.2">
      <c r="A6" s="6">
        <v>42639</v>
      </c>
      <c r="B6">
        <v>2011</v>
      </c>
      <c r="C6">
        <v>1022</v>
      </c>
      <c r="D6">
        <v>5</v>
      </c>
      <c r="E6">
        <v>6000</v>
      </c>
      <c r="F6" t="s">
        <v>25</v>
      </c>
      <c r="G6" s="9">
        <v>13</v>
      </c>
      <c r="H6" t="s">
        <v>68</v>
      </c>
      <c r="I6">
        <v>8</v>
      </c>
      <c r="J6" s="13">
        <f t="shared" si="0"/>
        <v>13</v>
      </c>
    </row>
    <row r="7" spans="1:10" x14ac:dyDescent="0.2">
      <c r="A7" s="6">
        <v>42510</v>
      </c>
      <c r="B7">
        <v>2011</v>
      </c>
      <c r="C7">
        <v>1022</v>
      </c>
      <c r="D7">
        <v>6</v>
      </c>
      <c r="E7">
        <v>7500</v>
      </c>
      <c r="F7" t="s">
        <v>25</v>
      </c>
      <c r="G7" s="9">
        <v>5</v>
      </c>
      <c r="H7" t="s">
        <v>68</v>
      </c>
      <c r="I7">
        <v>8</v>
      </c>
      <c r="J7" s="13">
        <f t="shared" si="0"/>
        <v>5</v>
      </c>
    </row>
    <row r="8" spans="1:10" x14ac:dyDescent="0.2">
      <c r="A8" s="6">
        <v>42614</v>
      </c>
      <c r="B8">
        <v>2011</v>
      </c>
      <c r="C8">
        <v>1022</v>
      </c>
      <c r="D8">
        <v>7</v>
      </c>
      <c r="E8">
        <v>7300</v>
      </c>
      <c r="F8" t="s">
        <v>25</v>
      </c>
      <c r="G8" s="9">
        <v>6</v>
      </c>
      <c r="H8" t="s">
        <v>68</v>
      </c>
      <c r="I8">
        <v>8</v>
      </c>
      <c r="J8" s="13">
        <f t="shared" si="0"/>
        <v>6</v>
      </c>
    </row>
    <row r="9" spans="1:10" x14ac:dyDescent="0.2">
      <c r="A9" s="6">
        <v>42440</v>
      </c>
      <c r="B9">
        <v>2011</v>
      </c>
      <c r="C9">
        <v>1022</v>
      </c>
      <c r="D9">
        <v>8</v>
      </c>
      <c r="E9">
        <v>6950</v>
      </c>
      <c r="F9" t="s">
        <v>25</v>
      </c>
      <c r="G9" s="9">
        <v>6</v>
      </c>
      <c r="H9" t="s">
        <v>68</v>
      </c>
      <c r="I9">
        <v>8</v>
      </c>
      <c r="J9" s="13">
        <f t="shared" si="0"/>
        <v>6</v>
      </c>
    </row>
    <row r="10" spans="1:10" x14ac:dyDescent="0.2">
      <c r="A10" s="6">
        <v>42376</v>
      </c>
      <c r="B10">
        <v>2011</v>
      </c>
      <c r="C10">
        <v>1022</v>
      </c>
      <c r="D10">
        <v>9</v>
      </c>
      <c r="E10">
        <v>7500</v>
      </c>
      <c r="F10" t="s">
        <v>25</v>
      </c>
      <c r="G10" s="9">
        <v>6</v>
      </c>
      <c r="H10" t="s">
        <v>68</v>
      </c>
      <c r="I10">
        <v>8</v>
      </c>
      <c r="J10" s="13">
        <f t="shared" si="0"/>
        <v>6</v>
      </c>
    </row>
    <row r="11" spans="1:10" x14ac:dyDescent="0.2">
      <c r="A11" s="6">
        <v>42458</v>
      </c>
      <c r="B11">
        <v>2012</v>
      </c>
      <c r="C11">
        <v>1025</v>
      </c>
      <c r="D11">
        <v>10</v>
      </c>
      <c r="E11">
        <v>7800</v>
      </c>
      <c r="F11" t="s">
        <v>25</v>
      </c>
      <c r="G11" s="9">
        <v>12</v>
      </c>
      <c r="H11" t="s">
        <v>68</v>
      </c>
      <c r="I11">
        <v>7</v>
      </c>
      <c r="J11" s="13">
        <f t="shared" si="0"/>
        <v>12</v>
      </c>
    </row>
    <row r="12" spans="1:10" x14ac:dyDescent="0.2">
      <c r="A12" s="6">
        <v>42451</v>
      </c>
      <c r="B12">
        <v>2012</v>
      </c>
      <c r="C12">
        <v>1025</v>
      </c>
      <c r="D12">
        <v>11</v>
      </c>
      <c r="E12">
        <v>7800</v>
      </c>
      <c r="F12" t="s">
        <v>25</v>
      </c>
      <c r="G12" s="9">
        <v>12</v>
      </c>
      <c r="H12" t="s">
        <v>68</v>
      </c>
      <c r="I12">
        <v>7</v>
      </c>
      <c r="J12" s="13">
        <f t="shared" si="0"/>
        <v>12</v>
      </c>
    </row>
    <row r="13" spans="1:10" x14ac:dyDescent="0.2">
      <c r="A13" s="6">
        <v>42648</v>
      </c>
      <c r="B13">
        <v>2012</v>
      </c>
      <c r="C13">
        <v>1036</v>
      </c>
      <c r="D13">
        <v>12</v>
      </c>
      <c r="E13">
        <v>7100</v>
      </c>
      <c r="F13" t="s">
        <v>25</v>
      </c>
      <c r="G13" s="9">
        <v>10</v>
      </c>
      <c r="H13" t="s">
        <v>68</v>
      </c>
      <c r="I13">
        <v>7</v>
      </c>
      <c r="J13" s="13">
        <f t="shared" si="0"/>
        <v>10</v>
      </c>
    </row>
    <row r="14" spans="1:10" x14ac:dyDescent="0.2">
      <c r="A14" s="6">
        <v>42597</v>
      </c>
      <c r="B14">
        <v>2012</v>
      </c>
      <c r="C14">
        <v>1036</v>
      </c>
      <c r="D14">
        <v>13</v>
      </c>
      <c r="E14">
        <v>6850</v>
      </c>
      <c r="F14" t="s">
        <v>25</v>
      </c>
      <c r="G14" s="9">
        <v>10</v>
      </c>
      <c r="H14" t="s">
        <v>68</v>
      </c>
      <c r="I14">
        <v>7</v>
      </c>
      <c r="J14" s="13">
        <f t="shared" si="0"/>
        <v>10</v>
      </c>
    </row>
    <row r="15" spans="1:10" x14ac:dyDescent="0.2">
      <c r="A15" s="6">
        <v>42401</v>
      </c>
      <c r="B15">
        <v>2012</v>
      </c>
      <c r="C15">
        <v>1036</v>
      </c>
      <c r="D15">
        <v>14</v>
      </c>
      <c r="E15">
        <v>7600</v>
      </c>
      <c r="F15" t="s">
        <v>25</v>
      </c>
      <c r="G15" s="9">
        <v>10</v>
      </c>
      <c r="H15" t="s">
        <v>68</v>
      </c>
      <c r="I15">
        <v>7</v>
      </c>
      <c r="J15" s="13">
        <f t="shared" si="0"/>
        <v>10</v>
      </c>
    </row>
    <row r="16" spans="1:10" x14ac:dyDescent="0.2">
      <c r="A16" s="6">
        <v>43255</v>
      </c>
      <c r="B16">
        <v>2011</v>
      </c>
      <c r="C16">
        <v>1036</v>
      </c>
      <c r="D16">
        <v>15</v>
      </c>
      <c r="E16">
        <v>8100</v>
      </c>
      <c r="F16" t="s">
        <v>25</v>
      </c>
      <c r="G16" s="9">
        <v>11</v>
      </c>
      <c r="H16" t="s">
        <v>68</v>
      </c>
      <c r="I16">
        <v>8</v>
      </c>
      <c r="J16" s="13">
        <f t="shared" si="0"/>
        <v>11</v>
      </c>
    </row>
    <row r="17" spans="1:10" x14ac:dyDescent="0.2">
      <c r="A17" s="6">
        <v>43565</v>
      </c>
      <c r="B17">
        <v>2012</v>
      </c>
      <c r="C17">
        <v>1036</v>
      </c>
      <c r="D17">
        <v>16</v>
      </c>
      <c r="E17">
        <v>8350</v>
      </c>
      <c r="F17" t="s">
        <v>25</v>
      </c>
      <c r="G17" s="9">
        <v>12</v>
      </c>
      <c r="H17" t="s">
        <v>68</v>
      </c>
      <c r="I17">
        <v>7</v>
      </c>
      <c r="J17" s="13">
        <f t="shared" si="0"/>
        <v>12</v>
      </c>
    </row>
    <row r="18" spans="1:10" x14ac:dyDescent="0.2">
      <c r="A18" s="6">
        <v>42930</v>
      </c>
      <c r="B18">
        <v>2012</v>
      </c>
      <c r="C18">
        <v>1036</v>
      </c>
      <c r="D18">
        <v>17</v>
      </c>
      <c r="E18">
        <v>7200</v>
      </c>
      <c r="F18" t="s">
        <v>25</v>
      </c>
      <c r="G18" s="9">
        <v>12</v>
      </c>
      <c r="H18" t="s">
        <v>68</v>
      </c>
      <c r="I18">
        <v>7</v>
      </c>
      <c r="J18" s="13">
        <f t="shared" si="0"/>
        <v>12</v>
      </c>
    </row>
    <row r="19" spans="1:10" x14ac:dyDescent="0.2">
      <c r="A19" s="6">
        <v>42898</v>
      </c>
      <c r="B19">
        <v>2011</v>
      </c>
      <c r="C19">
        <v>1036</v>
      </c>
      <c r="D19">
        <v>18</v>
      </c>
      <c r="E19">
        <v>6900</v>
      </c>
      <c r="F19" t="s">
        <v>25</v>
      </c>
      <c r="G19" s="9">
        <v>12</v>
      </c>
      <c r="H19" t="s">
        <v>68</v>
      </c>
      <c r="I19">
        <v>8</v>
      </c>
      <c r="J19" s="13">
        <f t="shared" si="0"/>
        <v>12</v>
      </c>
    </row>
    <row r="20" spans="1:10" x14ac:dyDescent="0.2">
      <c r="A20" s="6">
        <v>42852</v>
      </c>
      <c r="B20">
        <v>2012</v>
      </c>
      <c r="C20">
        <v>1036</v>
      </c>
      <c r="D20">
        <v>19</v>
      </c>
      <c r="E20">
        <v>6250</v>
      </c>
      <c r="F20" t="s">
        <v>25</v>
      </c>
      <c r="G20" s="9">
        <v>12</v>
      </c>
      <c r="H20" t="s">
        <v>68</v>
      </c>
      <c r="I20">
        <v>7</v>
      </c>
      <c r="J20" s="13">
        <f t="shared" si="0"/>
        <v>12</v>
      </c>
    </row>
    <row r="21" spans="1:10" x14ac:dyDescent="0.2">
      <c r="A21" s="6">
        <v>42852</v>
      </c>
      <c r="B21">
        <v>2012</v>
      </c>
      <c r="C21">
        <v>1036</v>
      </c>
      <c r="D21">
        <v>20</v>
      </c>
      <c r="E21">
        <v>6250</v>
      </c>
      <c r="F21" t="s">
        <v>25</v>
      </c>
      <c r="G21" s="9">
        <v>12</v>
      </c>
      <c r="H21" t="s">
        <v>68</v>
      </c>
      <c r="I21">
        <v>7</v>
      </c>
      <c r="J21" s="13">
        <f t="shared" si="0"/>
        <v>12</v>
      </c>
    </row>
    <row r="22" spans="1:10" x14ac:dyDescent="0.2">
      <c r="A22" s="6">
        <v>42795</v>
      </c>
      <c r="B22">
        <v>2011</v>
      </c>
      <c r="C22">
        <v>1036</v>
      </c>
      <c r="D22">
        <v>21</v>
      </c>
      <c r="E22">
        <v>6900</v>
      </c>
      <c r="F22" t="s">
        <v>25</v>
      </c>
      <c r="G22" s="9">
        <v>12</v>
      </c>
      <c r="H22" t="s">
        <v>68</v>
      </c>
      <c r="I22">
        <v>8</v>
      </c>
      <c r="J22" s="13">
        <f t="shared" si="0"/>
        <v>12</v>
      </c>
    </row>
    <row r="23" spans="1:10" x14ac:dyDescent="0.2">
      <c r="A23" s="6">
        <v>42597</v>
      </c>
      <c r="B23">
        <v>2012</v>
      </c>
      <c r="C23">
        <v>1036</v>
      </c>
      <c r="D23">
        <v>22</v>
      </c>
      <c r="E23">
        <v>7250</v>
      </c>
      <c r="F23" t="s">
        <v>25</v>
      </c>
      <c r="G23" s="9">
        <v>12</v>
      </c>
      <c r="H23" t="s">
        <v>68</v>
      </c>
      <c r="I23">
        <v>7</v>
      </c>
      <c r="J23" s="13">
        <f t="shared" si="0"/>
        <v>12</v>
      </c>
    </row>
    <row r="24" spans="1:10" x14ac:dyDescent="0.2">
      <c r="A24" s="6">
        <v>42580</v>
      </c>
      <c r="B24">
        <v>2012</v>
      </c>
      <c r="C24">
        <v>1036</v>
      </c>
      <c r="D24">
        <v>23</v>
      </c>
      <c r="E24">
        <v>7150</v>
      </c>
      <c r="F24" t="s">
        <v>25</v>
      </c>
      <c r="G24" s="9">
        <v>12</v>
      </c>
      <c r="H24" t="s">
        <v>68</v>
      </c>
      <c r="I24">
        <v>7</v>
      </c>
      <c r="J24" s="13">
        <f t="shared" si="0"/>
        <v>12</v>
      </c>
    </row>
    <row r="25" spans="1:10" x14ac:dyDescent="0.2">
      <c r="A25" s="6">
        <v>42549</v>
      </c>
      <c r="B25">
        <v>2011</v>
      </c>
      <c r="C25">
        <v>1036</v>
      </c>
      <c r="D25">
        <v>24</v>
      </c>
      <c r="E25">
        <v>7700</v>
      </c>
      <c r="F25" t="s">
        <v>25</v>
      </c>
      <c r="G25" s="9">
        <v>12</v>
      </c>
      <c r="H25" t="s">
        <v>68</v>
      </c>
      <c r="I25">
        <v>8</v>
      </c>
      <c r="J25" s="13">
        <f t="shared" si="0"/>
        <v>12</v>
      </c>
    </row>
    <row r="26" spans="1:10" x14ac:dyDescent="0.2">
      <c r="A26" s="6">
        <v>42443</v>
      </c>
      <c r="B26">
        <v>2011</v>
      </c>
      <c r="C26">
        <v>1036</v>
      </c>
      <c r="D26">
        <v>25</v>
      </c>
      <c r="E26">
        <v>8300</v>
      </c>
      <c r="F26" t="s">
        <v>25</v>
      </c>
      <c r="G26" s="9">
        <v>12</v>
      </c>
      <c r="H26" t="s">
        <v>68</v>
      </c>
      <c r="I26">
        <v>8</v>
      </c>
      <c r="J26" s="13">
        <f t="shared" si="0"/>
        <v>12</v>
      </c>
    </row>
    <row r="27" spans="1:10" x14ac:dyDescent="0.2">
      <c r="A27" s="6">
        <v>42423</v>
      </c>
      <c r="B27">
        <v>2011</v>
      </c>
      <c r="C27">
        <v>1036</v>
      </c>
      <c r="D27">
        <v>26</v>
      </c>
      <c r="E27">
        <v>8500</v>
      </c>
      <c r="F27" t="s">
        <v>25</v>
      </c>
      <c r="G27" s="9">
        <v>12</v>
      </c>
      <c r="H27" t="s">
        <v>68</v>
      </c>
      <c r="I27">
        <v>8</v>
      </c>
      <c r="J27" s="13">
        <f t="shared" si="0"/>
        <v>12</v>
      </c>
    </row>
    <row r="28" spans="1:10" x14ac:dyDescent="0.2">
      <c r="A28" s="6">
        <v>42495</v>
      </c>
      <c r="B28">
        <v>2012</v>
      </c>
      <c r="C28">
        <v>1036</v>
      </c>
      <c r="D28">
        <v>27</v>
      </c>
      <c r="E28">
        <v>9100</v>
      </c>
      <c r="F28" t="s">
        <v>25</v>
      </c>
      <c r="G28" s="9">
        <v>14</v>
      </c>
      <c r="H28" t="s">
        <v>68</v>
      </c>
      <c r="I28">
        <v>7</v>
      </c>
      <c r="J28" s="13">
        <f t="shared" si="0"/>
        <v>14</v>
      </c>
    </row>
    <row r="29" spans="1:10" x14ac:dyDescent="0.2">
      <c r="A29" s="6">
        <v>43266</v>
      </c>
      <c r="B29">
        <v>2011</v>
      </c>
      <c r="C29">
        <v>1036</v>
      </c>
      <c r="D29">
        <v>28</v>
      </c>
      <c r="E29">
        <v>8000</v>
      </c>
      <c r="F29" t="s">
        <v>25</v>
      </c>
      <c r="G29" s="9">
        <v>16</v>
      </c>
      <c r="H29" t="s">
        <v>68</v>
      </c>
      <c r="I29">
        <v>8</v>
      </c>
      <c r="J29" s="13">
        <f t="shared" si="0"/>
        <v>16</v>
      </c>
    </row>
    <row r="30" spans="1:10" x14ac:dyDescent="0.2">
      <c r="A30" s="6">
        <v>42795</v>
      </c>
      <c r="B30">
        <v>2011</v>
      </c>
      <c r="C30">
        <v>1036</v>
      </c>
      <c r="D30">
        <v>29</v>
      </c>
      <c r="E30">
        <v>6250</v>
      </c>
      <c r="F30" t="s">
        <v>25</v>
      </c>
      <c r="G30" s="9">
        <v>2</v>
      </c>
      <c r="H30" t="s">
        <v>68</v>
      </c>
      <c r="I30">
        <v>8</v>
      </c>
      <c r="J30" s="13">
        <f t="shared" si="0"/>
        <v>2</v>
      </c>
    </row>
    <row r="31" spans="1:10" x14ac:dyDescent="0.2">
      <c r="A31" s="6">
        <v>42795</v>
      </c>
      <c r="B31">
        <v>2012</v>
      </c>
      <c r="C31">
        <v>1036</v>
      </c>
      <c r="D31">
        <v>30</v>
      </c>
      <c r="E31">
        <v>6300</v>
      </c>
      <c r="F31" t="s">
        <v>25</v>
      </c>
      <c r="G31" s="9">
        <v>2</v>
      </c>
      <c r="H31" t="s">
        <v>68</v>
      </c>
      <c r="I31">
        <v>7</v>
      </c>
      <c r="J31" s="13">
        <f t="shared" si="0"/>
        <v>2</v>
      </c>
    </row>
    <row r="32" spans="1:10" x14ac:dyDescent="0.2">
      <c r="A32" s="6">
        <v>42429</v>
      </c>
      <c r="B32">
        <v>2011</v>
      </c>
      <c r="C32">
        <v>1036</v>
      </c>
      <c r="D32">
        <v>31</v>
      </c>
      <c r="E32">
        <v>7600</v>
      </c>
      <c r="F32" t="s">
        <v>25</v>
      </c>
      <c r="G32" s="9">
        <v>24</v>
      </c>
      <c r="H32" t="s">
        <v>68</v>
      </c>
      <c r="I32">
        <v>8</v>
      </c>
      <c r="J32" s="13">
        <f t="shared" si="0"/>
        <v>24</v>
      </c>
    </row>
    <row r="33" spans="1:10" x14ac:dyDescent="0.2">
      <c r="A33" s="6">
        <v>42836</v>
      </c>
      <c r="B33">
        <v>2012</v>
      </c>
      <c r="C33">
        <v>1036</v>
      </c>
      <c r="D33">
        <v>32</v>
      </c>
      <c r="E33">
        <v>6300</v>
      </c>
      <c r="F33" t="s">
        <v>25</v>
      </c>
      <c r="G33" s="9">
        <v>3</v>
      </c>
      <c r="H33" t="s">
        <v>68</v>
      </c>
      <c r="I33">
        <v>7</v>
      </c>
      <c r="J33" s="13">
        <f t="shared" si="0"/>
        <v>3</v>
      </c>
    </row>
    <row r="34" spans="1:10" x14ac:dyDescent="0.2">
      <c r="A34" s="6">
        <v>43157</v>
      </c>
      <c r="B34">
        <v>2011</v>
      </c>
      <c r="C34">
        <v>1036</v>
      </c>
      <c r="D34">
        <v>33</v>
      </c>
      <c r="E34">
        <v>7900</v>
      </c>
      <c r="F34" t="s">
        <v>25</v>
      </c>
      <c r="G34" s="9">
        <v>3.5</v>
      </c>
      <c r="H34" t="s">
        <v>68</v>
      </c>
      <c r="I34">
        <v>8</v>
      </c>
      <c r="J34" s="13">
        <f t="shared" si="0"/>
        <v>3.5</v>
      </c>
    </row>
    <row r="35" spans="1:10" x14ac:dyDescent="0.2">
      <c r="A35" s="6">
        <v>42663</v>
      </c>
      <c r="B35">
        <v>2011</v>
      </c>
      <c r="C35">
        <v>1036</v>
      </c>
      <c r="D35">
        <v>34</v>
      </c>
      <c r="E35">
        <v>6000</v>
      </c>
      <c r="F35" t="s">
        <v>25</v>
      </c>
      <c r="G35" s="9">
        <v>4</v>
      </c>
      <c r="H35" t="s">
        <v>68</v>
      </c>
      <c r="I35">
        <v>8</v>
      </c>
      <c r="J35" s="13">
        <f t="shared" si="0"/>
        <v>4</v>
      </c>
    </row>
    <row r="36" spans="1:10" x14ac:dyDescent="0.2">
      <c r="A36" s="6">
        <v>42450</v>
      </c>
      <c r="B36">
        <v>2012</v>
      </c>
      <c r="C36">
        <v>1036</v>
      </c>
      <c r="D36">
        <v>35</v>
      </c>
      <c r="E36">
        <v>7500</v>
      </c>
      <c r="F36" t="s">
        <v>25</v>
      </c>
      <c r="G36" s="9">
        <v>4</v>
      </c>
      <c r="H36" t="s">
        <v>68</v>
      </c>
      <c r="I36">
        <v>7</v>
      </c>
      <c r="J36" s="13">
        <f t="shared" si="0"/>
        <v>4</v>
      </c>
    </row>
    <row r="37" spans="1:10" x14ac:dyDescent="0.2">
      <c r="A37" s="6">
        <v>42795</v>
      </c>
      <c r="B37">
        <v>2012</v>
      </c>
      <c r="C37">
        <v>1036</v>
      </c>
      <c r="D37">
        <v>36</v>
      </c>
      <c r="E37">
        <v>6600</v>
      </c>
      <c r="F37" t="s">
        <v>25</v>
      </c>
      <c r="G37" s="15">
        <v>42</v>
      </c>
      <c r="H37" t="s">
        <v>26</v>
      </c>
      <c r="I37">
        <v>7</v>
      </c>
      <c r="J37" s="13">
        <f t="shared" si="0"/>
        <v>1</v>
      </c>
    </row>
    <row r="38" spans="1:10" x14ac:dyDescent="0.2">
      <c r="A38" s="6">
        <v>42648</v>
      </c>
      <c r="B38">
        <v>2012</v>
      </c>
      <c r="C38">
        <v>1036</v>
      </c>
      <c r="D38">
        <v>37</v>
      </c>
      <c r="E38">
        <v>6750</v>
      </c>
      <c r="F38" t="s">
        <v>25</v>
      </c>
      <c r="G38" s="15">
        <v>42</v>
      </c>
      <c r="H38" t="s">
        <v>26</v>
      </c>
      <c r="I38">
        <v>7</v>
      </c>
      <c r="J38" s="13">
        <f t="shared" si="0"/>
        <v>1</v>
      </c>
    </row>
    <row r="39" spans="1:10" x14ac:dyDescent="0.2">
      <c r="A39" s="6">
        <v>42639</v>
      </c>
      <c r="B39">
        <v>2012</v>
      </c>
      <c r="C39">
        <v>1036</v>
      </c>
      <c r="D39">
        <v>38</v>
      </c>
      <c r="E39">
        <v>7100</v>
      </c>
      <c r="F39" t="s">
        <v>25</v>
      </c>
      <c r="G39" s="15">
        <v>45</v>
      </c>
      <c r="H39" t="s">
        <v>26</v>
      </c>
      <c r="I39">
        <v>7</v>
      </c>
      <c r="J39" s="13">
        <f t="shared" si="0"/>
        <v>2</v>
      </c>
    </row>
    <row r="40" spans="1:10" x14ac:dyDescent="0.2">
      <c r="A40" s="6">
        <v>43229</v>
      </c>
      <c r="B40">
        <v>2011</v>
      </c>
      <c r="C40">
        <v>1036</v>
      </c>
      <c r="D40">
        <v>39</v>
      </c>
      <c r="E40">
        <v>8250</v>
      </c>
      <c r="F40" t="s">
        <v>25</v>
      </c>
      <c r="G40" s="9">
        <v>5</v>
      </c>
      <c r="H40" t="s">
        <v>68</v>
      </c>
      <c r="I40">
        <v>8</v>
      </c>
      <c r="J40" s="13">
        <f t="shared" si="0"/>
        <v>5</v>
      </c>
    </row>
    <row r="41" spans="1:10" x14ac:dyDescent="0.2">
      <c r="A41" s="6">
        <v>43469</v>
      </c>
      <c r="B41">
        <v>2012</v>
      </c>
      <c r="C41">
        <v>1036</v>
      </c>
      <c r="D41">
        <v>40</v>
      </c>
      <c r="E41">
        <v>7000</v>
      </c>
      <c r="F41" t="s">
        <v>25</v>
      </c>
      <c r="G41" s="9">
        <v>6</v>
      </c>
      <c r="H41" t="s">
        <v>68</v>
      </c>
      <c r="I41">
        <v>7</v>
      </c>
      <c r="J41" s="13">
        <f t="shared" si="0"/>
        <v>6</v>
      </c>
    </row>
    <row r="42" spans="1:10" x14ac:dyDescent="0.2">
      <c r="A42" s="6">
        <v>43391</v>
      </c>
      <c r="B42">
        <v>2012</v>
      </c>
      <c r="C42">
        <v>1036</v>
      </c>
      <c r="D42">
        <v>41</v>
      </c>
      <c r="E42">
        <v>7000</v>
      </c>
      <c r="F42" t="s">
        <v>25</v>
      </c>
      <c r="G42" s="9">
        <v>6</v>
      </c>
      <c r="H42" t="s">
        <v>68</v>
      </c>
      <c r="I42">
        <v>7</v>
      </c>
      <c r="J42" s="13">
        <f t="shared" si="0"/>
        <v>6</v>
      </c>
    </row>
    <row r="43" spans="1:10" x14ac:dyDescent="0.2">
      <c r="A43" s="6">
        <v>43358</v>
      </c>
      <c r="B43">
        <v>2012</v>
      </c>
      <c r="C43">
        <v>1036</v>
      </c>
      <c r="D43">
        <v>42</v>
      </c>
      <c r="E43">
        <v>7000</v>
      </c>
      <c r="F43" t="s">
        <v>25</v>
      </c>
      <c r="G43" s="9">
        <v>6</v>
      </c>
      <c r="H43" t="s">
        <v>68</v>
      </c>
      <c r="I43">
        <v>7</v>
      </c>
      <c r="J43" s="13">
        <f t="shared" si="0"/>
        <v>6</v>
      </c>
    </row>
    <row r="44" spans="1:10" x14ac:dyDescent="0.2">
      <c r="A44" s="6">
        <v>43215</v>
      </c>
      <c r="B44">
        <v>2012</v>
      </c>
      <c r="C44">
        <v>1036</v>
      </c>
      <c r="D44">
        <v>43</v>
      </c>
      <c r="E44">
        <v>8250</v>
      </c>
      <c r="F44" t="s">
        <v>25</v>
      </c>
      <c r="G44" s="9">
        <v>6</v>
      </c>
      <c r="H44" t="s">
        <v>68</v>
      </c>
      <c r="I44">
        <v>7</v>
      </c>
      <c r="J44" s="13">
        <f t="shared" si="0"/>
        <v>6</v>
      </c>
    </row>
    <row r="45" spans="1:10" x14ac:dyDescent="0.2">
      <c r="A45" s="6">
        <v>43178</v>
      </c>
      <c r="B45">
        <v>2012</v>
      </c>
      <c r="C45">
        <v>1036</v>
      </c>
      <c r="D45">
        <v>44</v>
      </c>
      <c r="E45">
        <v>10425</v>
      </c>
      <c r="F45" t="s">
        <v>25</v>
      </c>
      <c r="G45" s="9">
        <v>6</v>
      </c>
      <c r="H45" t="s">
        <v>68</v>
      </c>
      <c r="I45">
        <v>7</v>
      </c>
      <c r="J45" s="13">
        <f t="shared" si="0"/>
        <v>6</v>
      </c>
    </row>
    <row r="46" spans="1:10" x14ac:dyDescent="0.2">
      <c r="A46" s="6">
        <v>42887</v>
      </c>
      <c r="B46">
        <v>2011</v>
      </c>
      <c r="C46">
        <v>1036</v>
      </c>
      <c r="D46">
        <v>45</v>
      </c>
      <c r="E46">
        <v>6800</v>
      </c>
      <c r="F46" t="s">
        <v>25</v>
      </c>
      <c r="G46" s="9">
        <v>6</v>
      </c>
      <c r="H46" t="s">
        <v>68</v>
      </c>
      <c r="I46">
        <v>8</v>
      </c>
      <c r="J46" s="13">
        <f t="shared" si="0"/>
        <v>6</v>
      </c>
    </row>
    <row r="47" spans="1:10" x14ac:dyDescent="0.2">
      <c r="A47" s="6">
        <v>42887</v>
      </c>
      <c r="B47">
        <v>2012</v>
      </c>
      <c r="C47">
        <v>1036</v>
      </c>
      <c r="D47">
        <v>46</v>
      </c>
      <c r="E47">
        <v>6800</v>
      </c>
      <c r="F47" t="s">
        <v>25</v>
      </c>
      <c r="G47" s="9">
        <v>6</v>
      </c>
      <c r="H47" t="s">
        <v>68</v>
      </c>
      <c r="I47">
        <v>7</v>
      </c>
      <c r="J47" s="13">
        <f t="shared" si="0"/>
        <v>6</v>
      </c>
    </row>
    <row r="48" spans="1:10" x14ac:dyDescent="0.2">
      <c r="A48" s="6">
        <v>42887</v>
      </c>
      <c r="B48">
        <v>2012</v>
      </c>
      <c r="C48">
        <v>1036</v>
      </c>
      <c r="D48">
        <v>47</v>
      </c>
      <c r="E48">
        <v>6800</v>
      </c>
      <c r="F48" t="s">
        <v>25</v>
      </c>
      <c r="G48" s="9">
        <v>6</v>
      </c>
      <c r="H48" t="s">
        <v>68</v>
      </c>
      <c r="I48">
        <v>7</v>
      </c>
      <c r="J48" s="13">
        <f t="shared" si="0"/>
        <v>6</v>
      </c>
    </row>
    <row r="49" spans="1:10" x14ac:dyDescent="0.2">
      <c r="A49" s="6">
        <v>42887</v>
      </c>
      <c r="B49">
        <v>2012</v>
      </c>
      <c r="C49">
        <v>1036</v>
      </c>
      <c r="D49">
        <v>48</v>
      </c>
      <c r="E49">
        <v>6800</v>
      </c>
      <c r="F49" t="s">
        <v>25</v>
      </c>
      <c r="G49" s="9">
        <v>6</v>
      </c>
      <c r="H49" t="s">
        <v>68</v>
      </c>
      <c r="I49">
        <v>7</v>
      </c>
      <c r="J49" s="13">
        <f t="shared" si="0"/>
        <v>6</v>
      </c>
    </row>
    <row r="50" spans="1:10" x14ac:dyDescent="0.2">
      <c r="A50" s="6">
        <v>42664</v>
      </c>
      <c r="B50">
        <v>2012</v>
      </c>
      <c r="C50">
        <v>1036</v>
      </c>
      <c r="D50">
        <v>49</v>
      </c>
      <c r="E50">
        <v>5950</v>
      </c>
      <c r="F50" t="s">
        <v>25</v>
      </c>
      <c r="G50" s="15">
        <v>60</v>
      </c>
      <c r="H50" t="s">
        <v>26</v>
      </c>
      <c r="I50">
        <v>7</v>
      </c>
      <c r="J50" s="13">
        <f t="shared" si="0"/>
        <v>2</v>
      </c>
    </row>
    <row r="51" spans="1:10" x14ac:dyDescent="0.2">
      <c r="A51" s="6">
        <v>43559</v>
      </c>
      <c r="B51">
        <v>2012</v>
      </c>
      <c r="C51">
        <v>1036</v>
      </c>
      <c r="D51">
        <v>50</v>
      </c>
      <c r="E51">
        <v>7050</v>
      </c>
      <c r="F51" t="s">
        <v>25</v>
      </c>
      <c r="G51" s="9">
        <v>7</v>
      </c>
      <c r="H51" t="s">
        <v>68</v>
      </c>
      <c r="I51">
        <v>7</v>
      </c>
      <c r="J51" s="13">
        <f t="shared" si="0"/>
        <v>7</v>
      </c>
    </row>
    <row r="52" spans="1:10" x14ac:dyDescent="0.2">
      <c r="A52" s="6">
        <v>43311</v>
      </c>
      <c r="B52">
        <v>2012</v>
      </c>
      <c r="C52">
        <v>1036</v>
      </c>
      <c r="D52">
        <v>51</v>
      </c>
      <c r="E52">
        <v>8940</v>
      </c>
      <c r="F52" t="s">
        <v>25</v>
      </c>
      <c r="G52" s="9">
        <v>7</v>
      </c>
      <c r="H52" t="s">
        <v>68</v>
      </c>
      <c r="I52">
        <v>7</v>
      </c>
      <c r="J52" s="13">
        <f t="shared" si="0"/>
        <v>7</v>
      </c>
    </row>
    <row r="53" spans="1:10" x14ac:dyDescent="0.2">
      <c r="A53" s="6">
        <v>42663</v>
      </c>
      <c r="B53">
        <v>2011</v>
      </c>
      <c r="C53">
        <v>1036</v>
      </c>
      <c r="D53">
        <v>52</v>
      </c>
      <c r="E53">
        <v>7100</v>
      </c>
      <c r="F53" t="s">
        <v>25</v>
      </c>
      <c r="G53" s="9">
        <v>8</v>
      </c>
      <c r="H53" t="s">
        <v>68</v>
      </c>
      <c r="I53">
        <v>8</v>
      </c>
      <c r="J53" s="13">
        <f t="shared" si="0"/>
        <v>8</v>
      </c>
    </row>
    <row r="54" spans="1:10" x14ac:dyDescent="0.2">
      <c r="A54" s="6">
        <v>43483</v>
      </c>
      <c r="B54">
        <v>2012</v>
      </c>
      <c r="C54">
        <v>1036</v>
      </c>
      <c r="D54">
        <v>53</v>
      </c>
      <c r="E54">
        <v>6650</v>
      </c>
      <c r="F54" t="s">
        <v>25</v>
      </c>
      <c r="G54" s="9">
        <v>9</v>
      </c>
      <c r="H54" t="s">
        <v>68</v>
      </c>
      <c r="I54">
        <v>7</v>
      </c>
      <c r="J54" s="13">
        <f t="shared" si="0"/>
        <v>9</v>
      </c>
    </row>
    <row r="55" spans="1:10" x14ac:dyDescent="0.2">
      <c r="A55" s="6">
        <v>43266</v>
      </c>
      <c r="B55">
        <v>2011</v>
      </c>
      <c r="C55">
        <v>1036</v>
      </c>
      <c r="D55">
        <v>54</v>
      </c>
      <c r="E55">
        <v>8000</v>
      </c>
      <c r="F55" t="s">
        <v>25</v>
      </c>
      <c r="G55" s="9">
        <v>9</v>
      </c>
      <c r="H55" t="s">
        <v>68</v>
      </c>
      <c r="I55">
        <v>8</v>
      </c>
      <c r="J55" s="13">
        <f t="shared" si="0"/>
        <v>9</v>
      </c>
    </row>
    <row r="56" spans="1:10" x14ac:dyDescent="0.2">
      <c r="A56" s="6">
        <v>43500</v>
      </c>
      <c r="B56">
        <v>2012</v>
      </c>
      <c r="C56">
        <v>1042</v>
      </c>
      <c r="D56">
        <v>55</v>
      </c>
      <c r="E56">
        <v>8000</v>
      </c>
      <c r="F56" t="s">
        <v>25</v>
      </c>
      <c r="G56" s="9">
        <v>6</v>
      </c>
      <c r="H56" t="s">
        <v>68</v>
      </c>
      <c r="I56">
        <v>7</v>
      </c>
      <c r="J56" s="13">
        <f t="shared" si="0"/>
        <v>6</v>
      </c>
    </row>
    <row r="57" spans="1:10" x14ac:dyDescent="0.2">
      <c r="A57" s="6">
        <v>43383</v>
      </c>
      <c r="B57">
        <v>2012</v>
      </c>
      <c r="C57">
        <v>1042</v>
      </c>
      <c r="D57">
        <v>56</v>
      </c>
      <c r="E57">
        <v>8200</v>
      </c>
      <c r="F57" t="s">
        <v>25</v>
      </c>
      <c r="G57" s="9">
        <v>6</v>
      </c>
      <c r="H57" t="s">
        <v>68</v>
      </c>
      <c r="I57">
        <v>7</v>
      </c>
      <c r="J57" s="13">
        <f t="shared" si="0"/>
        <v>6</v>
      </c>
    </row>
    <row r="58" spans="1:10" x14ac:dyDescent="0.2">
      <c r="A58" s="6">
        <v>43234</v>
      </c>
      <c r="B58">
        <v>2012</v>
      </c>
      <c r="C58">
        <v>1042</v>
      </c>
      <c r="D58">
        <v>57</v>
      </c>
      <c r="E58">
        <v>9250</v>
      </c>
      <c r="F58" t="s">
        <v>25</v>
      </c>
      <c r="G58" s="9">
        <v>6</v>
      </c>
      <c r="H58" t="s">
        <v>68</v>
      </c>
      <c r="I58">
        <v>7</v>
      </c>
      <c r="J58" s="13">
        <f t="shared" si="0"/>
        <v>6</v>
      </c>
    </row>
    <row r="59" spans="1:10" x14ac:dyDescent="0.2">
      <c r="A59" s="6">
        <v>42982</v>
      </c>
      <c r="B59">
        <v>2013</v>
      </c>
      <c r="C59">
        <v>1042</v>
      </c>
      <c r="D59">
        <v>58</v>
      </c>
      <c r="E59">
        <v>7500</v>
      </c>
      <c r="F59" t="s">
        <v>25</v>
      </c>
      <c r="G59" s="9">
        <v>6</v>
      </c>
      <c r="H59" t="s">
        <v>68</v>
      </c>
      <c r="I59">
        <v>6</v>
      </c>
      <c r="J59" s="13">
        <f t="shared" si="0"/>
        <v>6</v>
      </c>
    </row>
    <row r="60" spans="1:10" x14ac:dyDescent="0.2">
      <c r="A60" s="6">
        <v>42836</v>
      </c>
      <c r="B60">
        <v>2013</v>
      </c>
      <c r="C60">
        <v>1042</v>
      </c>
      <c r="D60">
        <v>59</v>
      </c>
      <c r="E60">
        <v>7100</v>
      </c>
      <c r="F60" t="s">
        <v>25</v>
      </c>
      <c r="G60" s="9">
        <v>6</v>
      </c>
      <c r="H60" t="s">
        <v>68</v>
      </c>
      <c r="I60">
        <v>6</v>
      </c>
      <c r="J60" s="13">
        <f t="shared" si="0"/>
        <v>6</v>
      </c>
    </row>
    <row r="61" spans="1:10" x14ac:dyDescent="0.2">
      <c r="A61" s="6">
        <v>42800</v>
      </c>
      <c r="B61">
        <v>2012</v>
      </c>
      <c r="C61">
        <v>1042</v>
      </c>
      <c r="D61">
        <v>60</v>
      </c>
      <c r="E61">
        <v>6900</v>
      </c>
      <c r="F61" t="s">
        <v>25</v>
      </c>
      <c r="G61" s="9">
        <v>6</v>
      </c>
      <c r="H61" t="s">
        <v>68</v>
      </c>
      <c r="I61">
        <v>7</v>
      </c>
      <c r="J61" s="13">
        <f t="shared" si="0"/>
        <v>6</v>
      </c>
    </row>
    <row r="62" spans="1:10" x14ac:dyDescent="0.2">
      <c r="A62" s="6">
        <v>42608</v>
      </c>
      <c r="B62">
        <v>2012</v>
      </c>
      <c r="C62">
        <v>1042</v>
      </c>
      <c r="D62">
        <v>61</v>
      </c>
      <c r="E62">
        <v>7000</v>
      </c>
      <c r="F62" t="s">
        <v>25</v>
      </c>
      <c r="G62" s="9">
        <v>6</v>
      </c>
      <c r="H62" t="s">
        <v>68</v>
      </c>
      <c r="I62">
        <v>7</v>
      </c>
      <c r="J62" s="13">
        <f t="shared" si="0"/>
        <v>6</v>
      </c>
    </row>
    <row r="63" spans="1:10" x14ac:dyDescent="0.2">
      <c r="A63" s="6">
        <v>42499</v>
      </c>
      <c r="B63">
        <v>2013</v>
      </c>
      <c r="C63">
        <v>1042</v>
      </c>
      <c r="D63">
        <v>62</v>
      </c>
      <c r="E63">
        <v>7200</v>
      </c>
      <c r="F63" t="s">
        <v>25</v>
      </c>
      <c r="G63" s="9">
        <v>6</v>
      </c>
      <c r="H63" t="s">
        <v>68</v>
      </c>
      <c r="I63">
        <v>6</v>
      </c>
      <c r="J63" s="13">
        <f t="shared" si="0"/>
        <v>6</v>
      </c>
    </row>
    <row r="64" spans="1:10" x14ac:dyDescent="0.2">
      <c r="A64" s="6">
        <v>42437</v>
      </c>
      <c r="B64">
        <v>2012</v>
      </c>
      <c r="C64">
        <v>1042</v>
      </c>
      <c r="D64">
        <v>63</v>
      </c>
      <c r="E64">
        <v>7300</v>
      </c>
      <c r="F64" t="s">
        <v>25</v>
      </c>
      <c r="G64" s="9">
        <v>6</v>
      </c>
      <c r="H64" t="s">
        <v>68</v>
      </c>
      <c r="I64">
        <v>7</v>
      </c>
      <c r="J64" s="13">
        <f t="shared" si="0"/>
        <v>6</v>
      </c>
    </row>
    <row r="65" spans="1:10" x14ac:dyDescent="0.2">
      <c r="A65" s="6">
        <v>43578</v>
      </c>
      <c r="B65">
        <v>2012</v>
      </c>
      <c r="C65">
        <v>1042</v>
      </c>
      <c r="D65">
        <v>64</v>
      </c>
      <c r="E65">
        <v>7950</v>
      </c>
      <c r="F65" t="s">
        <v>25</v>
      </c>
      <c r="G65" s="9">
        <v>7</v>
      </c>
      <c r="H65" t="s">
        <v>68</v>
      </c>
      <c r="I65">
        <v>7</v>
      </c>
      <c r="J65" s="13">
        <f t="shared" si="0"/>
        <v>7</v>
      </c>
    </row>
    <row r="66" spans="1:10" x14ac:dyDescent="0.2">
      <c r="A66" s="6">
        <v>43080</v>
      </c>
      <c r="B66">
        <v>2012</v>
      </c>
      <c r="C66">
        <v>1042</v>
      </c>
      <c r="D66">
        <v>65</v>
      </c>
      <c r="E66">
        <v>7675</v>
      </c>
      <c r="F66" t="s">
        <v>25</v>
      </c>
      <c r="G66" s="9">
        <v>7</v>
      </c>
      <c r="H66" t="s">
        <v>68</v>
      </c>
      <c r="I66">
        <v>7</v>
      </c>
      <c r="J66" s="13">
        <f t="shared" ref="J66:J129" si="1">IF(H66="days",ROUND(G66/30,0),IF(H66="years",G66*12,G66))</f>
        <v>7</v>
      </c>
    </row>
    <row r="67" spans="1:10" x14ac:dyDescent="0.2">
      <c r="A67" s="6">
        <v>42641</v>
      </c>
      <c r="B67">
        <v>2013</v>
      </c>
      <c r="C67">
        <v>1042</v>
      </c>
      <c r="D67">
        <v>66</v>
      </c>
      <c r="E67">
        <v>7150</v>
      </c>
      <c r="F67" t="s">
        <v>25</v>
      </c>
      <c r="G67" s="9">
        <v>8</v>
      </c>
      <c r="H67" t="s">
        <v>68</v>
      </c>
      <c r="I67">
        <v>6</v>
      </c>
      <c r="J67" s="13">
        <f t="shared" si="1"/>
        <v>8</v>
      </c>
    </row>
    <row r="68" spans="1:10" x14ac:dyDescent="0.2">
      <c r="A68" s="6">
        <v>42459</v>
      </c>
      <c r="B68">
        <v>2012</v>
      </c>
      <c r="C68">
        <v>1049</v>
      </c>
      <c r="D68">
        <v>67</v>
      </c>
      <c r="E68">
        <v>7500</v>
      </c>
      <c r="F68" t="s">
        <v>25</v>
      </c>
      <c r="G68" s="9">
        <v>6</v>
      </c>
      <c r="H68" t="s">
        <v>68</v>
      </c>
      <c r="I68">
        <v>7</v>
      </c>
      <c r="J68" s="13">
        <f t="shared" si="1"/>
        <v>6</v>
      </c>
    </row>
    <row r="69" spans="1:10" x14ac:dyDescent="0.2">
      <c r="A69" s="6">
        <v>43343</v>
      </c>
      <c r="B69">
        <v>2012</v>
      </c>
      <c r="C69">
        <v>1049</v>
      </c>
      <c r="D69">
        <v>68</v>
      </c>
      <c r="E69">
        <v>8525</v>
      </c>
      <c r="F69" t="s">
        <v>25</v>
      </c>
      <c r="G69" s="9">
        <v>7</v>
      </c>
      <c r="H69" t="s">
        <v>68</v>
      </c>
      <c r="I69">
        <v>7</v>
      </c>
      <c r="J69" s="13">
        <f t="shared" si="1"/>
        <v>7</v>
      </c>
    </row>
    <row r="70" spans="1:10" x14ac:dyDescent="0.2">
      <c r="A70" s="6">
        <v>42754</v>
      </c>
      <c r="B70">
        <v>2012</v>
      </c>
      <c r="C70">
        <v>1049</v>
      </c>
      <c r="D70">
        <v>69</v>
      </c>
      <c r="E70">
        <v>7000</v>
      </c>
      <c r="F70" t="s">
        <v>25</v>
      </c>
      <c r="G70" s="9">
        <v>8</v>
      </c>
      <c r="H70" t="s">
        <v>68</v>
      </c>
      <c r="I70">
        <v>7</v>
      </c>
      <c r="J70" s="13">
        <f t="shared" si="1"/>
        <v>8</v>
      </c>
    </row>
    <row r="71" spans="1:10" x14ac:dyDescent="0.2">
      <c r="A71" s="6">
        <v>42404</v>
      </c>
      <c r="B71">
        <v>2012</v>
      </c>
      <c r="C71">
        <v>1049</v>
      </c>
      <c r="D71">
        <v>70</v>
      </c>
      <c r="E71">
        <v>7600</v>
      </c>
      <c r="F71" t="s">
        <v>25</v>
      </c>
      <c r="G71" s="9">
        <v>9</v>
      </c>
      <c r="H71" t="s">
        <v>68</v>
      </c>
      <c r="I71">
        <v>7</v>
      </c>
      <c r="J71" s="13">
        <f t="shared" si="1"/>
        <v>9</v>
      </c>
    </row>
    <row r="72" spans="1:10" x14ac:dyDescent="0.2">
      <c r="A72" s="6">
        <v>42961</v>
      </c>
      <c r="B72">
        <v>2014</v>
      </c>
      <c r="C72">
        <v>1073</v>
      </c>
      <c r="D72">
        <v>71</v>
      </c>
      <c r="E72">
        <v>6300</v>
      </c>
      <c r="F72" t="s">
        <v>25</v>
      </c>
      <c r="G72" s="9">
        <v>11</v>
      </c>
      <c r="H72" t="s">
        <v>68</v>
      </c>
      <c r="I72">
        <v>5</v>
      </c>
      <c r="J72" s="13">
        <f t="shared" si="1"/>
        <v>11</v>
      </c>
    </row>
    <row r="73" spans="1:10" x14ac:dyDescent="0.2">
      <c r="A73" s="6">
        <v>42388</v>
      </c>
      <c r="B73">
        <v>2014</v>
      </c>
      <c r="C73">
        <v>1073</v>
      </c>
      <c r="D73">
        <v>72</v>
      </c>
      <c r="E73">
        <v>6500</v>
      </c>
      <c r="F73" t="s">
        <v>25</v>
      </c>
      <c r="G73" s="9">
        <v>12</v>
      </c>
      <c r="H73" t="s">
        <v>68</v>
      </c>
      <c r="I73">
        <v>5</v>
      </c>
      <c r="J73" s="13">
        <f t="shared" si="1"/>
        <v>12</v>
      </c>
    </row>
    <row r="74" spans="1:10" x14ac:dyDescent="0.2">
      <c r="A74" s="6">
        <v>43266</v>
      </c>
      <c r="B74">
        <v>2014</v>
      </c>
      <c r="C74">
        <v>1073</v>
      </c>
      <c r="D74">
        <v>73</v>
      </c>
      <c r="E74">
        <v>7250</v>
      </c>
      <c r="F74" t="s">
        <v>25</v>
      </c>
      <c r="G74" s="9">
        <v>24</v>
      </c>
      <c r="H74" t="s">
        <v>68</v>
      </c>
      <c r="I74">
        <v>5</v>
      </c>
      <c r="J74" s="13">
        <f t="shared" si="1"/>
        <v>24</v>
      </c>
    </row>
    <row r="75" spans="1:10" x14ac:dyDescent="0.2">
      <c r="A75" s="6">
        <v>43266</v>
      </c>
      <c r="B75">
        <v>2013</v>
      </c>
      <c r="C75">
        <v>1073</v>
      </c>
      <c r="D75">
        <v>74</v>
      </c>
      <c r="E75">
        <v>7250</v>
      </c>
      <c r="F75" t="s">
        <v>25</v>
      </c>
      <c r="G75" s="9">
        <v>24</v>
      </c>
      <c r="H75" t="s">
        <v>68</v>
      </c>
      <c r="I75">
        <v>6</v>
      </c>
      <c r="J75" s="13">
        <f t="shared" si="1"/>
        <v>24</v>
      </c>
    </row>
    <row r="76" spans="1:10" x14ac:dyDescent="0.2">
      <c r="A76" s="6">
        <v>42877</v>
      </c>
      <c r="B76">
        <v>2013</v>
      </c>
      <c r="C76">
        <v>1073</v>
      </c>
      <c r="D76">
        <v>75</v>
      </c>
      <c r="E76">
        <v>6700</v>
      </c>
      <c r="F76" t="s">
        <v>25</v>
      </c>
      <c r="G76" s="9">
        <v>6</v>
      </c>
      <c r="H76" t="s">
        <v>68</v>
      </c>
      <c r="I76">
        <v>6</v>
      </c>
      <c r="J76" s="13">
        <f t="shared" si="1"/>
        <v>6</v>
      </c>
    </row>
    <row r="77" spans="1:10" x14ac:dyDescent="0.2">
      <c r="A77" s="6">
        <v>43125</v>
      </c>
      <c r="B77">
        <v>2012</v>
      </c>
      <c r="C77">
        <v>1082</v>
      </c>
      <c r="D77">
        <v>76</v>
      </c>
      <c r="E77">
        <v>7400</v>
      </c>
      <c r="F77" t="s">
        <v>25</v>
      </c>
      <c r="G77" s="9">
        <v>14</v>
      </c>
      <c r="H77" t="s">
        <v>68</v>
      </c>
      <c r="I77">
        <v>7</v>
      </c>
      <c r="J77" s="13">
        <f t="shared" si="1"/>
        <v>14</v>
      </c>
    </row>
    <row r="78" spans="1:10" x14ac:dyDescent="0.2">
      <c r="A78" s="6">
        <v>43070</v>
      </c>
      <c r="B78">
        <v>2012</v>
      </c>
      <c r="C78">
        <v>1082</v>
      </c>
      <c r="D78">
        <v>77</v>
      </c>
      <c r="E78">
        <v>7000</v>
      </c>
      <c r="F78" t="s">
        <v>25</v>
      </c>
      <c r="G78" s="9">
        <v>2</v>
      </c>
      <c r="H78" t="s">
        <v>68</v>
      </c>
      <c r="I78">
        <v>7</v>
      </c>
      <c r="J78" s="13">
        <f t="shared" si="1"/>
        <v>2</v>
      </c>
    </row>
    <row r="79" spans="1:10" x14ac:dyDescent="0.2">
      <c r="A79" s="6">
        <v>42940</v>
      </c>
      <c r="B79">
        <v>2012</v>
      </c>
      <c r="C79">
        <v>1082</v>
      </c>
      <c r="D79">
        <v>78</v>
      </c>
      <c r="E79">
        <v>6700</v>
      </c>
      <c r="F79" t="s">
        <v>25</v>
      </c>
      <c r="G79" s="9">
        <v>2</v>
      </c>
      <c r="H79" t="s">
        <v>68</v>
      </c>
      <c r="I79">
        <v>7</v>
      </c>
      <c r="J79" s="13">
        <f t="shared" si="1"/>
        <v>2</v>
      </c>
    </row>
    <row r="80" spans="1:10" x14ac:dyDescent="0.2">
      <c r="A80" s="6">
        <v>42569</v>
      </c>
      <c r="B80">
        <v>2012</v>
      </c>
      <c r="C80">
        <v>1082</v>
      </c>
      <c r="D80">
        <v>79</v>
      </c>
      <c r="E80">
        <v>7000</v>
      </c>
      <c r="F80" t="s">
        <v>25</v>
      </c>
      <c r="G80" s="9">
        <v>3</v>
      </c>
      <c r="H80" t="s">
        <v>68</v>
      </c>
      <c r="I80">
        <v>7</v>
      </c>
      <c r="J80" s="13">
        <f t="shared" si="1"/>
        <v>3</v>
      </c>
    </row>
    <row r="81" spans="1:10" x14ac:dyDescent="0.2">
      <c r="A81" s="6">
        <v>42795</v>
      </c>
      <c r="B81">
        <v>2012</v>
      </c>
      <c r="C81">
        <v>1082</v>
      </c>
      <c r="D81">
        <v>80</v>
      </c>
      <c r="E81">
        <v>6500</v>
      </c>
      <c r="F81" t="s">
        <v>25</v>
      </c>
      <c r="G81" s="9">
        <v>3.5</v>
      </c>
      <c r="H81" t="s">
        <v>68</v>
      </c>
      <c r="I81">
        <v>7</v>
      </c>
      <c r="J81" s="13">
        <f t="shared" si="1"/>
        <v>3.5</v>
      </c>
    </row>
    <row r="82" spans="1:10" x14ac:dyDescent="0.2">
      <c r="A82" s="6">
        <v>42479</v>
      </c>
      <c r="B82">
        <v>2012</v>
      </c>
      <c r="C82">
        <v>1082</v>
      </c>
      <c r="D82">
        <v>81</v>
      </c>
      <c r="E82">
        <v>7000</v>
      </c>
      <c r="F82" t="s">
        <v>25</v>
      </c>
      <c r="G82" s="15">
        <v>56</v>
      </c>
      <c r="H82" t="s">
        <v>26</v>
      </c>
      <c r="I82">
        <v>7</v>
      </c>
      <c r="J82" s="13">
        <f t="shared" si="1"/>
        <v>2</v>
      </c>
    </row>
    <row r="83" spans="1:10" x14ac:dyDescent="0.2">
      <c r="A83" s="6">
        <v>43018</v>
      </c>
      <c r="B83">
        <v>2012</v>
      </c>
      <c r="C83">
        <v>1082</v>
      </c>
      <c r="D83">
        <v>82</v>
      </c>
      <c r="E83">
        <v>6900</v>
      </c>
      <c r="F83" t="s">
        <v>25</v>
      </c>
      <c r="G83" s="9">
        <v>7</v>
      </c>
      <c r="H83" t="s">
        <v>68</v>
      </c>
      <c r="I83">
        <v>7</v>
      </c>
      <c r="J83" s="13">
        <f t="shared" si="1"/>
        <v>7</v>
      </c>
    </row>
    <row r="84" spans="1:10" x14ac:dyDescent="0.2">
      <c r="A84" s="6">
        <v>42971</v>
      </c>
      <c r="B84">
        <v>2011</v>
      </c>
      <c r="C84">
        <v>1084</v>
      </c>
      <c r="D84">
        <v>83</v>
      </c>
      <c r="E84">
        <v>7000</v>
      </c>
      <c r="F84" t="s">
        <v>25</v>
      </c>
      <c r="G84" s="9">
        <v>3</v>
      </c>
      <c r="H84" t="s">
        <v>68</v>
      </c>
      <c r="I84">
        <v>8</v>
      </c>
      <c r="J84" s="13">
        <f t="shared" si="1"/>
        <v>3</v>
      </c>
    </row>
    <row r="85" spans="1:10" x14ac:dyDescent="0.2">
      <c r="A85" s="6">
        <v>42417</v>
      </c>
      <c r="B85">
        <v>2011</v>
      </c>
      <c r="C85">
        <v>1084</v>
      </c>
      <c r="D85">
        <v>84</v>
      </c>
      <c r="E85">
        <v>7000</v>
      </c>
      <c r="F85" t="s">
        <v>25</v>
      </c>
      <c r="G85" s="9">
        <v>3</v>
      </c>
      <c r="H85" t="s">
        <v>68</v>
      </c>
      <c r="I85">
        <v>8</v>
      </c>
      <c r="J85" s="13">
        <f t="shared" si="1"/>
        <v>3</v>
      </c>
    </row>
    <row r="86" spans="1:10" x14ac:dyDescent="0.2">
      <c r="A86" s="6">
        <v>42703</v>
      </c>
      <c r="B86">
        <v>2011</v>
      </c>
      <c r="C86">
        <v>1084</v>
      </c>
      <c r="D86">
        <v>85</v>
      </c>
      <c r="E86">
        <v>6950</v>
      </c>
      <c r="F86" t="s">
        <v>25</v>
      </c>
      <c r="G86" s="9">
        <v>4</v>
      </c>
      <c r="H86" t="s">
        <v>68</v>
      </c>
      <c r="I86">
        <v>8</v>
      </c>
      <c r="J86" s="13">
        <f t="shared" si="1"/>
        <v>4</v>
      </c>
    </row>
    <row r="87" spans="1:10" x14ac:dyDescent="0.2">
      <c r="A87" s="6">
        <v>42501</v>
      </c>
      <c r="B87">
        <v>2011</v>
      </c>
      <c r="C87">
        <v>1084</v>
      </c>
      <c r="D87">
        <v>86</v>
      </c>
      <c r="E87">
        <v>7000</v>
      </c>
      <c r="F87" t="s">
        <v>25</v>
      </c>
      <c r="G87" s="9">
        <v>4</v>
      </c>
      <c r="H87" t="s">
        <v>68</v>
      </c>
      <c r="I87">
        <v>8</v>
      </c>
      <c r="J87" s="13">
        <f t="shared" si="1"/>
        <v>4</v>
      </c>
    </row>
    <row r="88" spans="1:10" x14ac:dyDescent="0.2">
      <c r="A88" s="6">
        <v>42887</v>
      </c>
      <c r="B88">
        <v>2012</v>
      </c>
      <c r="C88">
        <v>1085</v>
      </c>
      <c r="D88">
        <v>87</v>
      </c>
      <c r="E88">
        <v>6900</v>
      </c>
      <c r="F88" t="s">
        <v>25</v>
      </c>
      <c r="G88" s="9">
        <v>10</v>
      </c>
      <c r="H88" t="s">
        <v>68</v>
      </c>
      <c r="I88">
        <v>7</v>
      </c>
      <c r="J88" s="13">
        <f t="shared" si="1"/>
        <v>10</v>
      </c>
    </row>
    <row r="89" spans="1:10" x14ac:dyDescent="0.2">
      <c r="A89" s="6">
        <v>43073</v>
      </c>
      <c r="B89">
        <v>2011</v>
      </c>
      <c r="C89">
        <v>1085</v>
      </c>
      <c r="D89">
        <v>88</v>
      </c>
      <c r="E89">
        <v>7450</v>
      </c>
      <c r="F89" t="s">
        <v>25</v>
      </c>
      <c r="G89" s="9">
        <v>11</v>
      </c>
      <c r="H89" t="s">
        <v>68</v>
      </c>
      <c r="I89">
        <v>8</v>
      </c>
      <c r="J89" s="13">
        <f t="shared" si="1"/>
        <v>11</v>
      </c>
    </row>
    <row r="90" spans="1:10" x14ac:dyDescent="0.2">
      <c r="A90" s="6">
        <v>43264</v>
      </c>
      <c r="B90">
        <v>2011</v>
      </c>
      <c r="C90">
        <v>1085</v>
      </c>
      <c r="D90">
        <v>89</v>
      </c>
      <c r="E90">
        <v>8150</v>
      </c>
      <c r="F90" t="s">
        <v>25</v>
      </c>
      <c r="G90" s="9">
        <v>12</v>
      </c>
      <c r="H90" t="s">
        <v>68</v>
      </c>
      <c r="I90">
        <v>8</v>
      </c>
      <c r="J90" s="13">
        <f t="shared" si="1"/>
        <v>12</v>
      </c>
    </row>
    <row r="91" spans="1:10" x14ac:dyDescent="0.2">
      <c r="A91" s="6">
        <v>43264</v>
      </c>
      <c r="B91">
        <v>2011</v>
      </c>
      <c r="C91">
        <v>1085</v>
      </c>
      <c r="D91">
        <v>90</v>
      </c>
      <c r="E91">
        <v>8150</v>
      </c>
      <c r="F91" t="s">
        <v>25</v>
      </c>
      <c r="G91" s="9">
        <v>12</v>
      </c>
      <c r="H91" t="s">
        <v>68</v>
      </c>
      <c r="I91">
        <v>8</v>
      </c>
      <c r="J91" s="13">
        <f t="shared" si="1"/>
        <v>12</v>
      </c>
    </row>
    <row r="92" spans="1:10" x14ac:dyDescent="0.2">
      <c r="A92" s="6">
        <v>42920</v>
      </c>
      <c r="B92">
        <v>2011</v>
      </c>
      <c r="C92">
        <v>1085</v>
      </c>
      <c r="D92">
        <v>91</v>
      </c>
      <c r="E92">
        <v>7200</v>
      </c>
      <c r="F92" t="s">
        <v>25</v>
      </c>
      <c r="G92" s="9">
        <v>12</v>
      </c>
      <c r="H92" t="s">
        <v>68</v>
      </c>
      <c r="I92">
        <v>8</v>
      </c>
      <c r="J92" s="13">
        <f t="shared" si="1"/>
        <v>12</v>
      </c>
    </row>
    <row r="93" spans="1:10" x14ac:dyDescent="0.2">
      <c r="A93" s="6">
        <v>42887</v>
      </c>
      <c r="B93">
        <v>2011</v>
      </c>
      <c r="C93">
        <v>1085</v>
      </c>
      <c r="D93">
        <v>92</v>
      </c>
      <c r="E93">
        <v>7150</v>
      </c>
      <c r="F93" t="s">
        <v>25</v>
      </c>
      <c r="G93" s="9">
        <v>12</v>
      </c>
      <c r="H93" t="s">
        <v>68</v>
      </c>
      <c r="I93">
        <v>8</v>
      </c>
      <c r="J93" s="13">
        <f t="shared" si="1"/>
        <v>12</v>
      </c>
    </row>
    <row r="94" spans="1:10" x14ac:dyDescent="0.2">
      <c r="A94" s="6">
        <v>42660</v>
      </c>
      <c r="B94">
        <v>2011</v>
      </c>
      <c r="C94">
        <v>1085</v>
      </c>
      <c r="D94">
        <v>93</v>
      </c>
      <c r="E94">
        <v>6500</v>
      </c>
      <c r="F94" t="s">
        <v>25</v>
      </c>
      <c r="G94" s="9">
        <v>12</v>
      </c>
      <c r="H94" t="s">
        <v>68</v>
      </c>
      <c r="I94">
        <v>8</v>
      </c>
      <c r="J94" s="13">
        <f t="shared" si="1"/>
        <v>12</v>
      </c>
    </row>
    <row r="95" spans="1:10" x14ac:dyDescent="0.2">
      <c r="A95" s="6">
        <v>42472</v>
      </c>
      <c r="B95">
        <v>2012</v>
      </c>
      <c r="C95">
        <v>1085</v>
      </c>
      <c r="D95">
        <v>94</v>
      </c>
      <c r="E95">
        <v>7900</v>
      </c>
      <c r="F95" t="s">
        <v>25</v>
      </c>
      <c r="G95" s="9">
        <v>12</v>
      </c>
      <c r="H95" t="s">
        <v>68</v>
      </c>
      <c r="I95">
        <v>7</v>
      </c>
      <c r="J95" s="13">
        <f t="shared" si="1"/>
        <v>12</v>
      </c>
    </row>
    <row r="96" spans="1:10" x14ac:dyDescent="0.2">
      <c r="A96" s="6">
        <v>42851</v>
      </c>
      <c r="B96">
        <v>2012</v>
      </c>
      <c r="C96">
        <v>1085</v>
      </c>
      <c r="D96">
        <v>95</v>
      </c>
      <c r="E96">
        <v>6350</v>
      </c>
      <c r="F96" t="s">
        <v>25</v>
      </c>
      <c r="G96" s="9">
        <v>3</v>
      </c>
      <c r="H96" t="s">
        <v>68</v>
      </c>
      <c r="I96">
        <v>7</v>
      </c>
      <c r="J96" s="13">
        <f t="shared" si="1"/>
        <v>3</v>
      </c>
    </row>
    <row r="97" spans="1:10" x14ac:dyDescent="0.2">
      <c r="A97" s="6">
        <v>42688</v>
      </c>
      <c r="B97">
        <v>2011</v>
      </c>
      <c r="C97">
        <v>1085</v>
      </c>
      <c r="D97">
        <v>96</v>
      </c>
      <c r="E97">
        <v>5700</v>
      </c>
      <c r="F97" t="s">
        <v>25</v>
      </c>
      <c r="G97" s="15">
        <v>30</v>
      </c>
      <c r="H97" t="s">
        <v>26</v>
      </c>
      <c r="I97">
        <v>8</v>
      </c>
      <c r="J97" s="13">
        <f t="shared" si="1"/>
        <v>1</v>
      </c>
    </row>
    <row r="98" spans="1:10" x14ac:dyDescent="0.2">
      <c r="A98" s="6">
        <v>43391</v>
      </c>
      <c r="B98">
        <v>2012</v>
      </c>
      <c r="C98">
        <v>1085</v>
      </c>
      <c r="D98">
        <v>97</v>
      </c>
      <c r="E98">
        <v>6750</v>
      </c>
      <c r="F98" t="s">
        <v>25</v>
      </c>
      <c r="G98" s="9">
        <v>5</v>
      </c>
      <c r="H98" t="s">
        <v>68</v>
      </c>
      <c r="I98">
        <v>7</v>
      </c>
      <c r="J98" s="13">
        <f t="shared" si="1"/>
        <v>5</v>
      </c>
    </row>
    <row r="99" spans="1:10" x14ac:dyDescent="0.2">
      <c r="A99" s="6">
        <v>43040</v>
      </c>
      <c r="B99">
        <v>2012</v>
      </c>
      <c r="C99">
        <v>1085</v>
      </c>
      <c r="D99">
        <v>98</v>
      </c>
      <c r="E99">
        <v>6500</v>
      </c>
      <c r="F99" t="s">
        <v>25</v>
      </c>
      <c r="G99" s="9">
        <v>6</v>
      </c>
      <c r="H99" t="s">
        <v>68</v>
      </c>
      <c r="I99">
        <v>7</v>
      </c>
      <c r="J99" s="13">
        <f t="shared" si="1"/>
        <v>6</v>
      </c>
    </row>
    <row r="100" spans="1:10" x14ac:dyDescent="0.2">
      <c r="A100" s="6">
        <v>42795</v>
      </c>
      <c r="B100">
        <v>2011</v>
      </c>
      <c r="C100">
        <v>1085</v>
      </c>
      <c r="D100">
        <v>99</v>
      </c>
      <c r="E100">
        <v>5600</v>
      </c>
      <c r="F100" t="s">
        <v>25</v>
      </c>
      <c r="G100" s="15">
        <v>60</v>
      </c>
      <c r="H100" t="s">
        <v>26</v>
      </c>
      <c r="I100">
        <v>8</v>
      </c>
      <c r="J100" s="13">
        <f t="shared" si="1"/>
        <v>2</v>
      </c>
    </row>
    <row r="101" spans="1:10" x14ac:dyDescent="0.2">
      <c r="A101" s="6">
        <v>42741</v>
      </c>
      <c r="B101">
        <v>2011</v>
      </c>
      <c r="C101">
        <v>1085</v>
      </c>
      <c r="D101">
        <v>100</v>
      </c>
      <c r="E101">
        <v>5500</v>
      </c>
      <c r="F101" t="s">
        <v>25</v>
      </c>
      <c r="G101" s="15">
        <v>60</v>
      </c>
      <c r="H101" t="s">
        <v>26</v>
      </c>
      <c r="I101">
        <v>8</v>
      </c>
      <c r="J101" s="13">
        <f t="shared" si="1"/>
        <v>2</v>
      </c>
    </row>
    <row r="102" spans="1:10" x14ac:dyDescent="0.2">
      <c r="A102" s="6">
        <v>42663</v>
      </c>
      <c r="B102">
        <v>2011</v>
      </c>
      <c r="C102">
        <v>1085</v>
      </c>
      <c r="D102">
        <v>101</v>
      </c>
      <c r="E102">
        <v>8500</v>
      </c>
      <c r="F102" t="s">
        <v>25</v>
      </c>
      <c r="G102" s="9">
        <v>7</v>
      </c>
      <c r="H102" t="s">
        <v>68</v>
      </c>
      <c r="I102">
        <v>8</v>
      </c>
      <c r="J102" s="13">
        <f t="shared" si="1"/>
        <v>7</v>
      </c>
    </row>
    <row r="103" spans="1:10" x14ac:dyDescent="0.2">
      <c r="A103" s="6">
        <v>42663</v>
      </c>
      <c r="B103">
        <v>2012</v>
      </c>
      <c r="C103">
        <v>1085</v>
      </c>
      <c r="D103">
        <v>102</v>
      </c>
      <c r="E103">
        <v>8500</v>
      </c>
      <c r="F103" t="s">
        <v>25</v>
      </c>
      <c r="G103" s="9">
        <v>7</v>
      </c>
      <c r="H103" t="s">
        <v>68</v>
      </c>
      <c r="I103">
        <v>7</v>
      </c>
      <c r="J103" s="13">
        <f t="shared" si="1"/>
        <v>7</v>
      </c>
    </row>
    <row r="104" spans="1:10" x14ac:dyDescent="0.2">
      <c r="A104" s="6">
        <v>42446</v>
      </c>
      <c r="B104">
        <v>2011</v>
      </c>
      <c r="C104">
        <v>1085</v>
      </c>
      <c r="D104">
        <v>103</v>
      </c>
      <c r="E104">
        <v>7600</v>
      </c>
      <c r="F104" t="s">
        <v>25</v>
      </c>
      <c r="G104" s="9">
        <v>7</v>
      </c>
      <c r="H104" t="s">
        <v>68</v>
      </c>
      <c r="I104">
        <v>8</v>
      </c>
      <c r="J104" s="13">
        <f t="shared" si="1"/>
        <v>7</v>
      </c>
    </row>
    <row r="105" spans="1:10" x14ac:dyDescent="0.2">
      <c r="A105" s="6">
        <v>42418</v>
      </c>
      <c r="B105">
        <v>2011</v>
      </c>
      <c r="C105">
        <v>1085</v>
      </c>
      <c r="D105">
        <v>104</v>
      </c>
      <c r="E105">
        <v>8600</v>
      </c>
      <c r="F105" t="s">
        <v>25</v>
      </c>
      <c r="G105" s="9">
        <v>7</v>
      </c>
      <c r="H105" t="s">
        <v>68</v>
      </c>
      <c r="I105">
        <v>8</v>
      </c>
      <c r="J105" s="13">
        <f t="shared" si="1"/>
        <v>7</v>
      </c>
    </row>
    <row r="106" spans="1:10" x14ac:dyDescent="0.2">
      <c r="A106" s="6">
        <v>42824</v>
      </c>
      <c r="B106">
        <v>2011</v>
      </c>
      <c r="C106">
        <v>1085</v>
      </c>
      <c r="D106">
        <v>105</v>
      </c>
      <c r="E106">
        <v>6500</v>
      </c>
      <c r="F106" t="s">
        <v>25</v>
      </c>
      <c r="G106" s="9">
        <v>8</v>
      </c>
      <c r="H106" t="s">
        <v>68</v>
      </c>
      <c r="I106">
        <v>8</v>
      </c>
      <c r="J106" s="13">
        <f t="shared" si="1"/>
        <v>8</v>
      </c>
    </row>
    <row r="107" spans="1:10" x14ac:dyDescent="0.2">
      <c r="A107" s="6">
        <v>43575</v>
      </c>
      <c r="B107">
        <v>2017</v>
      </c>
      <c r="C107">
        <v>1096</v>
      </c>
      <c r="D107">
        <v>106</v>
      </c>
      <c r="E107">
        <v>8700</v>
      </c>
      <c r="F107" t="s">
        <v>25</v>
      </c>
      <c r="G107" s="9">
        <v>6</v>
      </c>
      <c r="H107" t="s">
        <v>68</v>
      </c>
      <c r="I107">
        <v>2</v>
      </c>
      <c r="J107" s="13">
        <f t="shared" si="1"/>
        <v>6</v>
      </c>
    </row>
    <row r="108" spans="1:10" x14ac:dyDescent="0.2">
      <c r="A108" s="6">
        <v>43172</v>
      </c>
      <c r="B108">
        <v>2016</v>
      </c>
      <c r="C108">
        <v>1100</v>
      </c>
      <c r="D108">
        <v>107</v>
      </c>
      <c r="E108">
        <v>7800</v>
      </c>
      <c r="F108" t="s">
        <v>25</v>
      </c>
      <c r="G108" s="9">
        <v>5</v>
      </c>
      <c r="H108" t="s">
        <v>68</v>
      </c>
      <c r="I108">
        <v>3</v>
      </c>
      <c r="J108" s="13">
        <f t="shared" si="1"/>
        <v>5</v>
      </c>
    </row>
    <row r="109" spans="1:10" x14ac:dyDescent="0.2">
      <c r="A109" s="6">
        <v>43108</v>
      </c>
      <c r="B109">
        <v>2015</v>
      </c>
      <c r="C109">
        <v>1100</v>
      </c>
      <c r="D109">
        <v>108</v>
      </c>
      <c r="E109">
        <v>7675</v>
      </c>
      <c r="F109" t="s">
        <v>25</v>
      </c>
      <c r="G109" s="9">
        <v>6</v>
      </c>
      <c r="H109" t="s">
        <v>68</v>
      </c>
      <c r="I109">
        <v>4</v>
      </c>
      <c r="J109" s="13">
        <f t="shared" si="1"/>
        <v>6</v>
      </c>
    </row>
    <row r="110" spans="1:10" x14ac:dyDescent="0.2">
      <c r="A110" s="6">
        <v>43264</v>
      </c>
      <c r="B110">
        <v>2014</v>
      </c>
      <c r="C110">
        <v>1102</v>
      </c>
      <c r="D110">
        <v>109</v>
      </c>
      <c r="E110">
        <v>0</v>
      </c>
      <c r="F110" t="s">
        <v>25</v>
      </c>
      <c r="G110" s="9">
        <v>11</v>
      </c>
      <c r="H110" t="s">
        <v>68</v>
      </c>
      <c r="I110">
        <v>5</v>
      </c>
      <c r="J110" s="13">
        <f t="shared" si="1"/>
        <v>11</v>
      </c>
    </row>
    <row r="111" spans="1:10" x14ac:dyDescent="0.2">
      <c r="A111" s="6">
        <v>42411</v>
      </c>
      <c r="B111">
        <v>2016</v>
      </c>
      <c r="C111">
        <v>1102</v>
      </c>
      <c r="D111">
        <v>110</v>
      </c>
      <c r="E111">
        <v>9000</v>
      </c>
      <c r="F111" t="s">
        <v>25</v>
      </c>
      <c r="G111" s="9">
        <v>12</v>
      </c>
      <c r="H111" t="s">
        <v>68</v>
      </c>
      <c r="I111">
        <v>3</v>
      </c>
      <c r="J111" s="13">
        <f t="shared" si="1"/>
        <v>12</v>
      </c>
    </row>
    <row r="112" spans="1:10" x14ac:dyDescent="0.2">
      <c r="A112" s="6">
        <v>42430</v>
      </c>
      <c r="B112">
        <v>2014</v>
      </c>
      <c r="C112">
        <v>1102</v>
      </c>
      <c r="D112">
        <v>111</v>
      </c>
      <c r="E112">
        <v>9600</v>
      </c>
      <c r="F112" t="s">
        <v>25</v>
      </c>
      <c r="G112" s="9">
        <v>18</v>
      </c>
      <c r="H112" t="s">
        <v>68</v>
      </c>
      <c r="I112">
        <v>5</v>
      </c>
      <c r="J112" s="13">
        <f t="shared" si="1"/>
        <v>18</v>
      </c>
    </row>
    <row r="113" spans="1:10" x14ac:dyDescent="0.2">
      <c r="A113" s="6">
        <v>43570</v>
      </c>
      <c r="B113">
        <v>2015</v>
      </c>
      <c r="C113">
        <v>1102</v>
      </c>
      <c r="D113">
        <v>112</v>
      </c>
      <c r="E113">
        <v>9000</v>
      </c>
      <c r="F113" t="s">
        <v>25</v>
      </c>
      <c r="G113" s="9">
        <v>4</v>
      </c>
      <c r="H113" t="s">
        <v>68</v>
      </c>
      <c r="I113">
        <v>4</v>
      </c>
      <c r="J113" s="13">
        <f t="shared" si="1"/>
        <v>4</v>
      </c>
    </row>
    <row r="114" spans="1:10" x14ac:dyDescent="0.2">
      <c r="A114" s="6">
        <v>43558</v>
      </c>
      <c r="B114">
        <v>2016</v>
      </c>
      <c r="C114">
        <v>1102</v>
      </c>
      <c r="D114">
        <v>113</v>
      </c>
      <c r="E114">
        <v>8850</v>
      </c>
      <c r="F114" t="s">
        <v>25</v>
      </c>
      <c r="G114" s="9">
        <v>4</v>
      </c>
      <c r="H114" t="s">
        <v>68</v>
      </c>
      <c r="I114">
        <v>3</v>
      </c>
      <c r="J114" s="13">
        <f t="shared" si="1"/>
        <v>4</v>
      </c>
    </row>
    <row r="115" spans="1:10" x14ac:dyDescent="0.2">
      <c r="A115" s="6">
        <v>43102</v>
      </c>
      <c r="B115">
        <v>2016</v>
      </c>
      <c r="C115">
        <v>1102</v>
      </c>
      <c r="D115">
        <v>114</v>
      </c>
      <c r="E115">
        <v>9800</v>
      </c>
      <c r="F115" t="s">
        <v>25</v>
      </c>
      <c r="G115" s="9">
        <v>5</v>
      </c>
      <c r="H115" t="s">
        <v>68</v>
      </c>
      <c r="I115">
        <v>3</v>
      </c>
      <c r="J115" s="13">
        <f t="shared" si="1"/>
        <v>5</v>
      </c>
    </row>
    <row r="116" spans="1:10" x14ac:dyDescent="0.2">
      <c r="A116" s="6">
        <v>43542</v>
      </c>
      <c r="B116">
        <v>2015</v>
      </c>
      <c r="C116">
        <v>1102</v>
      </c>
      <c r="D116">
        <v>115</v>
      </c>
      <c r="E116">
        <v>9000</v>
      </c>
      <c r="F116" t="s">
        <v>25</v>
      </c>
      <c r="G116" s="9">
        <v>6</v>
      </c>
      <c r="H116" t="s">
        <v>68</v>
      </c>
      <c r="I116">
        <v>4</v>
      </c>
      <c r="J116" s="13">
        <f t="shared" si="1"/>
        <v>6</v>
      </c>
    </row>
    <row r="117" spans="1:10" x14ac:dyDescent="0.2">
      <c r="A117" s="6">
        <v>43392</v>
      </c>
      <c r="B117">
        <v>2015</v>
      </c>
      <c r="C117">
        <v>1102</v>
      </c>
      <c r="D117">
        <v>116</v>
      </c>
      <c r="E117">
        <v>9000</v>
      </c>
      <c r="F117" t="s">
        <v>25</v>
      </c>
      <c r="G117" s="9">
        <v>6</v>
      </c>
      <c r="H117" t="s">
        <v>68</v>
      </c>
      <c r="I117">
        <v>4</v>
      </c>
      <c r="J117" s="13">
        <f t="shared" si="1"/>
        <v>6</v>
      </c>
    </row>
    <row r="118" spans="1:10" x14ac:dyDescent="0.2">
      <c r="A118" s="6">
        <v>43367</v>
      </c>
      <c r="B118">
        <v>2016</v>
      </c>
      <c r="C118">
        <v>1102</v>
      </c>
      <c r="D118">
        <v>117</v>
      </c>
      <c r="E118">
        <v>9800</v>
      </c>
      <c r="F118" t="s">
        <v>25</v>
      </c>
      <c r="G118" s="9">
        <v>6</v>
      </c>
      <c r="H118" t="s">
        <v>68</v>
      </c>
      <c r="I118">
        <v>3</v>
      </c>
      <c r="J118" s="13">
        <f t="shared" si="1"/>
        <v>6</v>
      </c>
    </row>
    <row r="119" spans="1:10" x14ac:dyDescent="0.2">
      <c r="A119" s="6">
        <v>43215</v>
      </c>
      <c r="B119">
        <v>2016</v>
      </c>
      <c r="C119">
        <v>1102</v>
      </c>
      <c r="D119">
        <v>118</v>
      </c>
      <c r="E119">
        <v>10500</v>
      </c>
      <c r="F119" t="s">
        <v>25</v>
      </c>
      <c r="G119" s="9">
        <v>6</v>
      </c>
      <c r="H119" t="s">
        <v>68</v>
      </c>
      <c r="I119">
        <v>3</v>
      </c>
      <c r="J119" s="13">
        <f t="shared" si="1"/>
        <v>6</v>
      </c>
    </row>
    <row r="120" spans="1:10" x14ac:dyDescent="0.2">
      <c r="A120" s="6">
        <v>43200</v>
      </c>
      <c r="B120">
        <v>2015</v>
      </c>
      <c r="C120">
        <v>1102</v>
      </c>
      <c r="D120">
        <v>119</v>
      </c>
      <c r="E120">
        <v>10500</v>
      </c>
      <c r="F120" t="s">
        <v>25</v>
      </c>
      <c r="G120" s="9">
        <v>6</v>
      </c>
      <c r="H120" t="s">
        <v>68</v>
      </c>
      <c r="I120">
        <v>4</v>
      </c>
      <c r="J120" s="13">
        <f t="shared" si="1"/>
        <v>6</v>
      </c>
    </row>
    <row r="121" spans="1:10" x14ac:dyDescent="0.2">
      <c r="A121" s="6">
        <v>42936</v>
      </c>
      <c r="B121">
        <v>2016</v>
      </c>
      <c r="C121">
        <v>1102</v>
      </c>
      <c r="D121">
        <v>120</v>
      </c>
      <c r="E121">
        <v>9000</v>
      </c>
      <c r="F121" t="s">
        <v>25</v>
      </c>
      <c r="G121" s="9">
        <v>6</v>
      </c>
      <c r="H121" t="s">
        <v>68</v>
      </c>
      <c r="I121">
        <v>3</v>
      </c>
      <c r="J121" s="13">
        <f t="shared" si="1"/>
        <v>6</v>
      </c>
    </row>
    <row r="122" spans="1:10" x14ac:dyDescent="0.2">
      <c r="A122" s="6">
        <v>42465</v>
      </c>
      <c r="B122">
        <v>2014</v>
      </c>
      <c r="C122">
        <v>1102</v>
      </c>
      <c r="D122">
        <v>121</v>
      </c>
      <c r="E122">
        <v>9250</v>
      </c>
      <c r="F122" t="s">
        <v>25</v>
      </c>
      <c r="G122" s="9">
        <v>6</v>
      </c>
      <c r="H122" t="s">
        <v>68</v>
      </c>
      <c r="I122">
        <v>5</v>
      </c>
      <c r="J122" s="13">
        <f t="shared" si="1"/>
        <v>6</v>
      </c>
    </row>
    <row r="123" spans="1:10" x14ac:dyDescent="0.2">
      <c r="A123" s="6">
        <v>43542</v>
      </c>
      <c r="B123">
        <v>2014</v>
      </c>
      <c r="C123">
        <v>1102</v>
      </c>
      <c r="D123">
        <v>122</v>
      </c>
      <c r="E123">
        <v>8850</v>
      </c>
      <c r="F123" t="s">
        <v>25</v>
      </c>
      <c r="G123" s="9">
        <v>7</v>
      </c>
      <c r="H123" t="s">
        <v>68</v>
      </c>
      <c r="I123">
        <v>5</v>
      </c>
      <c r="J123" s="13">
        <f t="shared" si="1"/>
        <v>7</v>
      </c>
    </row>
    <row r="124" spans="1:10" x14ac:dyDescent="0.2">
      <c r="A124" s="6">
        <v>43374</v>
      </c>
      <c r="B124">
        <v>2014</v>
      </c>
      <c r="C124">
        <v>1102</v>
      </c>
      <c r="D124">
        <v>123</v>
      </c>
      <c r="E124">
        <v>10000</v>
      </c>
      <c r="F124" t="s">
        <v>25</v>
      </c>
      <c r="G124" s="9">
        <v>7</v>
      </c>
      <c r="H124" t="s">
        <v>68</v>
      </c>
      <c r="I124">
        <v>5</v>
      </c>
      <c r="J124" s="13">
        <f t="shared" si="1"/>
        <v>7</v>
      </c>
    </row>
    <row r="125" spans="1:10" x14ac:dyDescent="0.2">
      <c r="A125" s="6">
        <v>43125</v>
      </c>
      <c r="B125">
        <v>2014</v>
      </c>
      <c r="C125">
        <v>1102</v>
      </c>
      <c r="D125">
        <v>124</v>
      </c>
      <c r="E125">
        <v>10500</v>
      </c>
      <c r="F125" t="s">
        <v>25</v>
      </c>
      <c r="G125" s="9">
        <v>8</v>
      </c>
      <c r="H125" t="s">
        <v>68</v>
      </c>
      <c r="I125">
        <v>5</v>
      </c>
      <c r="J125" s="13">
        <f t="shared" si="1"/>
        <v>8</v>
      </c>
    </row>
    <row r="126" spans="1:10" x14ac:dyDescent="0.2">
      <c r="A126" s="6">
        <v>42948</v>
      </c>
      <c r="B126">
        <v>2014</v>
      </c>
      <c r="C126">
        <v>1102</v>
      </c>
      <c r="D126">
        <v>125</v>
      </c>
      <c r="E126">
        <v>9750</v>
      </c>
      <c r="F126" t="s">
        <v>25</v>
      </c>
      <c r="G126" s="9">
        <v>8</v>
      </c>
      <c r="H126" t="s">
        <v>68</v>
      </c>
      <c r="I126">
        <v>5</v>
      </c>
      <c r="J126" s="13">
        <f t="shared" si="1"/>
        <v>8</v>
      </c>
    </row>
    <row r="127" spans="1:10" x14ac:dyDescent="0.2">
      <c r="A127" s="6">
        <v>42870</v>
      </c>
      <c r="B127">
        <v>2014</v>
      </c>
      <c r="C127">
        <v>1102</v>
      </c>
      <c r="D127">
        <v>126</v>
      </c>
      <c r="E127">
        <v>9400</v>
      </c>
      <c r="F127" t="s">
        <v>25</v>
      </c>
      <c r="G127" s="9">
        <v>8</v>
      </c>
      <c r="H127" t="s">
        <v>68</v>
      </c>
      <c r="I127">
        <v>5</v>
      </c>
      <c r="J127" s="13">
        <f t="shared" si="1"/>
        <v>8</v>
      </c>
    </row>
    <row r="128" spans="1:10" x14ac:dyDescent="0.2">
      <c r="A128" s="6">
        <v>43587</v>
      </c>
      <c r="B128">
        <v>2019</v>
      </c>
      <c r="C128">
        <v>1162</v>
      </c>
      <c r="D128">
        <v>127</v>
      </c>
      <c r="E128">
        <v>12500</v>
      </c>
      <c r="F128" t="s">
        <v>25</v>
      </c>
      <c r="G128" s="9">
        <v>24</v>
      </c>
      <c r="H128" t="s">
        <v>68</v>
      </c>
      <c r="I128">
        <v>0</v>
      </c>
      <c r="J128" s="13">
        <f t="shared" si="1"/>
        <v>24</v>
      </c>
    </row>
    <row r="129" spans="1:10" x14ac:dyDescent="0.2">
      <c r="A129" s="6">
        <v>43587</v>
      </c>
      <c r="B129">
        <v>2019</v>
      </c>
      <c r="C129">
        <v>1162</v>
      </c>
      <c r="D129">
        <v>128</v>
      </c>
      <c r="E129">
        <v>12500</v>
      </c>
      <c r="F129" t="s">
        <v>25</v>
      </c>
      <c r="G129" s="9">
        <v>24</v>
      </c>
      <c r="H129" t="s">
        <v>68</v>
      </c>
      <c r="I129">
        <v>0</v>
      </c>
      <c r="J129" s="13">
        <f t="shared" si="1"/>
        <v>24</v>
      </c>
    </row>
    <row r="130" spans="1:10" x14ac:dyDescent="0.2">
      <c r="A130" s="6">
        <v>43383</v>
      </c>
      <c r="B130">
        <v>2011</v>
      </c>
      <c r="C130">
        <v>1304</v>
      </c>
      <c r="D130">
        <v>129</v>
      </c>
      <c r="E130">
        <v>6500</v>
      </c>
      <c r="F130" t="s">
        <v>25</v>
      </c>
      <c r="G130" s="15">
        <v>30</v>
      </c>
      <c r="H130" t="s">
        <v>26</v>
      </c>
      <c r="I130">
        <v>8</v>
      </c>
      <c r="J130" s="13">
        <f t="shared" ref="J130:J193" si="2">IF(H130="days",ROUND(G130/30,0),IF(H130="years",G130*12,G130))</f>
        <v>1</v>
      </c>
    </row>
    <row r="131" spans="1:10" x14ac:dyDescent="0.2">
      <c r="A131" s="6">
        <v>42524</v>
      </c>
      <c r="B131">
        <v>2011</v>
      </c>
      <c r="C131">
        <v>1304</v>
      </c>
      <c r="D131">
        <v>130</v>
      </c>
      <c r="E131">
        <v>6750</v>
      </c>
      <c r="F131" t="s">
        <v>25</v>
      </c>
      <c r="G131" s="9">
        <v>5</v>
      </c>
      <c r="H131" t="s">
        <v>68</v>
      </c>
      <c r="I131">
        <v>8</v>
      </c>
      <c r="J131" s="13">
        <f t="shared" si="2"/>
        <v>5</v>
      </c>
    </row>
    <row r="132" spans="1:10" x14ac:dyDescent="0.2">
      <c r="A132" s="6">
        <v>43059</v>
      </c>
      <c r="B132">
        <v>2011</v>
      </c>
      <c r="C132">
        <v>1304</v>
      </c>
      <c r="D132">
        <v>131</v>
      </c>
      <c r="E132">
        <v>7500</v>
      </c>
      <c r="F132" t="s">
        <v>25</v>
      </c>
      <c r="G132" s="9">
        <v>6</v>
      </c>
      <c r="H132" t="s">
        <v>68</v>
      </c>
      <c r="I132">
        <v>8</v>
      </c>
      <c r="J132" s="13">
        <f t="shared" si="2"/>
        <v>6</v>
      </c>
    </row>
    <row r="133" spans="1:10" x14ac:dyDescent="0.2">
      <c r="A133" s="6">
        <v>42472</v>
      </c>
      <c r="B133">
        <v>2011</v>
      </c>
      <c r="C133">
        <v>1345</v>
      </c>
      <c r="D133">
        <v>132</v>
      </c>
      <c r="E133">
        <v>7900</v>
      </c>
      <c r="F133" t="s">
        <v>25</v>
      </c>
      <c r="G133" s="9">
        <v>12</v>
      </c>
      <c r="H133" t="s">
        <v>68</v>
      </c>
      <c r="I133">
        <v>8</v>
      </c>
      <c r="J133" s="13">
        <f t="shared" si="2"/>
        <v>12</v>
      </c>
    </row>
    <row r="134" spans="1:10" x14ac:dyDescent="0.2">
      <c r="A134" s="6">
        <v>42468</v>
      </c>
      <c r="B134">
        <v>2011</v>
      </c>
      <c r="C134">
        <v>1345</v>
      </c>
      <c r="D134">
        <v>133</v>
      </c>
      <c r="E134">
        <v>7900</v>
      </c>
      <c r="F134" t="s">
        <v>25</v>
      </c>
      <c r="G134" s="9">
        <v>12</v>
      </c>
      <c r="H134" t="s">
        <v>68</v>
      </c>
      <c r="I134">
        <v>8</v>
      </c>
      <c r="J134" s="13">
        <f t="shared" si="2"/>
        <v>12</v>
      </c>
    </row>
    <row r="135" spans="1:10" x14ac:dyDescent="0.2">
      <c r="A135" s="6">
        <v>43493</v>
      </c>
      <c r="B135">
        <v>2011</v>
      </c>
      <c r="C135">
        <v>1345</v>
      </c>
      <c r="D135">
        <v>134</v>
      </c>
      <c r="E135">
        <v>8500</v>
      </c>
      <c r="F135" t="s">
        <v>25</v>
      </c>
      <c r="G135" s="9">
        <v>13</v>
      </c>
      <c r="H135" t="s">
        <v>68</v>
      </c>
      <c r="I135">
        <v>8</v>
      </c>
      <c r="J135" s="13">
        <f t="shared" si="2"/>
        <v>13</v>
      </c>
    </row>
    <row r="136" spans="1:10" x14ac:dyDescent="0.2">
      <c r="A136" s="6">
        <v>42887</v>
      </c>
      <c r="B136">
        <v>2011</v>
      </c>
      <c r="C136">
        <v>1440</v>
      </c>
      <c r="D136">
        <v>135</v>
      </c>
      <c r="E136">
        <v>9000</v>
      </c>
      <c r="F136" t="s">
        <v>25</v>
      </c>
      <c r="G136" s="9">
        <v>10</v>
      </c>
      <c r="H136" t="s">
        <v>68</v>
      </c>
      <c r="I136">
        <v>8</v>
      </c>
      <c r="J136" s="13">
        <f t="shared" si="2"/>
        <v>10</v>
      </c>
    </row>
    <row r="137" spans="1:10" x14ac:dyDescent="0.2">
      <c r="A137" s="6">
        <v>43374</v>
      </c>
      <c r="B137">
        <v>2011</v>
      </c>
      <c r="C137">
        <v>1440</v>
      </c>
      <c r="D137">
        <v>136</v>
      </c>
      <c r="E137">
        <v>9200</v>
      </c>
      <c r="F137" t="s">
        <v>25</v>
      </c>
      <c r="G137" s="9">
        <v>12</v>
      </c>
      <c r="H137" t="s">
        <v>68</v>
      </c>
      <c r="I137">
        <v>8</v>
      </c>
      <c r="J137" s="13">
        <f t="shared" si="2"/>
        <v>12</v>
      </c>
    </row>
    <row r="138" spans="1:10" x14ac:dyDescent="0.2">
      <c r="A138" s="6">
        <v>42948</v>
      </c>
      <c r="B138">
        <v>2011</v>
      </c>
      <c r="C138">
        <v>1440</v>
      </c>
      <c r="D138">
        <v>137</v>
      </c>
      <c r="E138">
        <v>9200</v>
      </c>
      <c r="F138" t="s">
        <v>25</v>
      </c>
      <c r="G138" s="9">
        <v>12</v>
      </c>
      <c r="H138" t="s">
        <v>68</v>
      </c>
      <c r="I138">
        <v>8</v>
      </c>
      <c r="J138" s="13">
        <f t="shared" si="2"/>
        <v>12</v>
      </c>
    </row>
    <row r="139" spans="1:10" x14ac:dyDescent="0.2">
      <c r="A139" s="6">
        <v>42445</v>
      </c>
      <c r="B139">
        <v>2011</v>
      </c>
      <c r="C139">
        <v>1440</v>
      </c>
      <c r="D139">
        <v>138</v>
      </c>
      <c r="E139">
        <v>10000</v>
      </c>
      <c r="F139" t="s">
        <v>25</v>
      </c>
      <c r="G139" s="9">
        <v>12</v>
      </c>
      <c r="H139" t="s">
        <v>68</v>
      </c>
      <c r="I139">
        <v>8</v>
      </c>
      <c r="J139" s="13">
        <f t="shared" si="2"/>
        <v>12</v>
      </c>
    </row>
    <row r="140" spans="1:10" x14ac:dyDescent="0.2">
      <c r="A140" s="6">
        <v>42430</v>
      </c>
      <c r="B140">
        <v>2011</v>
      </c>
      <c r="C140">
        <v>1440</v>
      </c>
      <c r="D140">
        <v>139</v>
      </c>
      <c r="E140">
        <v>9000</v>
      </c>
      <c r="F140" t="s">
        <v>25</v>
      </c>
      <c r="G140" s="9">
        <v>13</v>
      </c>
      <c r="H140" t="s">
        <v>68</v>
      </c>
      <c r="I140">
        <v>8</v>
      </c>
      <c r="J140" s="13">
        <f t="shared" si="2"/>
        <v>13</v>
      </c>
    </row>
    <row r="141" spans="1:10" x14ac:dyDescent="0.2">
      <c r="A141" s="6">
        <v>42692</v>
      </c>
      <c r="B141">
        <v>2011</v>
      </c>
      <c r="C141">
        <v>1440</v>
      </c>
      <c r="D141">
        <v>140</v>
      </c>
      <c r="E141">
        <v>9500</v>
      </c>
      <c r="F141" t="s">
        <v>25</v>
      </c>
      <c r="G141" s="15">
        <v>30</v>
      </c>
      <c r="H141" t="s">
        <v>26</v>
      </c>
      <c r="I141">
        <v>8</v>
      </c>
      <c r="J141" s="13">
        <f t="shared" si="2"/>
        <v>1</v>
      </c>
    </row>
    <row r="142" spans="1:10" x14ac:dyDescent="0.2">
      <c r="A142" s="6">
        <v>42585</v>
      </c>
      <c r="B142">
        <v>2011</v>
      </c>
      <c r="C142">
        <v>1440</v>
      </c>
      <c r="D142">
        <v>141</v>
      </c>
      <c r="E142">
        <v>9000</v>
      </c>
      <c r="F142" t="s">
        <v>25</v>
      </c>
      <c r="G142" s="15">
        <v>30</v>
      </c>
      <c r="H142" t="s">
        <v>26</v>
      </c>
      <c r="I142">
        <v>8</v>
      </c>
      <c r="J142" s="13">
        <f t="shared" si="2"/>
        <v>1</v>
      </c>
    </row>
    <row r="143" spans="1:10" x14ac:dyDescent="0.2">
      <c r="A143" s="6">
        <v>43549</v>
      </c>
      <c r="B143">
        <v>2011</v>
      </c>
      <c r="C143">
        <v>1440</v>
      </c>
      <c r="D143">
        <v>142</v>
      </c>
      <c r="E143">
        <v>9350</v>
      </c>
      <c r="F143" t="s">
        <v>25</v>
      </c>
      <c r="G143" s="9">
        <v>5</v>
      </c>
      <c r="H143" t="s">
        <v>68</v>
      </c>
      <c r="I143">
        <v>8</v>
      </c>
      <c r="J143" s="13">
        <f t="shared" si="2"/>
        <v>5</v>
      </c>
    </row>
    <row r="144" spans="1:10" x14ac:dyDescent="0.2">
      <c r="A144" s="6">
        <v>43444</v>
      </c>
      <c r="B144">
        <v>2011</v>
      </c>
      <c r="C144">
        <v>1440</v>
      </c>
      <c r="D144">
        <v>143</v>
      </c>
      <c r="E144">
        <v>9200</v>
      </c>
      <c r="F144" t="s">
        <v>25</v>
      </c>
      <c r="G144" s="9">
        <v>5</v>
      </c>
      <c r="H144" t="s">
        <v>68</v>
      </c>
      <c r="I144">
        <v>8</v>
      </c>
      <c r="J144" s="13">
        <f t="shared" si="2"/>
        <v>5</v>
      </c>
    </row>
    <row r="145" spans="1:10" x14ac:dyDescent="0.2">
      <c r="A145" s="6">
        <v>42822</v>
      </c>
      <c r="B145">
        <v>2011</v>
      </c>
      <c r="C145">
        <v>1440</v>
      </c>
      <c r="D145">
        <v>144</v>
      </c>
      <c r="E145">
        <v>7950</v>
      </c>
      <c r="F145" t="s">
        <v>25</v>
      </c>
      <c r="G145" s="9">
        <v>5</v>
      </c>
      <c r="H145" t="s">
        <v>68</v>
      </c>
      <c r="I145">
        <v>8</v>
      </c>
      <c r="J145" s="13">
        <f t="shared" si="2"/>
        <v>5</v>
      </c>
    </row>
    <row r="146" spans="1:10" x14ac:dyDescent="0.2">
      <c r="A146" s="6">
        <v>43529</v>
      </c>
      <c r="B146">
        <v>2011</v>
      </c>
      <c r="C146">
        <v>1440</v>
      </c>
      <c r="D146">
        <v>145</v>
      </c>
      <c r="E146">
        <v>9250</v>
      </c>
      <c r="F146" t="s">
        <v>25</v>
      </c>
      <c r="G146" s="9">
        <v>6</v>
      </c>
      <c r="H146" t="s">
        <v>68</v>
      </c>
      <c r="I146">
        <v>8</v>
      </c>
      <c r="J146" s="13">
        <f t="shared" si="2"/>
        <v>6</v>
      </c>
    </row>
    <row r="147" spans="1:10" x14ac:dyDescent="0.2">
      <c r="A147" s="6">
        <v>42962</v>
      </c>
      <c r="B147">
        <v>2011</v>
      </c>
      <c r="C147">
        <v>1440</v>
      </c>
      <c r="D147">
        <v>146</v>
      </c>
      <c r="E147">
        <v>8250</v>
      </c>
      <c r="F147" t="s">
        <v>25</v>
      </c>
      <c r="G147" s="9">
        <v>6</v>
      </c>
      <c r="H147" t="s">
        <v>68</v>
      </c>
      <c r="I147">
        <v>8</v>
      </c>
      <c r="J147" s="13">
        <f t="shared" si="2"/>
        <v>6</v>
      </c>
    </row>
    <row r="148" spans="1:10" x14ac:dyDescent="0.2">
      <c r="A148" s="6">
        <v>42795</v>
      </c>
      <c r="B148">
        <v>2011</v>
      </c>
      <c r="C148">
        <v>1440</v>
      </c>
      <c r="D148">
        <v>147</v>
      </c>
      <c r="E148">
        <v>7500</v>
      </c>
      <c r="F148" t="s">
        <v>25</v>
      </c>
      <c r="G148" s="9">
        <v>6</v>
      </c>
      <c r="H148" t="s">
        <v>68</v>
      </c>
      <c r="I148">
        <v>8</v>
      </c>
      <c r="J148" s="13">
        <f t="shared" si="2"/>
        <v>6</v>
      </c>
    </row>
    <row r="149" spans="1:10" x14ac:dyDescent="0.2">
      <c r="A149" s="6">
        <v>43480</v>
      </c>
      <c r="B149">
        <v>2011</v>
      </c>
      <c r="C149">
        <v>1440</v>
      </c>
      <c r="D149">
        <v>148</v>
      </c>
      <c r="E149">
        <v>9400</v>
      </c>
      <c r="F149" t="s">
        <v>25</v>
      </c>
      <c r="G149" s="9">
        <v>7</v>
      </c>
      <c r="H149" t="s">
        <v>68</v>
      </c>
      <c r="I149">
        <v>8</v>
      </c>
      <c r="J149" s="13">
        <f t="shared" si="2"/>
        <v>7</v>
      </c>
    </row>
    <row r="150" spans="1:10" x14ac:dyDescent="0.2">
      <c r="A150" s="6">
        <v>42887</v>
      </c>
      <c r="B150">
        <v>2011</v>
      </c>
      <c r="C150">
        <v>1440</v>
      </c>
      <c r="D150">
        <v>149</v>
      </c>
      <c r="E150">
        <v>8800</v>
      </c>
      <c r="F150" t="s">
        <v>25</v>
      </c>
      <c r="G150" s="9">
        <v>7</v>
      </c>
      <c r="H150" t="s">
        <v>68</v>
      </c>
      <c r="I150">
        <v>8</v>
      </c>
      <c r="J150" s="13">
        <f t="shared" si="2"/>
        <v>7</v>
      </c>
    </row>
    <row r="151" spans="1:10" x14ac:dyDescent="0.2">
      <c r="A151" s="6">
        <v>42787</v>
      </c>
      <c r="B151">
        <v>2011</v>
      </c>
      <c r="C151">
        <v>1440</v>
      </c>
      <c r="D151">
        <v>150</v>
      </c>
      <c r="E151">
        <v>7600</v>
      </c>
      <c r="F151" t="s">
        <v>25</v>
      </c>
      <c r="G151" s="9">
        <v>7</v>
      </c>
      <c r="H151" t="s">
        <v>68</v>
      </c>
      <c r="I151">
        <v>8</v>
      </c>
      <c r="J151" s="13">
        <f t="shared" si="2"/>
        <v>7</v>
      </c>
    </row>
    <row r="152" spans="1:10" x14ac:dyDescent="0.2">
      <c r="A152" s="6">
        <v>43517</v>
      </c>
      <c r="B152">
        <v>2011</v>
      </c>
      <c r="C152">
        <v>1440</v>
      </c>
      <c r="D152">
        <v>151</v>
      </c>
      <c r="E152">
        <v>9400</v>
      </c>
      <c r="F152" t="s">
        <v>25</v>
      </c>
      <c r="G152" s="9">
        <v>8</v>
      </c>
      <c r="H152" t="s">
        <v>68</v>
      </c>
      <c r="I152">
        <v>8</v>
      </c>
      <c r="J152" s="13">
        <f t="shared" si="2"/>
        <v>8</v>
      </c>
    </row>
    <row r="153" spans="1:10" x14ac:dyDescent="0.2">
      <c r="A153" s="6">
        <v>43326</v>
      </c>
      <c r="B153">
        <v>2011</v>
      </c>
      <c r="C153">
        <v>1440</v>
      </c>
      <c r="D153">
        <v>152</v>
      </c>
      <c r="E153">
        <v>10200</v>
      </c>
      <c r="F153" t="s">
        <v>25</v>
      </c>
      <c r="G153" s="9">
        <v>9</v>
      </c>
      <c r="H153" t="s">
        <v>68</v>
      </c>
      <c r="I153">
        <v>8</v>
      </c>
      <c r="J153" s="13">
        <f t="shared" si="2"/>
        <v>9</v>
      </c>
    </row>
    <row r="154" spans="1:10" x14ac:dyDescent="0.2">
      <c r="A154" s="6">
        <v>43137</v>
      </c>
      <c r="B154">
        <v>2011</v>
      </c>
      <c r="C154">
        <v>1440</v>
      </c>
      <c r="D154">
        <v>153</v>
      </c>
      <c r="E154">
        <v>10500</v>
      </c>
      <c r="F154" t="s">
        <v>25</v>
      </c>
      <c r="G154" s="9">
        <v>9</v>
      </c>
      <c r="H154" t="s">
        <v>68</v>
      </c>
      <c r="I154">
        <v>8</v>
      </c>
      <c r="J154" s="13">
        <f t="shared" si="2"/>
        <v>9</v>
      </c>
    </row>
    <row r="155" spans="1:10" x14ac:dyDescent="0.2">
      <c r="A155" s="6">
        <v>42384</v>
      </c>
      <c r="B155">
        <v>2011</v>
      </c>
      <c r="C155">
        <v>1440</v>
      </c>
      <c r="D155">
        <v>154</v>
      </c>
      <c r="E155">
        <v>11000</v>
      </c>
      <c r="F155" t="s">
        <v>25</v>
      </c>
      <c r="G155" s="9">
        <v>9</v>
      </c>
      <c r="H155" t="s">
        <v>68</v>
      </c>
      <c r="I155">
        <v>8</v>
      </c>
      <c r="J155" s="13">
        <f t="shared" si="2"/>
        <v>9</v>
      </c>
    </row>
    <row r="156" spans="1:10" x14ac:dyDescent="0.2">
      <c r="A156" s="6">
        <v>43447</v>
      </c>
      <c r="B156">
        <v>2012</v>
      </c>
      <c r="C156">
        <v>1496</v>
      </c>
      <c r="D156">
        <v>155</v>
      </c>
      <c r="E156">
        <v>6950</v>
      </c>
      <c r="F156" t="s">
        <v>25</v>
      </c>
      <c r="G156" s="9">
        <v>3</v>
      </c>
      <c r="H156" t="s">
        <v>68</v>
      </c>
      <c r="I156">
        <v>7</v>
      </c>
      <c r="J156" s="13">
        <f t="shared" si="2"/>
        <v>3</v>
      </c>
    </row>
    <row r="157" spans="1:10" x14ac:dyDescent="0.2">
      <c r="A157" s="6">
        <v>43276</v>
      </c>
      <c r="B157">
        <v>2012</v>
      </c>
      <c r="C157">
        <v>1496</v>
      </c>
      <c r="D157">
        <v>156</v>
      </c>
      <c r="E157">
        <v>10000</v>
      </c>
      <c r="F157" t="s">
        <v>25</v>
      </c>
      <c r="G157" s="15">
        <v>35</v>
      </c>
      <c r="H157" t="s">
        <v>26</v>
      </c>
      <c r="I157">
        <v>7</v>
      </c>
      <c r="J157" s="13">
        <f t="shared" si="2"/>
        <v>1</v>
      </c>
    </row>
    <row r="158" spans="1:10" x14ac:dyDescent="0.2">
      <c r="A158" s="6">
        <v>43235</v>
      </c>
      <c r="B158">
        <v>2012</v>
      </c>
      <c r="C158">
        <v>1496</v>
      </c>
      <c r="D158">
        <v>157</v>
      </c>
      <c r="E158">
        <v>10700</v>
      </c>
      <c r="F158" t="s">
        <v>25</v>
      </c>
      <c r="G158" s="9">
        <v>5</v>
      </c>
      <c r="H158" t="s">
        <v>68</v>
      </c>
      <c r="I158">
        <v>7</v>
      </c>
      <c r="J158" s="13">
        <f t="shared" si="2"/>
        <v>5</v>
      </c>
    </row>
    <row r="159" spans="1:10" x14ac:dyDescent="0.2">
      <c r="A159" s="6">
        <v>42436</v>
      </c>
      <c r="B159">
        <v>2012</v>
      </c>
      <c r="C159">
        <v>1496</v>
      </c>
      <c r="D159">
        <v>158</v>
      </c>
      <c r="E159">
        <v>6250</v>
      </c>
      <c r="F159" t="s">
        <v>25</v>
      </c>
      <c r="G159" s="9">
        <v>5</v>
      </c>
      <c r="H159" t="s">
        <v>68</v>
      </c>
      <c r="I159">
        <v>7</v>
      </c>
      <c r="J159" s="13">
        <f t="shared" si="2"/>
        <v>5</v>
      </c>
    </row>
    <row r="160" spans="1:10" x14ac:dyDescent="0.2">
      <c r="A160" s="6">
        <v>42705</v>
      </c>
      <c r="B160">
        <v>2012</v>
      </c>
      <c r="C160">
        <v>1496</v>
      </c>
      <c r="D160">
        <v>159</v>
      </c>
      <c r="E160">
        <v>6200</v>
      </c>
      <c r="F160" t="s">
        <v>25</v>
      </c>
      <c r="G160" s="9">
        <v>6</v>
      </c>
      <c r="H160" t="s">
        <v>68</v>
      </c>
      <c r="I160">
        <v>7</v>
      </c>
      <c r="J160" s="13">
        <f t="shared" si="2"/>
        <v>6</v>
      </c>
    </row>
    <row r="161" spans="1:10" x14ac:dyDescent="0.2">
      <c r="A161" s="6">
        <v>42601</v>
      </c>
      <c r="B161">
        <v>2012</v>
      </c>
      <c r="C161">
        <v>1496</v>
      </c>
      <c r="D161">
        <v>160</v>
      </c>
      <c r="E161">
        <v>6250</v>
      </c>
      <c r="F161" t="s">
        <v>25</v>
      </c>
      <c r="G161" s="9">
        <v>6</v>
      </c>
      <c r="H161" t="s">
        <v>68</v>
      </c>
      <c r="I161">
        <v>7</v>
      </c>
      <c r="J161" s="13">
        <f t="shared" si="2"/>
        <v>6</v>
      </c>
    </row>
    <row r="162" spans="1:10" x14ac:dyDescent="0.2">
      <c r="A162" s="6">
        <v>42521</v>
      </c>
      <c r="B162">
        <v>2012</v>
      </c>
      <c r="C162">
        <v>1496</v>
      </c>
      <c r="D162">
        <v>161</v>
      </c>
      <c r="E162">
        <v>6275</v>
      </c>
      <c r="F162" t="s">
        <v>25</v>
      </c>
      <c r="G162" s="9">
        <v>6</v>
      </c>
      <c r="H162" t="s">
        <v>68</v>
      </c>
      <c r="I162">
        <v>7</v>
      </c>
      <c r="J162" s="13">
        <f t="shared" si="2"/>
        <v>6</v>
      </c>
    </row>
    <row r="163" spans="1:10" x14ac:dyDescent="0.2">
      <c r="A163" s="6">
        <v>42982</v>
      </c>
      <c r="B163">
        <v>2012</v>
      </c>
      <c r="C163">
        <v>1496</v>
      </c>
      <c r="D163">
        <v>162</v>
      </c>
      <c r="E163">
        <v>7300</v>
      </c>
      <c r="F163" t="s">
        <v>25</v>
      </c>
      <c r="G163" s="9">
        <v>9</v>
      </c>
      <c r="H163" t="s">
        <v>68</v>
      </c>
      <c r="I163">
        <v>7</v>
      </c>
      <c r="J163" s="13">
        <f t="shared" si="2"/>
        <v>9</v>
      </c>
    </row>
    <row r="164" spans="1:10" x14ac:dyDescent="0.2">
      <c r="A164" s="6">
        <v>43626</v>
      </c>
      <c r="B164">
        <v>2018</v>
      </c>
      <c r="C164">
        <v>1668</v>
      </c>
      <c r="D164">
        <v>163</v>
      </c>
      <c r="E164">
        <v>10400</v>
      </c>
      <c r="F164" t="s">
        <v>25</v>
      </c>
      <c r="G164" s="9">
        <v>5</v>
      </c>
      <c r="H164" t="s">
        <v>68</v>
      </c>
      <c r="I164">
        <v>1</v>
      </c>
      <c r="J164" s="13">
        <f t="shared" si="2"/>
        <v>5</v>
      </c>
    </row>
    <row r="165" spans="1:10" x14ac:dyDescent="0.2">
      <c r="A165" s="6">
        <v>42541</v>
      </c>
      <c r="B165">
        <v>2016</v>
      </c>
      <c r="C165">
        <v>1700</v>
      </c>
      <c r="D165">
        <v>164</v>
      </c>
      <c r="E165">
        <v>7650</v>
      </c>
      <c r="F165" t="s">
        <v>25</v>
      </c>
      <c r="G165" s="9">
        <v>12</v>
      </c>
      <c r="H165" t="s">
        <v>68</v>
      </c>
      <c r="I165">
        <v>3</v>
      </c>
      <c r="J165" s="13">
        <f t="shared" si="2"/>
        <v>12</v>
      </c>
    </row>
    <row r="166" spans="1:10" x14ac:dyDescent="0.2">
      <c r="A166" s="6">
        <v>43525</v>
      </c>
      <c r="B166">
        <v>2013</v>
      </c>
      <c r="C166">
        <v>1705</v>
      </c>
      <c r="D166">
        <v>165</v>
      </c>
      <c r="E166">
        <v>9100</v>
      </c>
      <c r="F166" t="s">
        <v>25</v>
      </c>
      <c r="G166" s="9">
        <v>6</v>
      </c>
      <c r="H166" t="s">
        <v>68</v>
      </c>
      <c r="I166">
        <v>6</v>
      </c>
      <c r="J166" s="13">
        <f t="shared" si="2"/>
        <v>6</v>
      </c>
    </row>
    <row r="167" spans="1:10" x14ac:dyDescent="0.2">
      <c r="A167" s="6">
        <v>43339</v>
      </c>
      <c r="B167">
        <v>2013</v>
      </c>
      <c r="C167">
        <v>1705</v>
      </c>
      <c r="D167">
        <v>166</v>
      </c>
      <c r="E167">
        <v>11750</v>
      </c>
      <c r="F167" t="s">
        <v>25</v>
      </c>
      <c r="G167" s="9">
        <v>6</v>
      </c>
      <c r="H167" t="s">
        <v>68</v>
      </c>
      <c r="I167">
        <v>6</v>
      </c>
      <c r="J167" s="13">
        <f t="shared" si="2"/>
        <v>6</v>
      </c>
    </row>
    <row r="168" spans="1:10" x14ac:dyDescent="0.2">
      <c r="A168" s="6">
        <v>43633</v>
      </c>
      <c r="B168">
        <v>2018</v>
      </c>
      <c r="C168">
        <v>1707</v>
      </c>
      <c r="D168">
        <v>167</v>
      </c>
      <c r="E168">
        <v>11250</v>
      </c>
      <c r="F168" t="s">
        <v>25</v>
      </c>
      <c r="G168" s="9">
        <v>12</v>
      </c>
      <c r="H168" t="s">
        <v>68</v>
      </c>
      <c r="I168">
        <v>1</v>
      </c>
      <c r="J168" s="13">
        <f t="shared" si="2"/>
        <v>12</v>
      </c>
    </row>
    <row r="169" spans="1:10" x14ac:dyDescent="0.2">
      <c r="A169" s="6">
        <v>43095</v>
      </c>
      <c r="B169">
        <v>2016</v>
      </c>
      <c r="C169">
        <v>1707</v>
      </c>
      <c r="D169">
        <v>168</v>
      </c>
      <c r="E169">
        <v>10700</v>
      </c>
      <c r="F169" t="s">
        <v>25</v>
      </c>
      <c r="G169" s="9">
        <v>2</v>
      </c>
      <c r="H169" t="s">
        <v>68</v>
      </c>
      <c r="I169">
        <v>3</v>
      </c>
      <c r="J169" s="13">
        <f t="shared" si="2"/>
        <v>2</v>
      </c>
    </row>
    <row r="170" spans="1:10" x14ac:dyDescent="0.2">
      <c r="A170" s="6">
        <v>42908</v>
      </c>
      <c r="B170">
        <v>2016</v>
      </c>
      <c r="C170">
        <v>1707</v>
      </c>
      <c r="D170">
        <v>169</v>
      </c>
      <c r="E170">
        <v>9100</v>
      </c>
      <c r="F170" t="s">
        <v>25</v>
      </c>
      <c r="G170" s="9">
        <v>3</v>
      </c>
      <c r="H170" t="s">
        <v>68</v>
      </c>
      <c r="I170">
        <v>3</v>
      </c>
      <c r="J170" s="13">
        <f t="shared" si="2"/>
        <v>3</v>
      </c>
    </row>
    <row r="171" spans="1:10" x14ac:dyDescent="0.2">
      <c r="A171" s="6">
        <v>43629</v>
      </c>
      <c r="B171">
        <v>2016</v>
      </c>
      <c r="C171">
        <v>1707</v>
      </c>
      <c r="D171">
        <v>170</v>
      </c>
      <c r="E171">
        <v>10800</v>
      </c>
      <c r="F171" t="s">
        <v>25</v>
      </c>
      <c r="G171" s="9">
        <v>5</v>
      </c>
      <c r="H171" t="s">
        <v>68</v>
      </c>
      <c r="I171">
        <v>3</v>
      </c>
      <c r="J171" s="13">
        <f t="shared" si="2"/>
        <v>5</v>
      </c>
    </row>
    <row r="172" spans="1:10" x14ac:dyDescent="0.2">
      <c r="A172" s="6">
        <v>42950</v>
      </c>
      <c r="B172">
        <v>2016</v>
      </c>
      <c r="C172">
        <v>1707</v>
      </c>
      <c r="D172">
        <v>171</v>
      </c>
      <c r="E172">
        <v>9000</v>
      </c>
      <c r="F172" t="s">
        <v>25</v>
      </c>
      <c r="G172" s="9">
        <v>5</v>
      </c>
      <c r="H172" t="s">
        <v>68</v>
      </c>
      <c r="I172">
        <v>3</v>
      </c>
      <c r="J172" s="13">
        <f t="shared" si="2"/>
        <v>5</v>
      </c>
    </row>
    <row r="173" spans="1:10" x14ac:dyDescent="0.2">
      <c r="A173" s="6">
        <v>43542</v>
      </c>
      <c r="B173">
        <v>2017</v>
      </c>
      <c r="C173">
        <v>1707</v>
      </c>
      <c r="D173">
        <v>172</v>
      </c>
      <c r="E173">
        <v>10500</v>
      </c>
      <c r="F173" t="s">
        <v>25</v>
      </c>
      <c r="G173" s="9">
        <v>6</v>
      </c>
      <c r="H173" t="s">
        <v>68</v>
      </c>
      <c r="I173">
        <v>2</v>
      </c>
      <c r="J173" s="13">
        <f t="shared" si="2"/>
        <v>6</v>
      </c>
    </row>
    <row r="174" spans="1:10" x14ac:dyDescent="0.2">
      <c r="A174" s="6">
        <v>43496</v>
      </c>
      <c r="B174">
        <v>2018</v>
      </c>
      <c r="C174">
        <v>1707</v>
      </c>
      <c r="D174">
        <v>173</v>
      </c>
      <c r="E174">
        <v>10000</v>
      </c>
      <c r="F174" t="s">
        <v>25</v>
      </c>
      <c r="G174" s="9">
        <v>6</v>
      </c>
      <c r="H174" t="s">
        <v>68</v>
      </c>
      <c r="I174">
        <v>1</v>
      </c>
      <c r="J174" s="13">
        <f t="shared" si="2"/>
        <v>6</v>
      </c>
    </row>
    <row r="175" spans="1:10" x14ac:dyDescent="0.2">
      <c r="A175" s="6">
        <v>43186</v>
      </c>
      <c r="B175">
        <v>2016</v>
      </c>
      <c r="C175">
        <v>1707</v>
      </c>
      <c r="D175">
        <v>174</v>
      </c>
      <c r="E175">
        <v>14100</v>
      </c>
      <c r="F175" t="s">
        <v>25</v>
      </c>
      <c r="G175" s="9">
        <v>6</v>
      </c>
      <c r="H175" t="s">
        <v>68</v>
      </c>
      <c r="I175">
        <v>3</v>
      </c>
      <c r="J175" s="13">
        <f t="shared" si="2"/>
        <v>6</v>
      </c>
    </row>
    <row r="176" spans="1:10" x14ac:dyDescent="0.2">
      <c r="A176" s="6">
        <v>43343</v>
      </c>
      <c r="B176">
        <v>2016</v>
      </c>
      <c r="C176">
        <v>1707</v>
      </c>
      <c r="D176">
        <v>175</v>
      </c>
      <c r="E176">
        <v>12200</v>
      </c>
      <c r="F176" t="s">
        <v>25</v>
      </c>
      <c r="G176" s="9">
        <v>7</v>
      </c>
      <c r="H176" t="s">
        <v>68</v>
      </c>
      <c r="I176">
        <v>3</v>
      </c>
      <c r="J176" s="13">
        <f t="shared" si="2"/>
        <v>7</v>
      </c>
    </row>
    <row r="177" spans="1:10" x14ac:dyDescent="0.2">
      <c r="A177" s="6">
        <v>43020</v>
      </c>
      <c r="B177">
        <v>2017</v>
      </c>
      <c r="C177">
        <v>1707</v>
      </c>
      <c r="D177">
        <v>176</v>
      </c>
      <c r="E177">
        <v>9000</v>
      </c>
      <c r="F177" t="s">
        <v>25</v>
      </c>
      <c r="G177" s="9">
        <v>7</v>
      </c>
      <c r="H177" t="s">
        <v>68</v>
      </c>
      <c r="I177">
        <v>2</v>
      </c>
      <c r="J177" s="13">
        <f t="shared" si="2"/>
        <v>7</v>
      </c>
    </row>
    <row r="178" spans="1:10" x14ac:dyDescent="0.2">
      <c r="A178" s="6">
        <v>43084</v>
      </c>
      <c r="B178">
        <v>2018</v>
      </c>
      <c r="C178">
        <v>1707</v>
      </c>
      <c r="D178">
        <v>177</v>
      </c>
      <c r="E178">
        <v>10250</v>
      </c>
      <c r="F178" t="s">
        <v>25</v>
      </c>
      <c r="G178" s="9">
        <v>8</v>
      </c>
      <c r="H178" t="s">
        <v>68</v>
      </c>
      <c r="I178">
        <v>1</v>
      </c>
      <c r="J178" s="13">
        <f t="shared" si="2"/>
        <v>8</v>
      </c>
    </row>
    <row r="179" spans="1:10" x14ac:dyDescent="0.2">
      <c r="A179" s="6">
        <v>43546</v>
      </c>
      <c r="B179">
        <v>2016</v>
      </c>
      <c r="C179">
        <v>1707</v>
      </c>
      <c r="D179">
        <v>178</v>
      </c>
      <c r="E179">
        <v>10900</v>
      </c>
      <c r="F179" t="s">
        <v>25</v>
      </c>
      <c r="G179" s="15">
        <v>80</v>
      </c>
      <c r="H179" t="s">
        <v>26</v>
      </c>
      <c r="I179">
        <v>3</v>
      </c>
      <c r="J179" s="13">
        <f t="shared" si="2"/>
        <v>3</v>
      </c>
    </row>
    <row r="180" spans="1:10" x14ac:dyDescent="0.2">
      <c r="A180" s="6">
        <v>42370</v>
      </c>
      <c r="B180">
        <v>2016</v>
      </c>
      <c r="C180">
        <v>1708</v>
      </c>
      <c r="D180">
        <v>179</v>
      </c>
      <c r="E180">
        <v>8200</v>
      </c>
      <c r="F180" t="s">
        <v>25</v>
      </c>
      <c r="G180" s="9">
        <v>12</v>
      </c>
      <c r="H180" t="s">
        <v>68</v>
      </c>
      <c r="I180">
        <v>3</v>
      </c>
      <c r="J180" s="13">
        <f t="shared" si="2"/>
        <v>12</v>
      </c>
    </row>
    <row r="181" spans="1:10" x14ac:dyDescent="0.2">
      <c r="A181" s="6">
        <v>43185</v>
      </c>
      <c r="B181">
        <v>2015</v>
      </c>
      <c r="C181">
        <v>1708</v>
      </c>
      <c r="D181">
        <v>180</v>
      </c>
      <c r="E181">
        <v>13800</v>
      </c>
      <c r="F181" t="s">
        <v>25</v>
      </c>
      <c r="G181" s="9">
        <v>4</v>
      </c>
      <c r="H181" t="s">
        <v>68</v>
      </c>
      <c r="I181">
        <v>4</v>
      </c>
      <c r="J181" s="13">
        <f t="shared" si="2"/>
        <v>4</v>
      </c>
    </row>
    <row r="182" spans="1:10" x14ac:dyDescent="0.2">
      <c r="A182" s="6">
        <v>42866</v>
      </c>
      <c r="B182">
        <v>2015</v>
      </c>
      <c r="C182">
        <v>1708</v>
      </c>
      <c r="D182">
        <v>181</v>
      </c>
      <c r="E182">
        <v>9000</v>
      </c>
      <c r="F182" t="s">
        <v>25</v>
      </c>
      <c r="G182" s="9">
        <v>5</v>
      </c>
      <c r="H182" t="s">
        <v>68</v>
      </c>
      <c r="I182">
        <v>4</v>
      </c>
      <c r="J182" s="13">
        <f t="shared" si="2"/>
        <v>5</v>
      </c>
    </row>
    <row r="183" spans="1:10" x14ac:dyDescent="0.2">
      <c r="A183" s="6">
        <v>42615</v>
      </c>
      <c r="B183">
        <v>2015</v>
      </c>
      <c r="C183">
        <v>1708</v>
      </c>
      <c r="D183">
        <v>182</v>
      </c>
      <c r="E183">
        <v>8500</v>
      </c>
      <c r="F183" t="s">
        <v>25</v>
      </c>
      <c r="G183" s="15">
        <v>50</v>
      </c>
      <c r="H183" t="s">
        <v>26</v>
      </c>
      <c r="I183">
        <v>4</v>
      </c>
      <c r="J183" s="13">
        <f t="shared" si="2"/>
        <v>2</v>
      </c>
    </row>
    <row r="184" spans="1:10" x14ac:dyDescent="0.2">
      <c r="A184" s="6">
        <v>43388</v>
      </c>
      <c r="B184">
        <v>2016</v>
      </c>
      <c r="C184">
        <v>1708</v>
      </c>
      <c r="D184">
        <v>183</v>
      </c>
      <c r="E184">
        <v>11200</v>
      </c>
      <c r="F184" t="s">
        <v>25</v>
      </c>
      <c r="G184" s="9">
        <v>6</v>
      </c>
      <c r="H184" t="s">
        <v>68</v>
      </c>
      <c r="I184">
        <v>3</v>
      </c>
      <c r="J184" s="13">
        <f t="shared" si="2"/>
        <v>6</v>
      </c>
    </row>
    <row r="185" spans="1:10" x14ac:dyDescent="0.2">
      <c r="A185" s="6">
        <v>42940</v>
      </c>
      <c r="B185">
        <v>2015</v>
      </c>
      <c r="C185">
        <v>1708</v>
      </c>
      <c r="D185">
        <v>184</v>
      </c>
      <c r="E185">
        <v>8400</v>
      </c>
      <c r="F185" t="s">
        <v>25</v>
      </c>
      <c r="G185" s="9">
        <v>6</v>
      </c>
      <c r="H185" t="s">
        <v>68</v>
      </c>
      <c r="I185">
        <v>4</v>
      </c>
      <c r="J185" s="13">
        <f t="shared" si="2"/>
        <v>6</v>
      </c>
    </row>
    <row r="186" spans="1:10" x14ac:dyDescent="0.2">
      <c r="A186" s="6">
        <v>42689</v>
      </c>
      <c r="B186">
        <v>2015</v>
      </c>
      <c r="C186">
        <v>1708</v>
      </c>
      <c r="D186">
        <v>185</v>
      </c>
      <c r="E186">
        <v>8100</v>
      </c>
      <c r="F186" t="s">
        <v>25</v>
      </c>
      <c r="G186" s="9">
        <v>6</v>
      </c>
      <c r="H186" t="s">
        <v>68</v>
      </c>
      <c r="I186">
        <v>4</v>
      </c>
      <c r="J186" s="13">
        <f t="shared" si="2"/>
        <v>6</v>
      </c>
    </row>
    <row r="187" spans="1:10" x14ac:dyDescent="0.2">
      <c r="A187" s="6">
        <v>42541</v>
      </c>
      <c r="B187">
        <v>2015</v>
      </c>
      <c r="C187">
        <v>1708</v>
      </c>
      <c r="D187">
        <v>186</v>
      </c>
      <c r="E187">
        <v>8000</v>
      </c>
      <c r="F187" t="s">
        <v>25</v>
      </c>
      <c r="G187" s="9">
        <v>6</v>
      </c>
      <c r="H187" t="s">
        <v>68</v>
      </c>
      <c r="I187">
        <v>4</v>
      </c>
      <c r="J187" s="13">
        <f t="shared" si="2"/>
        <v>6</v>
      </c>
    </row>
    <row r="188" spans="1:10" x14ac:dyDescent="0.2">
      <c r="A188" s="6">
        <v>43467</v>
      </c>
      <c r="B188">
        <v>2015</v>
      </c>
      <c r="C188">
        <v>1708</v>
      </c>
      <c r="D188">
        <v>187</v>
      </c>
      <c r="E188">
        <v>10400</v>
      </c>
      <c r="F188" t="s">
        <v>25</v>
      </c>
      <c r="G188" s="9">
        <v>7</v>
      </c>
      <c r="H188" t="s">
        <v>68</v>
      </c>
      <c r="I188">
        <v>4</v>
      </c>
      <c r="J188" s="13">
        <f t="shared" si="2"/>
        <v>7</v>
      </c>
    </row>
    <row r="189" spans="1:10" x14ac:dyDescent="0.2">
      <c r="A189" s="6">
        <v>43215</v>
      </c>
      <c r="B189">
        <v>2016</v>
      </c>
      <c r="C189">
        <v>1708</v>
      </c>
      <c r="D189">
        <v>188</v>
      </c>
      <c r="E189">
        <v>13000</v>
      </c>
      <c r="F189" t="s">
        <v>25</v>
      </c>
      <c r="G189" s="9">
        <v>7</v>
      </c>
      <c r="H189" t="s">
        <v>68</v>
      </c>
      <c r="I189">
        <v>3</v>
      </c>
      <c r="J189" s="13">
        <f t="shared" si="2"/>
        <v>7</v>
      </c>
    </row>
    <row r="190" spans="1:10" x14ac:dyDescent="0.2">
      <c r="A190" s="6">
        <v>43005</v>
      </c>
      <c r="B190">
        <v>2016</v>
      </c>
      <c r="C190">
        <v>1708</v>
      </c>
      <c r="D190">
        <v>189</v>
      </c>
      <c r="E190">
        <v>9100</v>
      </c>
      <c r="F190" t="s">
        <v>25</v>
      </c>
      <c r="G190" s="9">
        <v>7</v>
      </c>
      <c r="H190" t="s">
        <v>68</v>
      </c>
      <c r="I190">
        <v>3</v>
      </c>
      <c r="J190" s="13">
        <f t="shared" si="2"/>
        <v>7</v>
      </c>
    </row>
    <row r="191" spans="1:10" x14ac:dyDescent="0.2">
      <c r="A191" s="6">
        <v>42948</v>
      </c>
      <c r="B191">
        <v>2015</v>
      </c>
      <c r="C191">
        <v>1708</v>
      </c>
      <c r="D191">
        <v>190</v>
      </c>
      <c r="E191">
        <v>8975</v>
      </c>
      <c r="F191" t="s">
        <v>25</v>
      </c>
      <c r="G191" s="9">
        <v>7</v>
      </c>
      <c r="H191" t="s">
        <v>68</v>
      </c>
      <c r="I191">
        <v>4</v>
      </c>
      <c r="J191" s="13">
        <f t="shared" si="2"/>
        <v>7</v>
      </c>
    </row>
    <row r="192" spans="1:10" x14ac:dyDescent="0.2">
      <c r="A192" s="6">
        <v>42794</v>
      </c>
      <c r="B192">
        <v>2016</v>
      </c>
      <c r="C192">
        <v>1708</v>
      </c>
      <c r="D192">
        <v>191</v>
      </c>
      <c r="E192">
        <v>7700</v>
      </c>
      <c r="F192" t="s">
        <v>25</v>
      </c>
      <c r="G192" s="9">
        <v>7</v>
      </c>
      <c r="H192" t="s">
        <v>68</v>
      </c>
      <c r="I192">
        <v>3</v>
      </c>
      <c r="J192" s="13">
        <f t="shared" si="2"/>
        <v>7</v>
      </c>
    </row>
    <row r="193" spans="1:10" x14ac:dyDescent="0.2">
      <c r="A193" s="6">
        <v>42754</v>
      </c>
      <c r="B193">
        <v>2015</v>
      </c>
      <c r="C193">
        <v>1708</v>
      </c>
      <c r="D193">
        <v>192</v>
      </c>
      <c r="E193">
        <v>8000</v>
      </c>
      <c r="F193" t="s">
        <v>25</v>
      </c>
      <c r="G193" s="9">
        <v>7</v>
      </c>
      <c r="H193" t="s">
        <v>68</v>
      </c>
      <c r="I193">
        <v>4</v>
      </c>
      <c r="J193" s="13">
        <f t="shared" si="2"/>
        <v>7</v>
      </c>
    </row>
    <row r="194" spans="1:10" x14ac:dyDescent="0.2">
      <c r="A194" s="6">
        <v>42663</v>
      </c>
      <c r="B194">
        <v>2015</v>
      </c>
      <c r="C194">
        <v>1708</v>
      </c>
      <c r="D194">
        <v>193</v>
      </c>
      <c r="E194">
        <v>7700</v>
      </c>
      <c r="F194" t="s">
        <v>25</v>
      </c>
      <c r="G194" s="9">
        <v>7</v>
      </c>
      <c r="H194" t="s">
        <v>68</v>
      </c>
      <c r="I194">
        <v>4</v>
      </c>
      <c r="J194" s="13">
        <f t="shared" ref="J194:J257" si="3">IF(H194="days",ROUND(G194/30,0),IF(H194="years",G194*12,G194))</f>
        <v>7</v>
      </c>
    </row>
    <row r="195" spans="1:10" x14ac:dyDescent="0.2">
      <c r="A195" s="6">
        <v>43497</v>
      </c>
      <c r="B195">
        <v>2016</v>
      </c>
      <c r="C195">
        <v>1708</v>
      </c>
      <c r="D195">
        <v>194</v>
      </c>
      <c r="E195">
        <v>10400</v>
      </c>
      <c r="F195" t="s">
        <v>25</v>
      </c>
      <c r="G195" s="9">
        <v>8</v>
      </c>
      <c r="H195" t="s">
        <v>68</v>
      </c>
      <c r="I195">
        <v>3</v>
      </c>
      <c r="J195" s="13">
        <f t="shared" si="3"/>
        <v>8</v>
      </c>
    </row>
    <row r="196" spans="1:10" x14ac:dyDescent="0.2">
      <c r="A196" s="6">
        <v>43117</v>
      </c>
      <c r="B196">
        <v>2015</v>
      </c>
      <c r="C196">
        <v>1708</v>
      </c>
      <c r="D196">
        <v>195</v>
      </c>
      <c r="E196">
        <v>11000</v>
      </c>
      <c r="F196" t="s">
        <v>25</v>
      </c>
      <c r="G196" s="9">
        <v>8</v>
      </c>
      <c r="H196" t="s">
        <v>68</v>
      </c>
      <c r="I196">
        <v>4</v>
      </c>
      <c r="J196" s="13">
        <f t="shared" si="3"/>
        <v>8</v>
      </c>
    </row>
    <row r="197" spans="1:10" x14ac:dyDescent="0.2">
      <c r="A197" s="6">
        <v>42688</v>
      </c>
      <c r="B197">
        <v>2015</v>
      </c>
      <c r="C197">
        <v>1708</v>
      </c>
      <c r="D197">
        <v>196</v>
      </c>
      <c r="E197">
        <v>8100</v>
      </c>
      <c r="F197" t="s">
        <v>25</v>
      </c>
      <c r="G197" s="9">
        <v>8</v>
      </c>
      <c r="H197" t="s">
        <v>68</v>
      </c>
      <c r="I197">
        <v>4</v>
      </c>
      <c r="J197" s="13">
        <f t="shared" si="3"/>
        <v>8</v>
      </c>
    </row>
    <row r="198" spans="1:10" x14ac:dyDescent="0.2">
      <c r="A198" s="6">
        <v>42685</v>
      </c>
      <c r="B198">
        <v>2016</v>
      </c>
      <c r="C198">
        <v>1708</v>
      </c>
      <c r="D198">
        <v>197</v>
      </c>
      <c r="E198">
        <v>8100</v>
      </c>
      <c r="F198" t="s">
        <v>25</v>
      </c>
      <c r="G198" s="9">
        <v>8</v>
      </c>
      <c r="H198" t="s">
        <v>68</v>
      </c>
      <c r="I198">
        <v>3</v>
      </c>
      <c r="J198" s="13">
        <f t="shared" si="3"/>
        <v>8</v>
      </c>
    </row>
    <row r="199" spans="1:10" x14ac:dyDescent="0.2">
      <c r="A199" s="6">
        <v>42429</v>
      </c>
      <c r="B199">
        <v>2015</v>
      </c>
      <c r="C199">
        <v>1708</v>
      </c>
      <c r="D199">
        <v>198</v>
      </c>
      <c r="E199">
        <v>8200</v>
      </c>
      <c r="F199" t="s">
        <v>25</v>
      </c>
      <c r="G199" s="9">
        <v>8</v>
      </c>
      <c r="H199" t="s">
        <v>68</v>
      </c>
      <c r="I199">
        <v>4</v>
      </c>
      <c r="J199" s="13">
        <f t="shared" si="3"/>
        <v>8</v>
      </c>
    </row>
    <row r="200" spans="1:10" x14ac:dyDescent="0.2">
      <c r="A200" s="6">
        <v>42417</v>
      </c>
      <c r="B200">
        <v>2015</v>
      </c>
      <c r="C200">
        <v>1708</v>
      </c>
      <c r="D200">
        <v>199</v>
      </c>
      <c r="E200">
        <v>8250</v>
      </c>
      <c r="F200" t="s">
        <v>25</v>
      </c>
      <c r="G200" s="9">
        <v>8</v>
      </c>
      <c r="H200" t="s">
        <v>68</v>
      </c>
      <c r="I200">
        <v>4</v>
      </c>
      <c r="J200" s="13">
        <f t="shared" si="3"/>
        <v>8</v>
      </c>
    </row>
    <row r="201" spans="1:10" x14ac:dyDescent="0.2">
      <c r="A201" s="6">
        <v>43005</v>
      </c>
      <c r="B201">
        <v>2015</v>
      </c>
      <c r="C201">
        <v>1708</v>
      </c>
      <c r="D201">
        <v>200</v>
      </c>
      <c r="E201">
        <v>9050</v>
      </c>
      <c r="F201" t="s">
        <v>25</v>
      </c>
      <c r="G201" s="9">
        <v>9</v>
      </c>
      <c r="H201" t="s">
        <v>68</v>
      </c>
      <c r="I201">
        <v>4</v>
      </c>
      <c r="J201" s="13">
        <f t="shared" si="3"/>
        <v>9</v>
      </c>
    </row>
    <row r="202" spans="1:10" x14ac:dyDescent="0.2">
      <c r="A202" s="6">
        <v>42530</v>
      </c>
      <c r="B202">
        <v>2014</v>
      </c>
      <c r="C202">
        <v>1714</v>
      </c>
      <c r="D202">
        <v>201</v>
      </c>
      <c r="E202">
        <v>8250</v>
      </c>
      <c r="F202" t="s">
        <v>25</v>
      </c>
      <c r="G202" s="9">
        <v>10</v>
      </c>
      <c r="H202" t="s">
        <v>68</v>
      </c>
      <c r="I202">
        <v>5</v>
      </c>
      <c r="J202" s="13">
        <f t="shared" si="3"/>
        <v>10</v>
      </c>
    </row>
    <row r="203" spans="1:10" x14ac:dyDescent="0.2">
      <c r="A203" s="6">
        <v>42530</v>
      </c>
      <c r="B203">
        <v>2014</v>
      </c>
      <c r="C203">
        <v>1714</v>
      </c>
      <c r="D203">
        <v>202</v>
      </c>
      <c r="E203">
        <v>8250</v>
      </c>
      <c r="F203" t="s">
        <v>25</v>
      </c>
      <c r="G203" s="9">
        <v>10</v>
      </c>
      <c r="H203" t="s">
        <v>68</v>
      </c>
      <c r="I203">
        <v>5</v>
      </c>
      <c r="J203" s="13">
        <f t="shared" si="3"/>
        <v>10</v>
      </c>
    </row>
    <row r="204" spans="1:10" x14ac:dyDescent="0.2">
      <c r="A204" s="6">
        <v>42382</v>
      </c>
      <c r="B204">
        <v>2015</v>
      </c>
      <c r="C204">
        <v>1714</v>
      </c>
      <c r="D204">
        <v>203</v>
      </c>
      <c r="E204">
        <v>8700</v>
      </c>
      <c r="F204" t="s">
        <v>25</v>
      </c>
      <c r="G204" s="9">
        <v>10</v>
      </c>
      <c r="H204" t="s">
        <v>68</v>
      </c>
      <c r="I204">
        <v>4</v>
      </c>
      <c r="J204" s="13">
        <f t="shared" si="3"/>
        <v>10</v>
      </c>
    </row>
    <row r="205" spans="1:10" x14ac:dyDescent="0.2">
      <c r="A205" s="6">
        <v>42692</v>
      </c>
      <c r="B205">
        <v>2012</v>
      </c>
      <c r="C205">
        <v>1714</v>
      </c>
      <c r="D205">
        <v>204</v>
      </c>
      <c r="E205">
        <v>7700</v>
      </c>
      <c r="F205" t="s">
        <v>25</v>
      </c>
      <c r="G205" s="9">
        <v>11</v>
      </c>
      <c r="H205" t="s">
        <v>68</v>
      </c>
      <c r="I205">
        <v>7</v>
      </c>
      <c r="J205" s="13">
        <f t="shared" si="3"/>
        <v>11</v>
      </c>
    </row>
    <row r="206" spans="1:10" x14ac:dyDescent="0.2">
      <c r="A206" s="6">
        <v>43378</v>
      </c>
      <c r="B206">
        <v>2018</v>
      </c>
      <c r="C206">
        <v>1714</v>
      </c>
      <c r="D206">
        <v>205</v>
      </c>
      <c r="E206">
        <v>11700</v>
      </c>
      <c r="F206" t="s">
        <v>25</v>
      </c>
      <c r="G206" s="9">
        <v>12</v>
      </c>
      <c r="H206" t="s">
        <v>68</v>
      </c>
      <c r="I206">
        <v>1</v>
      </c>
      <c r="J206" s="13">
        <f t="shared" si="3"/>
        <v>12</v>
      </c>
    </row>
    <row r="207" spans="1:10" x14ac:dyDescent="0.2">
      <c r="A207" s="6">
        <v>42926</v>
      </c>
      <c r="B207">
        <v>2012</v>
      </c>
      <c r="C207">
        <v>1714</v>
      </c>
      <c r="D207">
        <v>206</v>
      </c>
      <c r="E207">
        <v>8500</v>
      </c>
      <c r="F207" t="s">
        <v>25</v>
      </c>
      <c r="G207" s="9">
        <v>3</v>
      </c>
      <c r="H207" t="s">
        <v>68</v>
      </c>
      <c r="I207">
        <v>7</v>
      </c>
      <c r="J207" s="13">
        <f t="shared" si="3"/>
        <v>3</v>
      </c>
    </row>
    <row r="208" spans="1:10" x14ac:dyDescent="0.2">
      <c r="A208" s="6">
        <v>42801</v>
      </c>
      <c r="B208">
        <v>2014</v>
      </c>
      <c r="C208">
        <v>1714</v>
      </c>
      <c r="D208">
        <v>207</v>
      </c>
      <c r="E208">
        <v>8300</v>
      </c>
      <c r="F208" t="s">
        <v>25</v>
      </c>
      <c r="G208" s="9">
        <v>3</v>
      </c>
      <c r="H208" t="s">
        <v>68</v>
      </c>
      <c r="I208">
        <v>5</v>
      </c>
      <c r="J208" s="13">
        <f t="shared" si="3"/>
        <v>3</v>
      </c>
    </row>
    <row r="209" spans="1:10" x14ac:dyDescent="0.2">
      <c r="A209" s="6">
        <v>42663</v>
      </c>
      <c r="B209">
        <v>2013</v>
      </c>
      <c r="C209">
        <v>1714</v>
      </c>
      <c r="D209">
        <v>208</v>
      </c>
      <c r="E209">
        <v>7250</v>
      </c>
      <c r="F209" t="s">
        <v>25</v>
      </c>
      <c r="G209" s="9">
        <v>3</v>
      </c>
      <c r="H209" t="s">
        <v>68</v>
      </c>
      <c r="I209">
        <v>6</v>
      </c>
      <c r="J209" s="13">
        <f t="shared" si="3"/>
        <v>3</v>
      </c>
    </row>
    <row r="210" spans="1:10" x14ac:dyDescent="0.2">
      <c r="A210" s="6">
        <v>43501</v>
      </c>
      <c r="B210">
        <v>2014</v>
      </c>
      <c r="C210">
        <v>1714</v>
      </c>
      <c r="D210">
        <v>209</v>
      </c>
      <c r="E210">
        <v>10000</v>
      </c>
      <c r="F210" t="s">
        <v>25</v>
      </c>
      <c r="G210" s="9">
        <v>4</v>
      </c>
      <c r="H210" t="s">
        <v>68</v>
      </c>
      <c r="I210">
        <v>5</v>
      </c>
      <c r="J210" s="13">
        <f t="shared" si="3"/>
        <v>4</v>
      </c>
    </row>
    <row r="211" spans="1:10" x14ac:dyDescent="0.2">
      <c r="A211" s="6">
        <v>43077</v>
      </c>
      <c r="B211">
        <v>2013</v>
      </c>
      <c r="C211">
        <v>1714</v>
      </c>
      <c r="D211">
        <v>210</v>
      </c>
      <c r="E211">
        <v>10150</v>
      </c>
      <c r="F211" t="s">
        <v>25</v>
      </c>
      <c r="G211" s="9">
        <v>4</v>
      </c>
      <c r="H211" t="s">
        <v>68</v>
      </c>
      <c r="I211">
        <v>6</v>
      </c>
      <c r="J211" s="13">
        <f t="shared" si="3"/>
        <v>4</v>
      </c>
    </row>
    <row r="212" spans="1:10" x14ac:dyDescent="0.2">
      <c r="A212" s="6">
        <v>43278</v>
      </c>
      <c r="B212">
        <v>2013</v>
      </c>
      <c r="C212">
        <v>1714</v>
      </c>
      <c r="D212">
        <v>211</v>
      </c>
      <c r="E212">
        <v>13000</v>
      </c>
      <c r="F212" t="s">
        <v>25</v>
      </c>
      <c r="G212" s="9">
        <v>5</v>
      </c>
      <c r="H212" t="s">
        <v>68</v>
      </c>
      <c r="I212">
        <v>6</v>
      </c>
      <c r="J212" s="13">
        <f t="shared" si="3"/>
        <v>5</v>
      </c>
    </row>
    <row r="213" spans="1:10" x14ac:dyDescent="0.2">
      <c r="A213" s="6">
        <v>42930</v>
      </c>
      <c r="B213">
        <v>2013</v>
      </c>
      <c r="C213">
        <v>1714</v>
      </c>
      <c r="D213">
        <v>212</v>
      </c>
      <c r="E213">
        <v>8500</v>
      </c>
      <c r="F213" t="s">
        <v>25</v>
      </c>
      <c r="G213" s="9">
        <v>5</v>
      </c>
      <c r="H213" t="s">
        <v>68</v>
      </c>
      <c r="I213">
        <v>6</v>
      </c>
      <c r="J213" s="13">
        <f t="shared" si="3"/>
        <v>5</v>
      </c>
    </row>
    <row r="214" spans="1:10" x14ac:dyDescent="0.2">
      <c r="A214" s="6">
        <v>42891</v>
      </c>
      <c r="B214">
        <v>2014</v>
      </c>
      <c r="C214">
        <v>1714</v>
      </c>
      <c r="D214">
        <v>213</v>
      </c>
      <c r="E214">
        <v>9100</v>
      </c>
      <c r="F214" t="s">
        <v>25</v>
      </c>
      <c r="G214" s="9">
        <v>5</v>
      </c>
      <c r="H214" t="s">
        <v>68</v>
      </c>
      <c r="I214">
        <v>5</v>
      </c>
      <c r="J214" s="13">
        <f t="shared" si="3"/>
        <v>5</v>
      </c>
    </row>
    <row r="215" spans="1:10" x14ac:dyDescent="0.2">
      <c r="A215" s="6">
        <v>42887</v>
      </c>
      <c r="B215">
        <v>2015</v>
      </c>
      <c r="C215">
        <v>1714</v>
      </c>
      <c r="D215">
        <v>214</v>
      </c>
      <c r="E215">
        <v>9000</v>
      </c>
      <c r="F215" t="s">
        <v>25</v>
      </c>
      <c r="G215" s="9">
        <v>5</v>
      </c>
      <c r="H215" t="s">
        <v>68</v>
      </c>
      <c r="I215">
        <v>4</v>
      </c>
      <c r="J215" s="13">
        <f t="shared" si="3"/>
        <v>5</v>
      </c>
    </row>
    <row r="216" spans="1:10" x14ac:dyDescent="0.2">
      <c r="A216" s="6">
        <v>42482</v>
      </c>
      <c r="B216">
        <v>2014</v>
      </c>
      <c r="C216">
        <v>1714</v>
      </c>
      <c r="D216">
        <v>215</v>
      </c>
      <c r="E216">
        <v>8200</v>
      </c>
      <c r="F216" t="s">
        <v>25</v>
      </c>
      <c r="G216" s="9">
        <v>5</v>
      </c>
      <c r="H216" t="s">
        <v>68</v>
      </c>
      <c r="I216">
        <v>5</v>
      </c>
      <c r="J216" s="13">
        <f t="shared" si="3"/>
        <v>5</v>
      </c>
    </row>
    <row r="217" spans="1:10" x14ac:dyDescent="0.2">
      <c r="A217" s="6">
        <v>43600</v>
      </c>
      <c r="B217">
        <v>2015</v>
      </c>
      <c r="C217">
        <v>1714</v>
      </c>
      <c r="D217">
        <v>216</v>
      </c>
      <c r="E217">
        <v>10500</v>
      </c>
      <c r="F217" t="s">
        <v>25</v>
      </c>
      <c r="G217" s="9">
        <v>6</v>
      </c>
      <c r="H217" t="s">
        <v>68</v>
      </c>
      <c r="I217">
        <v>4</v>
      </c>
      <c r="J217" s="13">
        <f t="shared" si="3"/>
        <v>6</v>
      </c>
    </row>
    <row r="218" spans="1:10" x14ac:dyDescent="0.2">
      <c r="A218" s="6">
        <v>43581</v>
      </c>
      <c r="B218">
        <v>2014</v>
      </c>
      <c r="C218">
        <v>1714</v>
      </c>
      <c r="D218">
        <v>217</v>
      </c>
      <c r="E218">
        <v>10500</v>
      </c>
      <c r="F218" t="s">
        <v>25</v>
      </c>
      <c r="G218" s="9">
        <v>6</v>
      </c>
      <c r="H218" t="s">
        <v>68</v>
      </c>
      <c r="I218">
        <v>5</v>
      </c>
      <c r="J218" s="13">
        <f t="shared" si="3"/>
        <v>6</v>
      </c>
    </row>
    <row r="219" spans="1:10" x14ac:dyDescent="0.2">
      <c r="A219" s="6">
        <v>43581</v>
      </c>
      <c r="B219">
        <v>2013</v>
      </c>
      <c r="C219">
        <v>1714</v>
      </c>
      <c r="D219">
        <v>218</v>
      </c>
      <c r="E219">
        <v>10500</v>
      </c>
      <c r="F219" t="s">
        <v>25</v>
      </c>
      <c r="G219" s="9">
        <v>6</v>
      </c>
      <c r="H219" t="s">
        <v>68</v>
      </c>
      <c r="I219">
        <v>6</v>
      </c>
      <c r="J219" s="13">
        <f t="shared" si="3"/>
        <v>6</v>
      </c>
    </row>
    <row r="220" spans="1:10" x14ac:dyDescent="0.2">
      <c r="A220" s="6">
        <v>43419</v>
      </c>
      <c r="B220">
        <v>2013</v>
      </c>
      <c r="C220">
        <v>1714</v>
      </c>
      <c r="D220">
        <v>219</v>
      </c>
      <c r="E220">
        <v>10850</v>
      </c>
      <c r="F220" t="s">
        <v>25</v>
      </c>
      <c r="G220" s="9">
        <v>6</v>
      </c>
      <c r="H220" t="s">
        <v>68</v>
      </c>
      <c r="I220">
        <v>6</v>
      </c>
      <c r="J220" s="13">
        <f t="shared" si="3"/>
        <v>6</v>
      </c>
    </row>
    <row r="221" spans="1:10" x14ac:dyDescent="0.2">
      <c r="A221" s="6">
        <v>43409</v>
      </c>
      <c r="B221">
        <v>2014</v>
      </c>
      <c r="C221">
        <v>1714</v>
      </c>
      <c r="D221">
        <v>220</v>
      </c>
      <c r="E221">
        <v>11250</v>
      </c>
      <c r="F221" t="s">
        <v>25</v>
      </c>
      <c r="G221" s="9">
        <v>6</v>
      </c>
      <c r="H221" t="s">
        <v>68</v>
      </c>
      <c r="I221">
        <v>5</v>
      </c>
      <c r="J221" s="13">
        <f t="shared" si="3"/>
        <v>6</v>
      </c>
    </row>
    <row r="222" spans="1:10" x14ac:dyDescent="0.2">
      <c r="A222" s="6">
        <v>43271</v>
      </c>
      <c r="B222">
        <v>2015</v>
      </c>
      <c r="C222">
        <v>1714</v>
      </c>
      <c r="D222">
        <v>221</v>
      </c>
      <c r="E222">
        <v>13250</v>
      </c>
      <c r="F222" t="s">
        <v>25</v>
      </c>
      <c r="G222" s="9">
        <v>6</v>
      </c>
      <c r="H222" t="s">
        <v>68</v>
      </c>
      <c r="I222">
        <v>4</v>
      </c>
      <c r="J222" s="13">
        <f t="shared" si="3"/>
        <v>6</v>
      </c>
    </row>
    <row r="223" spans="1:10" x14ac:dyDescent="0.2">
      <c r="A223" s="6">
        <v>43234</v>
      </c>
      <c r="B223">
        <v>2014</v>
      </c>
      <c r="C223">
        <v>1714</v>
      </c>
      <c r="D223">
        <v>222</v>
      </c>
      <c r="E223">
        <v>13200</v>
      </c>
      <c r="F223" t="s">
        <v>25</v>
      </c>
      <c r="G223" s="9">
        <v>6</v>
      </c>
      <c r="H223" t="s">
        <v>68</v>
      </c>
      <c r="I223">
        <v>5</v>
      </c>
      <c r="J223" s="13">
        <f t="shared" si="3"/>
        <v>6</v>
      </c>
    </row>
    <row r="224" spans="1:10" x14ac:dyDescent="0.2">
      <c r="A224" s="6">
        <v>43214</v>
      </c>
      <c r="B224">
        <v>2014</v>
      </c>
      <c r="C224">
        <v>1714</v>
      </c>
      <c r="D224">
        <v>223</v>
      </c>
      <c r="E224">
        <v>13250</v>
      </c>
      <c r="F224" t="s">
        <v>25</v>
      </c>
      <c r="G224" s="9">
        <v>6</v>
      </c>
      <c r="H224" t="s">
        <v>68</v>
      </c>
      <c r="I224">
        <v>5</v>
      </c>
      <c r="J224" s="13">
        <f t="shared" si="3"/>
        <v>6</v>
      </c>
    </row>
    <row r="225" spans="1:10" x14ac:dyDescent="0.2">
      <c r="A225" s="6">
        <v>43138</v>
      </c>
      <c r="B225">
        <v>2014</v>
      </c>
      <c r="C225">
        <v>1714</v>
      </c>
      <c r="D225">
        <v>224</v>
      </c>
      <c r="E225">
        <v>11500</v>
      </c>
      <c r="F225" t="s">
        <v>25</v>
      </c>
      <c r="G225" s="9">
        <v>6</v>
      </c>
      <c r="H225" t="s">
        <v>68</v>
      </c>
      <c r="I225">
        <v>5</v>
      </c>
      <c r="J225" s="13">
        <f t="shared" si="3"/>
        <v>6</v>
      </c>
    </row>
    <row r="226" spans="1:10" x14ac:dyDescent="0.2">
      <c r="A226" s="6">
        <v>43062</v>
      </c>
      <c r="B226">
        <v>2012</v>
      </c>
      <c r="C226">
        <v>1714</v>
      </c>
      <c r="D226">
        <v>225</v>
      </c>
      <c r="E226">
        <v>10000</v>
      </c>
      <c r="F226" t="s">
        <v>25</v>
      </c>
      <c r="G226" s="9">
        <v>6</v>
      </c>
      <c r="H226" t="s">
        <v>68</v>
      </c>
      <c r="I226">
        <v>7</v>
      </c>
      <c r="J226" s="13">
        <f t="shared" si="3"/>
        <v>6</v>
      </c>
    </row>
    <row r="227" spans="1:10" x14ac:dyDescent="0.2">
      <c r="A227" s="6">
        <v>43054</v>
      </c>
      <c r="B227">
        <v>2015</v>
      </c>
      <c r="C227">
        <v>1714</v>
      </c>
      <c r="D227">
        <v>226</v>
      </c>
      <c r="E227">
        <v>10250</v>
      </c>
      <c r="F227" t="s">
        <v>25</v>
      </c>
      <c r="G227" s="9">
        <v>6</v>
      </c>
      <c r="H227" t="s">
        <v>68</v>
      </c>
      <c r="I227">
        <v>4</v>
      </c>
      <c r="J227" s="13">
        <f t="shared" si="3"/>
        <v>6</v>
      </c>
    </row>
    <row r="228" spans="1:10" x14ac:dyDescent="0.2">
      <c r="A228" s="6">
        <v>43052</v>
      </c>
      <c r="B228">
        <v>2014</v>
      </c>
      <c r="C228">
        <v>1714</v>
      </c>
      <c r="D228">
        <v>227</v>
      </c>
      <c r="E228">
        <v>10300</v>
      </c>
      <c r="F228" t="s">
        <v>25</v>
      </c>
      <c r="G228" s="9">
        <v>6</v>
      </c>
      <c r="H228" t="s">
        <v>68</v>
      </c>
      <c r="I228">
        <v>5</v>
      </c>
      <c r="J228" s="13">
        <f t="shared" si="3"/>
        <v>6</v>
      </c>
    </row>
    <row r="229" spans="1:10" x14ac:dyDescent="0.2">
      <c r="A229" s="6">
        <v>43024</v>
      </c>
      <c r="B229">
        <v>2014</v>
      </c>
      <c r="C229">
        <v>1714</v>
      </c>
      <c r="D229">
        <v>228</v>
      </c>
      <c r="E229">
        <v>10000</v>
      </c>
      <c r="F229" t="s">
        <v>25</v>
      </c>
      <c r="G229" s="9">
        <v>6</v>
      </c>
      <c r="H229" t="s">
        <v>68</v>
      </c>
      <c r="I229">
        <v>5</v>
      </c>
      <c r="J229" s="13">
        <f t="shared" si="3"/>
        <v>6</v>
      </c>
    </row>
    <row r="230" spans="1:10" x14ac:dyDescent="0.2">
      <c r="A230" s="6">
        <v>43024</v>
      </c>
      <c r="B230">
        <v>2014</v>
      </c>
      <c r="C230">
        <v>1714</v>
      </c>
      <c r="D230">
        <v>229</v>
      </c>
      <c r="E230">
        <v>10000</v>
      </c>
      <c r="F230" t="s">
        <v>25</v>
      </c>
      <c r="G230" s="9">
        <v>6</v>
      </c>
      <c r="H230" t="s">
        <v>68</v>
      </c>
      <c r="I230">
        <v>5</v>
      </c>
      <c r="J230" s="13">
        <f t="shared" si="3"/>
        <v>6</v>
      </c>
    </row>
    <row r="231" spans="1:10" x14ac:dyDescent="0.2">
      <c r="A231" s="6">
        <v>42857</v>
      </c>
      <c r="B231">
        <v>2014</v>
      </c>
      <c r="C231">
        <v>1714</v>
      </c>
      <c r="D231">
        <v>230</v>
      </c>
      <c r="E231">
        <v>8600</v>
      </c>
      <c r="F231" t="s">
        <v>25</v>
      </c>
      <c r="G231" s="9">
        <v>6</v>
      </c>
      <c r="H231" t="s">
        <v>68</v>
      </c>
      <c r="I231">
        <v>5</v>
      </c>
      <c r="J231" s="13">
        <f t="shared" si="3"/>
        <v>6</v>
      </c>
    </row>
    <row r="232" spans="1:10" x14ac:dyDescent="0.2">
      <c r="A232" s="6">
        <v>42676</v>
      </c>
      <c r="B232">
        <v>2014</v>
      </c>
      <c r="C232">
        <v>1714</v>
      </c>
      <c r="D232">
        <v>231</v>
      </c>
      <c r="E232">
        <v>7750</v>
      </c>
      <c r="F232" t="s">
        <v>25</v>
      </c>
      <c r="G232" s="9">
        <v>6</v>
      </c>
      <c r="H232" t="s">
        <v>68</v>
      </c>
      <c r="I232">
        <v>5</v>
      </c>
      <c r="J232" s="13">
        <f t="shared" si="3"/>
        <v>6</v>
      </c>
    </row>
    <row r="233" spans="1:10" x14ac:dyDescent="0.2">
      <c r="A233" s="6">
        <v>42674</v>
      </c>
      <c r="B233">
        <v>2014</v>
      </c>
      <c r="C233">
        <v>1714</v>
      </c>
      <c r="D233">
        <v>232</v>
      </c>
      <c r="E233">
        <v>7750</v>
      </c>
      <c r="F233" t="s">
        <v>25</v>
      </c>
      <c r="G233" s="9">
        <v>6</v>
      </c>
      <c r="H233" t="s">
        <v>68</v>
      </c>
      <c r="I233">
        <v>5</v>
      </c>
      <c r="J233" s="13">
        <f t="shared" si="3"/>
        <v>6</v>
      </c>
    </row>
    <row r="234" spans="1:10" x14ac:dyDescent="0.2">
      <c r="A234" s="6">
        <v>42502</v>
      </c>
      <c r="B234">
        <v>2013</v>
      </c>
      <c r="C234">
        <v>1714</v>
      </c>
      <c r="D234">
        <v>233</v>
      </c>
      <c r="E234">
        <v>8250</v>
      </c>
      <c r="F234" t="s">
        <v>25</v>
      </c>
      <c r="G234" s="9">
        <v>6</v>
      </c>
      <c r="H234" t="s">
        <v>68</v>
      </c>
      <c r="I234">
        <v>6</v>
      </c>
      <c r="J234" s="13">
        <f t="shared" si="3"/>
        <v>6</v>
      </c>
    </row>
    <row r="235" spans="1:10" x14ac:dyDescent="0.2">
      <c r="A235" s="6">
        <v>43607</v>
      </c>
      <c r="B235">
        <v>2017</v>
      </c>
      <c r="C235">
        <v>1714</v>
      </c>
      <c r="D235">
        <v>234</v>
      </c>
      <c r="E235">
        <v>10500</v>
      </c>
      <c r="F235" t="s">
        <v>25</v>
      </c>
      <c r="G235" s="9">
        <v>7</v>
      </c>
      <c r="H235" t="s">
        <v>68</v>
      </c>
      <c r="I235">
        <v>2</v>
      </c>
      <c r="J235" s="13">
        <f t="shared" si="3"/>
        <v>7</v>
      </c>
    </row>
    <row r="236" spans="1:10" x14ac:dyDescent="0.2">
      <c r="A236" s="6">
        <v>43266</v>
      </c>
      <c r="B236">
        <v>2015</v>
      </c>
      <c r="C236">
        <v>1714</v>
      </c>
      <c r="D236">
        <v>235</v>
      </c>
      <c r="E236">
        <v>13250</v>
      </c>
      <c r="F236" t="s">
        <v>25</v>
      </c>
      <c r="G236" s="9">
        <v>7</v>
      </c>
      <c r="H236" t="s">
        <v>68</v>
      </c>
      <c r="I236">
        <v>4</v>
      </c>
      <c r="J236" s="13">
        <f t="shared" si="3"/>
        <v>7</v>
      </c>
    </row>
    <row r="237" spans="1:10" x14ac:dyDescent="0.2">
      <c r="A237" s="6">
        <v>43013</v>
      </c>
      <c r="B237">
        <v>2013</v>
      </c>
      <c r="C237">
        <v>1714</v>
      </c>
      <c r="D237">
        <v>236</v>
      </c>
      <c r="E237">
        <v>9400</v>
      </c>
      <c r="F237" t="s">
        <v>25</v>
      </c>
      <c r="G237" s="9">
        <v>7</v>
      </c>
      <c r="H237" t="s">
        <v>68</v>
      </c>
      <c r="I237">
        <v>6</v>
      </c>
      <c r="J237" s="13">
        <f t="shared" si="3"/>
        <v>7</v>
      </c>
    </row>
    <row r="238" spans="1:10" x14ac:dyDescent="0.2">
      <c r="A238" s="6">
        <v>42682</v>
      </c>
      <c r="B238">
        <v>2015</v>
      </c>
      <c r="C238">
        <v>1714</v>
      </c>
      <c r="D238">
        <v>237</v>
      </c>
      <c r="E238">
        <v>7750</v>
      </c>
      <c r="F238" t="s">
        <v>25</v>
      </c>
      <c r="G238" s="9">
        <v>7</v>
      </c>
      <c r="H238" t="s">
        <v>68</v>
      </c>
      <c r="I238">
        <v>4</v>
      </c>
      <c r="J238" s="13">
        <f t="shared" si="3"/>
        <v>7</v>
      </c>
    </row>
    <row r="239" spans="1:10" x14ac:dyDescent="0.2">
      <c r="A239" s="6">
        <v>43458</v>
      </c>
      <c r="B239">
        <v>2015</v>
      </c>
      <c r="C239">
        <v>1714</v>
      </c>
      <c r="D239">
        <v>238</v>
      </c>
      <c r="E239">
        <v>10850</v>
      </c>
      <c r="F239" t="s">
        <v>25</v>
      </c>
      <c r="G239" s="9">
        <v>8</v>
      </c>
      <c r="H239" t="s">
        <v>68</v>
      </c>
      <c r="I239">
        <v>4</v>
      </c>
      <c r="J239" s="13">
        <f t="shared" si="3"/>
        <v>8</v>
      </c>
    </row>
    <row r="240" spans="1:10" x14ac:dyDescent="0.2">
      <c r="A240" s="6">
        <v>43344</v>
      </c>
      <c r="B240">
        <v>2012</v>
      </c>
      <c r="C240">
        <v>1714</v>
      </c>
      <c r="D240">
        <v>239</v>
      </c>
      <c r="E240">
        <v>11500</v>
      </c>
      <c r="F240" t="s">
        <v>25</v>
      </c>
      <c r="G240" s="9">
        <v>8</v>
      </c>
      <c r="H240" t="s">
        <v>68</v>
      </c>
      <c r="I240">
        <v>7</v>
      </c>
      <c r="J240" s="13">
        <f t="shared" si="3"/>
        <v>8</v>
      </c>
    </row>
    <row r="241" spans="1:10" x14ac:dyDescent="0.2">
      <c r="A241" s="6">
        <v>43040</v>
      </c>
      <c r="B241">
        <v>2013</v>
      </c>
      <c r="C241">
        <v>1714</v>
      </c>
      <c r="D241">
        <v>240</v>
      </c>
      <c r="E241">
        <v>9800</v>
      </c>
      <c r="F241" t="s">
        <v>25</v>
      </c>
      <c r="G241" s="9">
        <v>8</v>
      </c>
      <c r="H241" t="s">
        <v>68</v>
      </c>
      <c r="I241">
        <v>6</v>
      </c>
      <c r="J241" s="13">
        <f t="shared" si="3"/>
        <v>8</v>
      </c>
    </row>
    <row r="242" spans="1:10" x14ac:dyDescent="0.2">
      <c r="A242" s="6">
        <v>42697</v>
      </c>
      <c r="B242">
        <v>2013</v>
      </c>
      <c r="C242">
        <v>1714</v>
      </c>
      <c r="D242">
        <v>241</v>
      </c>
      <c r="E242">
        <v>7700</v>
      </c>
      <c r="F242" t="s">
        <v>25</v>
      </c>
      <c r="G242" s="9">
        <v>8</v>
      </c>
      <c r="H242" t="s">
        <v>68</v>
      </c>
      <c r="I242">
        <v>6</v>
      </c>
      <c r="J242" s="13">
        <f t="shared" si="3"/>
        <v>8</v>
      </c>
    </row>
    <row r="243" spans="1:10" x14ac:dyDescent="0.2">
      <c r="A243" s="6">
        <v>42644</v>
      </c>
      <c r="B243">
        <v>2014</v>
      </c>
      <c r="C243">
        <v>1714</v>
      </c>
      <c r="D243">
        <v>242</v>
      </c>
      <c r="E243">
        <v>8150</v>
      </c>
      <c r="F243" t="s">
        <v>25</v>
      </c>
      <c r="G243" s="9">
        <v>8</v>
      </c>
      <c r="H243" t="s">
        <v>68</v>
      </c>
      <c r="I243">
        <v>5</v>
      </c>
      <c r="J243" s="13">
        <f t="shared" si="3"/>
        <v>8</v>
      </c>
    </row>
    <row r="244" spans="1:10" x14ac:dyDescent="0.2">
      <c r="A244" s="6">
        <v>43493</v>
      </c>
      <c r="B244">
        <v>2018</v>
      </c>
      <c r="C244">
        <v>1714</v>
      </c>
      <c r="D244">
        <v>243</v>
      </c>
      <c r="E244">
        <v>9950</v>
      </c>
      <c r="F244" t="s">
        <v>25</v>
      </c>
      <c r="G244" s="9">
        <v>9</v>
      </c>
      <c r="H244" t="s">
        <v>68</v>
      </c>
      <c r="I244">
        <v>1</v>
      </c>
      <c r="J244" s="13">
        <f t="shared" si="3"/>
        <v>9</v>
      </c>
    </row>
    <row r="245" spans="1:10" x14ac:dyDescent="0.2">
      <c r="A245" s="6">
        <v>43049</v>
      </c>
      <c r="B245">
        <v>2017</v>
      </c>
      <c r="C245">
        <v>1714</v>
      </c>
      <c r="D245">
        <v>244</v>
      </c>
      <c r="E245">
        <v>9950</v>
      </c>
      <c r="F245" t="s">
        <v>25</v>
      </c>
      <c r="G245" s="9">
        <v>9</v>
      </c>
      <c r="H245" t="s">
        <v>68</v>
      </c>
      <c r="I245">
        <v>2</v>
      </c>
      <c r="J245" s="13">
        <f t="shared" si="3"/>
        <v>9</v>
      </c>
    </row>
    <row r="246" spans="1:10" x14ac:dyDescent="0.2">
      <c r="A246" s="6">
        <v>42499</v>
      </c>
      <c r="B246">
        <v>2014</v>
      </c>
      <c r="C246">
        <v>1730</v>
      </c>
      <c r="D246">
        <v>245</v>
      </c>
      <c r="E246">
        <v>8700</v>
      </c>
      <c r="F246" t="s">
        <v>25</v>
      </c>
      <c r="G246" s="9">
        <v>1</v>
      </c>
      <c r="H246" t="s">
        <v>68</v>
      </c>
      <c r="I246">
        <v>5</v>
      </c>
      <c r="J246" s="13">
        <f t="shared" si="3"/>
        <v>1</v>
      </c>
    </row>
    <row r="247" spans="1:10" x14ac:dyDescent="0.2">
      <c r="A247" s="6">
        <v>43238</v>
      </c>
      <c r="B247">
        <v>2014</v>
      </c>
      <c r="C247">
        <v>1730</v>
      </c>
      <c r="D247">
        <v>246</v>
      </c>
      <c r="E247">
        <v>14000</v>
      </c>
      <c r="F247" t="s">
        <v>25</v>
      </c>
      <c r="G247" s="9">
        <v>10</v>
      </c>
      <c r="H247" t="s">
        <v>68</v>
      </c>
      <c r="I247">
        <v>5</v>
      </c>
      <c r="J247" s="13">
        <f t="shared" si="3"/>
        <v>10</v>
      </c>
    </row>
    <row r="248" spans="1:10" x14ac:dyDescent="0.2">
      <c r="A248" s="6">
        <v>42873</v>
      </c>
      <c r="B248">
        <v>2014</v>
      </c>
      <c r="C248">
        <v>1730</v>
      </c>
      <c r="D248">
        <v>247</v>
      </c>
      <c r="E248">
        <v>9100</v>
      </c>
      <c r="F248" t="s">
        <v>25</v>
      </c>
      <c r="G248" s="9">
        <v>10</v>
      </c>
      <c r="H248" t="s">
        <v>68</v>
      </c>
      <c r="I248">
        <v>5</v>
      </c>
      <c r="J248" s="13">
        <f t="shared" si="3"/>
        <v>10</v>
      </c>
    </row>
    <row r="249" spans="1:10" x14ac:dyDescent="0.2">
      <c r="A249" s="6">
        <v>42566</v>
      </c>
      <c r="B249">
        <v>2014</v>
      </c>
      <c r="C249">
        <v>1730</v>
      </c>
      <c r="D249">
        <v>248</v>
      </c>
      <c r="E249">
        <v>8650</v>
      </c>
      <c r="F249" t="s">
        <v>25</v>
      </c>
      <c r="G249" s="9">
        <v>10</v>
      </c>
      <c r="H249" t="s">
        <v>68</v>
      </c>
      <c r="I249">
        <v>5</v>
      </c>
      <c r="J249" s="13">
        <f t="shared" si="3"/>
        <v>10</v>
      </c>
    </row>
    <row r="250" spans="1:10" x14ac:dyDescent="0.2">
      <c r="A250" s="6">
        <v>42423</v>
      </c>
      <c r="B250">
        <v>2014</v>
      </c>
      <c r="C250">
        <v>1730</v>
      </c>
      <c r="D250">
        <v>249</v>
      </c>
      <c r="E250">
        <v>8500</v>
      </c>
      <c r="F250" t="s">
        <v>25</v>
      </c>
      <c r="G250" s="9">
        <v>10</v>
      </c>
      <c r="H250" t="s">
        <v>68</v>
      </c>
      <c r="I250">
        <v>5</v>
      </c>
      <c r="J250" s="13">
        <f t="shared" si="3"/>
        <v>10</v>
      </c>
    </row>
    <row r="251" spans="1:10" x14ac:dyDescent="0.2">
      <c r="A251" s="6">
        <v>42418</v>
      </c>
      <c r="B251">
        <v>2014</v>
      </c>
      <c r="C251">
        <v>1730</v>
      </c>
      <c r="D251">
        <v>250</v>
      </c>
      <c r="E251">
        <v>8500</v>
      </c>
      <c r="F251" t="s">
        <v>25</v>
      </c>
      <c r="G251" s="9">
        <v>10</v>
      </c>
      <c r="H251" t="s">
        <v>68</v>
      </c>
      <c r="I251">
        <v>5</v>
      </c>
      <c r="J251" s="13">
        <f t="shared" si="3"/>
        <v>10</v>
      </c>
    </row>
    <row r="252" spans="1:10" x14ac:dyDescent="0.2">
      <c r="A252" s="6">
        <v>43383</v>
      </c>
      <c r="B252">
        <v>2014</v>
      </c>
      <c r="C252">
        <v>1730</v>
      </c>
      <c r="D252">
        <v>251</v>
      </c>
      <c r="E252">
        <v>11850</v>
      </c>
      <c r="F252" t="s">
        <v>25</v>
      </c>
      <c r="G252" s="9">
        <v>12</v>
      </c>
      <c r="H252" t="s">
        <v>68</v>
      </c>
      <c r="I252">
        <v>5</v>
      </c>
      <c r="J252" s="13">
        <f t="shared" si="3"/>
        <v>12</v>
      </c>
    </row>
    <row r="253" spans="1:10" x14ac:dyDescent="0.2">
      <c r="A253" s="6">
        <v>43266</v>
      </c>
      <c r="B253">
        <v>2015</v>
      </c>
      <c r="C253">
        <v>1730</v>
      </c>
      <c r="D253">
        <v>252</v>
      </c>
      <c r="E253">
        <v>14150</v>
      </c>
      <c r="F253" t="s">
        <v>25</v>
      </c>
      <c r="G253" s="9">
        <v>12</v>
      </c>
      <c r="H253" t="s">
        <v>68</v>
      </c>
      <c r="I253">
        <v>4</v>
      </c>
      <c r="J253" s="13">
        <f t="shared" si="3"/>
        <v>12</v>
      </c>
    </row>
    <row r="254" spans="1:10" x14ac:dyDescent="0.2">
      <c r="A254" s="6">
        <v>43102</v>
      </c>
      <c r="B254">
        <v>2016</v>
      </c>
      <c r="C254">
        <v>1730</v>
      </c>
      <c r="D254">
        <v>253</v>
      </c>
      <c r="E254">
        <v>10600</v>
      </c>
      <c r="F254" t="s">
        <v>25</v>
      </c>
      <c r="G254" s="9">
        <v>12</v>
      </c>
      <c r="H254" t="s">
        <v>68</v>
      </c>
      <c r="I254">
        <v>3</v>
      </c>
      <c r="J254" s="13">
        <f t="shared" si="3"/>
        <v>12</v>
      </c>
    </row>
    <row r="255" spans="1:10" x14ac:dyDescent="0.2">
      <c r="A255" s="6">
        <v>42940</v>
      </c>
      <c r="B255">
        <v>2014</v>
      </c>
      <c r="C255">
        <v>1730</v>
      </c>
      <c r="D255">
        <v>254</v>
      </c>
      <c r="E255">
        <v>9000</v>
      </c>
      <c r="F255" t="s">
        <v>25</v>
      </c>
      <c r="G255" s="9">
        <v>12</v>
      </c>
      <c r="H255" t="s">
        <v>68</v>
      </c>
      <c r="I255">
        <v>5</v>
      </c>
      <c r="J255" s="13">
        <f t="shared" si="3"/>
        <v>12</v>
      </c>
    </row>
    <row r="256" spans="1:10" x14ac:dyDescent="0.2">
      <c r="A256" s="6">
        <v>42870</v>
      </c>
      <c r="B256">
        <v>2014</v>
      </c>
      <c r="C256">
        <v>1730</v>
      </c>
      <c r="D256">
        <v>255</v>
      </c>
      <c r="E256">
        <v>10250</v>
      </c>
      <c r="F256" t="s">
        <v>25</v>
      </c>
      <c r="G256" s="9">
        <v>12</v>
      </c>
      <c r="H256" t="s">
        <v>68</v>
      </c>
      <c r="I256">
        <v>5</v>
      </c>
      <c r="J256" s="13">
        <f t="shared" si="3"/>
        <v>12</v>
      </c>
    </row>
    <row r="257" spans="1:10" x14ac:dyDescent="0.2">
      <c r="A257" s="6">
        <v>42860</v>
      </c>
      <c r="B257">
        <v>2014</v>
      </c>
      <c r="C257">
        <v>1730</v>
      </c>
      <c r="D257">
        <v>256</v>
      </c>
      <c r="E257">
        <v>9000</v>
      </c>
      <c r="F257" t="s">
        <v>25</v>
      </c>
      <c r="G257" s="9">
        <v>12</v>
      </c>
      <c r="H257" t="s">
        <v>68</v>
      </c>
      <c r="I257">
        <v>5</v>
      </c>
      <c r="J257" s="13">
        <f t="shared" si="3"/>
        <v>12</v>
      </c>
    </row>
    <row r="258" spans="1:10" x14ac:dyDescent="0.2">
      <c r="A258" s="6">
        <v>42382</v>
      </c>
      <c r="B258">
        <v>2015</v>
      </c>
      <c r="C258">
        <v>1730</v>
      </c>
      <c r="D258">
        <v>257</v>
      </c>
      <c r="E258">
        <v>9900</v>
      </c>
      <c r="F258" t="s">
        <v>25</v>
      </c>
      <c r="G258" s="9">
        <v>12</v>
      </c>
      <c r="H258" t="s">
        <v>68</v>
      </c>
      <c r="I258">
        <v>4</v>
      </c>
      <c r="J258" s="13">
        <f t="shared" ref="J258:J321" si="4">IF(H258="days",ROUND(G258/30,0),IF(H258="years",G258*12,G258))</f>
        <v>12</v>
      </c>
    </row>
    <row r="259" spans="1:10" x14ac:dyDescent="0.2">
      <c r="A259" s="6">
        <v>42376</v>
      </c>
      <c r="B259">
        <v>2014</v>
      </c>
      <c r="C259">
        <v>1730</v>
      </c>
      <c r="D259">
        <v>258</v>
      </c>
      <c r="E259">
        <v>9750</v>
      </c>
      <c r="F259" t="s">
        <v>25</v>
      </c>
      <c r="G259" s="9">
        <v>12</v>
      </c>
      <c r="H259" t="s">
        <v>68</v>
      </c>
      <c r="I259">
        <v>5</v>
      </c>
      <c r="J259" s="13">
        <f t="shared" si="4"/>
        <v>12</v>
      </c>
    </row>
    <row r="260" spans="1:10" x14ac:dyDescent="0.2">
      <c r="A260" s="6">
        <v>42891</v>
      </c>
      <c r="B260">
        <v>2014</v>
      </c>
      <c r="C260">
        <v>1730</v>
      </c>
      <c r="D260">
        <v>259</v>
      </c>
      <c r="E260">
        <v>10250</v>
      </c>
      <c r="F260" t="s">
        <v>25</v>
      </c>
      <c r="G260" s="9">
        <v>13</v>
      </c>
      <c r="H260" t="s">
        <v>68</v>
      </c>
      <c r="I260">
        <v>5</v>
      </c>
      <c r="J260" s="13">
        <f t="shared" si="4"/>
        <v>13</v>
      </c>
    </row>
    <row r="261" spans="1:10" x14ac:dyDescent="0.2">
      <c r="A261" s="6">
        <v>42563</v>
      </c>
      <c r="B261">
        <v>2014</v>
      </c>
      <c r="C261">
        <v>1730</v>
      </c>
      <c r="D261">
        <v>260</v>
      </c>
      <c r="E261">
        <v>10500</v>
      </c>
      <c r="F261" t="s">
        <v>25</v>
      </c>
      <c r="G261" s="9">
        <v>13</v>
      </c>
      <c r="H261" t="s">
        <v>68</v>
      </c>
      <c r="I261">
        <v>5</v>
      </c>
      <c r="J261" s="13">
        <f t="shared" si="4"/>
        <v>13</v>
      </c>
    </row>
    <row r="262" spans="1:10" x14ac:dyDescent="0.2">
      <c r="A262" s="6">
        <v>42563</v>
      </c>
      <c r="B262">
        <v>2014</v>
      </c>
      <c r="C262">
        <v>1730</v>
      </c>
      <c r="D262">
        <v>261</v>
      </c>
      <c r="E262">
        <v>10500</v>
      </c>
      <c r="F262" t="s">
        <v>25</v>
      </c>
      <c r="G262" s="9">
        <v>13</v>
      </c>
      <c r="H262" t="s">
        <v>68</v>
      </c>
      <c r="I262">
        <v>5</v>
      </c>
      <c r="J262" s="13">
        <f t="shared" si="4"/>
        <v>13</v>
      </c>
    </row>
    <row r="263" spans="1:10" x14ac:dyDescent="0.2">
      <c r="A263" s="6">
        <v>43165</v>
      </c>
      <c r="B263">
        <v>2014</v>
      </c>
      <c r="C263">
        <v>1730</v>
      </c>
      <c r="D263">
        <v>262</v>
      </c>
      <c r="E263">
        <v>13200</v>
      </c>
      <c r="F263" t="s">
        <v>25</v>
      </c>
      <c r="G263" s="9">
        <v>14</v>
      </c>
      <c r="H263" t="s">
        <v>68</v>
      </c>
      <c r="I263">
        <v>5</v>
      </c>
      <c r="J263" s="13">
        <f t="shared" si="4"/>
        <v>14</v>
      </c>
    </row>
    <row r="264" spans="1:10" x14ac:dyDescent="0.2">
      <c r="A264" s="6">
        <v>43122</v>
      </c>
      <c r="B264">
        <v>2018</v>
      </c>
      <c r="C264">
        <v>1730</v>
      </c>
      <c r="D264">
        <v>263</v>
      </c>
      <c r="E264">
        <v>11000</v>
      </c>
      <c r="F264" t="s">
        <v>25</v>
      </c>
      <c r="G264" s="9">
        <v>14</v>
      </c>
      <c r="H264" t="s">
        <v>68</v>
      </c>
      <c r="I264">
        <v>1</v>
      </c>
      <c r="J264" s="13">
        <f t="shared" si="4"/>
        <v>14</v>
      </c>
    </row>
    <row r="265" spans="1:10" x14ac:dyDescent="0.2">
      <c r="A265" s="6">
        <v>43258</v>
      </c>
      <c r="B265">
        <v>2014</v>
      </c>
      <c r="C265">
        <v>1730</v>
      </c>
      <c r="D265">
        <v>264</v>
      </c>
      <c r="E265">
        <v>14000</v>
      </c>
      <c r="F265" t="s">
        <v>25</v>
      </c>
      <c r="G265" s="9">
        <v>15</v>
      </c>
      <c r="H265" t="s">
        <v>68</v>
      </c>
      <c r="I265">
        <v>5</v>
      </c>
      <c r="J265" s="13">
        <f t="shared" si="4"/>
        <v>15</v>
      </c>
    </row>
    <row r="266" spans="1:10" x14ac:dyDescent="0.2">
      <c r="A266" s="6">
        <v>43083</v>
      </c>
      <c r="B266">
        <v>2016</v>
      </c>
      <c r="C266">
        <v>1730</v>
      </c>
      <c r="D266">
        <v>265</v>
      </c>
      <c r="E266">
        <v>10500</v>
      </c>
      <c r="F266" t="s">
        <v>25</v>
      </c>
      <c r="G266" s="9">
        <v>3</v>
      </c>
      <c r="H266" t="s">
        <v>68</v>
      </c>
      <c r="I266">
        <v>3</v>
      </c>
      <c r="J266" s="13">
        <f t="shared" si="4"/>
        <v>3</v>
      </c>
    </row>
    <row r="267" spans="1:10" x14ac:dyDescent="0.2">
      <c r="A267" s="6">
        <v>42671</v>
      </c>
      <c r="B267">
        <v>2016</v>
      </c>
      <c r="C267">
        <v>1730</v>
      </c>
      <c r="D267">
        <v>266</v>
      </c>
      <c r="E267">
        <v>8200</v>
      </c>
      <c r="F267" t="s">
        <v>25</v>
      </c>
      <c r="G267" s="9">
        <v>3</v>
      </c>
      <c r="H267" t="s">
        <v>68</v>
      </c>
      <c r="I267">
        <v>3</v>
      </c>
      <c r="J267" s="13">
        <f t="shared" si="4"/>
        <v>3</v>
      </c>
    </row>
    <row r="268" spans="1:10" x14ac:dyDescent="0.2">
      <c r="A268" s="6">
        <v>42779</v>
      </c>
      <c r="B268">
        <v>2015</v>
      </c>
      <c r="C268">
        <v>1730</v>
      </c>
      <c r="D268">
        <v>267</v>
      </c>
      <c r="E268">
        <v>8900</v>
      </c>
      <c r="F268" t="s">
        <v>25</v>
      </c>
      <c r="G268" s="15">
        <v>30</v>
      </c>
      <c r="H268" t="s">
        <v>26</v>
      </c>
      <c r="I268">
        <v>4</v>
      </c>
      <c r="J268" s="13">
        <f t="shared" si="4"/>
        <v>1</v>
      </c>
    </row>
    <row r="269" spans="1:10" x14ac:dyDescent="0.2">
      <c r="A269" s="6">
        <v>42583</v>
      </c>
      <c r="B269">
        <v>2015</v>
      </c>
      <c r="C269">
        <v>1730</v>
      </c>
      <c r="D269">
        <v>268</v>
      </c>
      <c r="E269">
        <v>8650</v>
      </c>
      <c r="F269" t="s">
        <v>25</v>
      </c>
      <c r="G269" s="15">
        <v>35</v>
      </c>
      <c r="H269" t="s">
        <v>26</v>
      </c>
      <c r="I269">
        <v>4</v>
      </c>
      <c r="J269" s="13">
        <f t="shared" si="4"/>
        <v>1</v>
      </c>
    </row>
    <row r="270" spans="1:10" x14ac:dyDescent="0.2">
      <c r="A270" s="6">
        <v>43614</v>
      </c>
      <c r="B270">
        <v>2016</v>
      </c>
      <c r="C270">
        <v>1730</v>
      </c>
      <c r="D270">
        <v>269</v>
      </c>
      <c r="E270">
        <v>11250</v>
      </c>
      <c r="F270" t="s">
        <v>25</v>
      </c>
      <c r="G270" s="9">
        <v>4</v>
      </c>
      <c r="H270" t="s">
        <v>68</v>
      </c>
      <c r="I270">
        <v>3</v>
      </c>
      <c r="J270" s="13">
        <f t="shared" si="4"/>
        <v>4</v>
      </c>
    </row>
    <row r="271" spans="1:10" x14ac:dyDescent="0.2">
      <c r="A271" s="6">
        <v>43501</v>
      </c>
      <c r="B271">
        <v>2014</v>
      </c>
      <c r="C271">
        <v>1730</v>
      </c>
      <c r="D271">
        <v>270</v>
      </c>
      <c r="E271">
        <v>11500</v>
      </c>
      <c r="F271" t="s">
        <v>25</v>
      </c>
      <c r="G271" s="9">
        <v>4</v>
      </c>
      <c r="H271" t="s">
        <v>68</v>
      </c>
      <c r="I271">
        <v>5</v>
      </c>
      <c r="J271" s="13">
        <f t="shared" si="4"/>
        <v>4</v>
      </c>
    </row>
    <row r="272" spans="1:10" x14ac:dyDescent="0.2">
      <c r="A272" s="6">
        <v>43486</v>
      </c>
      <c r="B272">
        <v>2016</v>
      </c>
      <c r="C272">
        <v>1730</v>
      </c>
      <c r="D272">
        <v>271</v>
      </c>
      <c r="E272">
        <v>10800</v>
      </c>
      <c r="F272" t="s">
        <v>25</v>
      </c>
      <c r="G272" s="9">
        <v>4</v>
      </c>
      <c r="H272" t="s">
        <v>68</v>
      </c>
      <c r="I272">
        <v>3</v>
      </c>
      <c r="J272" s="13">
        <f t="shared" si="4"/>
        <v>4</v>
      </c>
    </row>
    <row r="273" spans="1:10" x14ac:dyDescent="0.2">
      <c r="A273" s="6">
        <v>43124</v>
      </c>
      <c r="B273">
        <v>2016</v>
      </c>
      <c r="C273">
        <v>1730</v>
      </c>
      <c r="D273">
        <v>272</v>
      </c>
      <c r="E273">
        <v>11500</v>
      </c>
      <c r="F273" t="s">
        <v>25</v>
      </c>
      <c r="G273" s="9">
        <v>4</v>
      </c>
      <c r="H273" t="s">
        <v>68</v>
      </c>
      <c r="I273">
        <v>3</v>
      </c>
      <c r="J273" s="13">
        <f t="shared" si="4"/>
        <v>4</v>
      </c>
    </row>
    <row r="274" spans="1:10" x14ac:dyDescent="0.2">
      <c r="A274" s="6">
        <v>42944</v>
      </c>
      <c r="B274">
        <v>2016</v>
      </c>
      <c r="C274">
        <v>1730</v>
      </c>
      <c r="D274">
        <v>273</v>
      </c>
      <c r="E274">
        <v>9000</v>
      </c>
      <c r="F274" t="s">
        <v>25</v>
      </c>
      <c r="G274" s="9">
        <v>4</v>
      </c>
      <c r="H274" t="s">
        <v>68</v>
      </c>
      <c r="I274">
        <v>3</v>
      </c>
      <c r="J274" s="13">
        <f t="shared" si="4"/>
        <v>4</v>
      </c>
    </row>
    <row r="275" spans="1:10" x14ac:dyDescent="0.2">
      <c r="A275" s="6">
        <v>42614</v>
      </c>
      <c r="B275">
        <v>2015</v>
      </c>
      <c r="C275">
        <v>1730</v>
      </c>
      <c r="D275">
        <v>274</v>
      </c>
      <c r="E275">
        <v>8500</v>
      </c>
      <c r="F275" t="s">
        <v>25</v>
      </c>
      <c r="G275" s="9">
        <v>4</v>
      </c>
      <c r="H275" t="s">
        <v>68</v>
      </c>
      <c r="I275">
        <v>4</v>
      </c>
      <c r="J275" s="13">
        <f t="shared" si="4"/>
        <v>4</v>
      </c>
    </row>
    <row r="276" spans="1:10" x14ac:dyDescent="0.2">
      <c r="A276" s="6">
        <v>42415</v>
      </c>
      <c r="B276">
        <v>2016</v>
      </c>
      <c r="C276">
        <v>1730</v>
      </c>
      <c r="D276">
        <v>275</v>
      </c>
      <c r="E276">
        <v>8400</v>
      </c>
      <c r="F276" t="s">
        <v>25</v>
      </c>
      <c r="G276" s="9">
        <v>4</v>
      </c>
      <c r="H276" t="s">
        <v>68</v>
      </c>
      <c r="I276">
        <v>3</v>
      </c>
      <c r="J276" s="13">
        <f t="shared" si="4"/>
        <v>4</v>
      </c>
    </row>
    <row r="277" spans="1:10" x14ac:dyDescent="0.2">
      <c r="A277" s="6">
        <v>43626</v>
      </c>
      <c r="B277">
        <v>2016</v>
      </c>
      <c r="C277">
        <v>1730</v>
      </c>
      <c r="D277">
        <v>276</v>
      </c>
      <c r="E277">
        <v>11300</v>
      </c>
      <c r="F277" t="s">
        <v>25</v>
      </c>
      <c r="G277" s="9">
        <v>5</v>
      </c>
      <c r="H277" t="s">
        <v>68</v>
      </c>
      <c r="I277">
        <v>3</v>
      </c>
      <c r="J277" s="13">
        <f t="shared" si="4"/>
        <v>5</v>
      </c>
    </row>
    <row r="278" spans="1:10" x14ac:dyDescent="0.2">
      <c r="A278" s="6">
        <v>43479</v>
      </c>
      <c r="B278">
        <v>2016</v>
      </c>
      <c r="C278">
        <v>1730</v>
      </c>
      <c r="D278">
        <v>277</v>
      </c>
      <c r="E278">
        <v>10800</v>
      </c>
      <c r="F278" t="s">
        <v>25</v>
      </c>
      <c r="G278" s="9">
        <v>5</v>
      </c>
      <c r="H278" t="s">
        <v>68</v>
      </c>
      <c r="I278">
        <v>3</v>
      </c>
      <c r="J278" s="13">
        <f t="shared" si="4"/>
        <v>5</v>
      </c>
    </row>
    <row r="279" spans="1:10" x14ac:dyDescent="0.2">
      <c r="A279" s="6">
        <v>43367</v>
      </c>
      <c r="B279">
        <v>2015</v>
      </c>
      <c r="C279">
        <v>1730</v>
      </c>
      <c r="D279">
        <v>278</v>
      </c>
      <c r="E279">
        <v>12000</v>
      </c>
      <c r="F279" t="s">
        <v>25</v>
      </c>
      <c r="G279" s="9">
        <v>5</v>
      </c>
      <c r="H279" t="s">
        <v>68</v>
      </c>
      <c r="I279">
        <v>4</v>
      </c>
      <c r="J279" s="13">
        <f t="shared" si="4"/>
        <v>5</v>
      </c>
    </row>
    <row r="280" spans="1:10" x14ac:dyDescent="0.2">
      <c r="A280" s="6">
        <v>43011</v>
      </c>
      <c r="B280">
        <v>2016</v>
      </c>
      <c r="C280">
        <v>1730</v>
      </c>
      <c r="D280">
        <v>279</v>
      </c>
      <c r="E280">
        <v>9200</v>
      </c>
      <c r="F280" t="s">
        <v>25</v>
      </c>
      <c r="G280" s="9">
        <v>5</v>
      </c>
      <c r="H280" t="s">
        <v>68</v>
      </c>
      <c r="I280">
        <v>3</v>
      </c>
      <c r="J280" s="13">
        <f t="shared" si="4"/>
        <v>5</v>
      </c>
    </row>
    <row r="281" spans="1:10" x14ac:dyDescent="0.2">
      <c r="A281" s="6">
        <v>42948</v>
      </c>
      <c r="B281">
        <v>2016</v>
      </c>
      <c r="C281">
        <v>1730</v>
      </c>
      <c r="D281">
        <v>280</v>
      </c>
      <c r="E281">
        <v>9100</v>
      </c>
      <c r="F281" t="s">
        <v>25</v>
      </c>
      <c r="G281" s="9">
        <v>5</v>
      </c>
      <c r="H281" t="s">
        <v>68</v>
      </c>
      <c r="I281">
        <v>3</v>
      </c>
      <c r="J281" s="13">
        <f t="shared" si="4"/>
        <v>5</v>
      </c>
    </row>
    <row r="282" spans="1:10" x14ac:dyDescent="0.2">
      <c r="A282" s="6">
        <v>42795</v>
      </c>
      <c r="B282">
        <v>2014</v>
      </c>
      <c r="C282">
        <v>1730</v>
      </c>
      <c r="D282">
        <v>281</v>
      </c>
      <c r="E282">
        <v>8250</v>
      </c>
      <c r="F282" t="s">
        <v>25</v>
      </c>
      <c r="G282" s="9">
        <v>5</v>
      </c>
      <c r="H282" t="s">
        <v>68</v>
      </c>
      <c r="I282">
        <v>5</v>
      </c>
      <c r="J282" s="13">
        <f t="shared" si="4"/>
        <v>5</v>
      </c>
    </row>
    <row r="283" spans="1:10" x14ac:dyDescent="0.2">
      <c r="A283" s="6">
        <v>42705</v>
      </c>
      <c r="B283">
        <v>2014</v>
      </c>
      <c r="C283">
        <v>1730</v>
      </c>
      <c r="D283">
        <v>282</v>
      </c>
      <c r="E283">
        <v>8250</v>
      </c>
      <c r="F283" t="s">
        <v>25</v>
      </c>
      <c r="G283" s="9">
        <v>5</v>
      </c>
      <c r="H283" t="s">
        <v>68</v>
      </c>
      <c r="I283">
        <v>5</v>
      </c>
      <c r="J283" s="13">
        <f t="shared" si="4"/>
        <v>5</v>
      </c>
    </row>
    <row r="284" spans="1:10" x14ac:dyDescent="0.2">
      <c r="A284" s="6">
        <v>42675</v>
      </c>
      <c r="B284">
        <v>2016</v>
      </c>
      <c r="C284">
        <v>1730</v>
      </c>
      <c r="D284">
        <v>283</v>
      </c>
      <c r="E284">
        <v>8260</v>
      </c>
      <c r="F284" t="s">
        <v>25</v>
      </c>
      <c r="G284" s="9">
        <v>5</v>
      </c>
      <c r="H284" t="s">
        <v>68</v>
      </c>
      <c r="I284">
        <v>3</v>
      </c>
      <c r="J284" s="13">
        <f t="shared" si="4"/>
        <v>5</v>
      </c>
    </row>
    <row r="285" spans="1:10" x14ac:dyDescent="0.2">
      <c r="A285" s="6">
        <v>42626</v>
      </c>
      <c r="B285">
        <v>2015</v>
      </c>
      <c r="C285">
        <v>1730</v>
      </c>
      <c r="D285">
        <v>284</v>
      </c>
      <c r="E285">
        <v>8650</v>
      </c>
      <c r="F285" t="s">
        <v>25</v>
      </c>
      <c r="G285" s="9">
        <v>5</v>
      </c>
      <c r="H285" t="s">
        <v>68</v>
      </c>
      <c r="I285">
        <v>4</v>
      </c>
      <c r="J285" s="13">
        <f t="shared" si="4"/>
        <v>5</v>
      </c>
    </row>
    <row r="286" spans="1:10" x14ac:dyDescent="0.2">
      <c r="A286" s="6">
        <v>42597</v>
      </c>
      <c r="B286">
        <v>2015</v>
      </c>
      <c r="C286">
        <v>1730</v>
      </c>
      <c r="D286">
        <v>285</v>
      </c>
      <c r="E286">
        <v>8650</v>
      </c>
      <c r="F286" t="s">
        <v>25</v>
      </c>
      <c r="G286" s="15">
        <v>50</v>
      </c>
      <c r="H286" t="s">
        <v>26</v>
      </c>
      <c r="I286">
        <v>4</v>
      </c>
      <c r="J286" s="13">
        <f t="shared" si="4"/>
        <v>2</v>
      </c>
    </row>
    <row r="287" spans="1:10" x14ac:dyDescent="0.2">
      <c r="A287" s="6">
        <v>43563</v>
      </c>
      <c r="B287">
        <v>2014</v>
      </c>
      <c r="C287">
        <v>1730</v>
      </c>
      <c r="D287">
        <v>286</v>
      </c>
      <c r="E287">
        <v>11850</v>
      </c>
      <c r="F287" t="s">
        <v>25</v>
      </c>
      <c r="G287" s="9">
        <v>6</v>
      </c>
      <c r="H287" t="s">
        <v>68</v>
      </c>
      <c r="I287">
        <v>5</v>
      </c>
      <c r="J287" s="13">
        <f t="shared" si="4"/>
        <v>6</v>
      </c>
    </row>
    <row r="288" spans="1:10" x14ac:dyDescent="0.2">
      <c r="A288" s="6">
        <v>43516</v>
      </c>
      <c r="B288">
        <v>2015</v>
      </c>
      <c r="C288">
        <v>1730</v>
      </c>
      <c r="D288">
        <v>287</v>
      </c>
      <c r="E288">
        <v>10750</v>
      </c>
      <c r="F288" t="s">
        <v>25</v>
      </c>
      <c r="G288" s="9">
        <v>6</v>
      </c>
      <c r="H288" t="s">
        <v>68</v>
      </c>
      <c r="I288">
        <v>4</v>
      </c>
      <c r="J288" s="13">
        <f t="shared" si="4"/>
        <v>6</v>
      </c>
    </row>
    <row r="289" spans="1:10" x14ac:dyDescent="0.2">
      <c r="A289" s="6">
        <v>43493</v>
      </c>
      <c r="B289">
        <v>2018</v>
      </c>
      <c r="C289">
        <v>1730</v>
      </c>
      <c r="D289">
        <v>288</v>
      </c>
      <c r="E289">
        <v>10800</v>
      </c>
      <c r="F289" t="s">
        <v>25</v>
      </c>
      <c r="G289" s="9">
        <v>6</v>
      </c>
      <c r="H289" t="s">
        <v>68</v>
      </c>
      <c r="I289">
        <v>1</v>
      </c>
      <c r="J289" s="13">
        <f t="shared" si="4"/>
        <v>6</v>
      </c>
    </row>
    <row r="290" spans="1:10" x14ac:dyDescent="0.2">
      <c r="A290" s="6">
        <v>43426</v>
      </c>
      <c r="B290">
        <v>2015</v>
      </c>
      <c r="C290">
        <v>1730</v>
      </c>
      <c r="D290">
        <v>289</v>
      </c>
      <c r="E290">
        <v>11500</v>
      </c>
      <c r="F290" t="s">
        <v>25</v>
      </c>
      <c r="G290" s="9">
        <v>6</v>
      </c>
      <c r="H290" t="s">
        <v>68</v>
      </c>
      <c r="I290">
        <v>4</v>
      </c>
      <c r="J290" s="13">
        <f t="shared" si="4"/>
        <v>6</v>
      </c>
    </row>
    <row r="291" spans="1:10" x14ac:dyDescent="0.2">
      <c r="A291" s="6">
        <v>43374</v>
      </c>
      <c r="B291">
        <v>2016</v>
      </c>
      <c r="C291">
        <v>1730</v>
      </c>
      <c r="D291">
        <v>290</v>
      </c>
      <c r="E291">
        <v>12300</v>
      </c>
      <c r="F291" t="s">
        <v>25</v>
      </c>
      <c r="G291" s="9">
        <v>6</v>
      </c>
      <c r="H291" t="s">
        <v>68</v>
      </c>
      <c r="I291">
        <v>3</v>
      </c>
      <c r="J291" s="13">
        <f t="shared" si="4"/>
        <v>6</v>
      </c>
    </row>
    <row r="292" spans="1:10" x14ac:dyDescent="0.2">
      <c r="A292" s="6">
        <v>43350</v>
      </c>
      <c r="B292">
        <v>2016</v>
      </c>
      <c r="C292">
        <v>1730</v>
      </c>
      <c r="D292">
        <v>291</v>
      </c>
      <c r="E292">
        <v>12300</v>
      </c>
      <c r="F292" t="s">
        <v>25</v>
      </c>
      <c r="G292" s="9">
        <v>6</v>
      </c>
      <c r="H292" t="s">
        <v>68</v>
      </c>
      <c r="I292">
        <v>3</v>
      </c>
      <c r="J292" s="13">
        <f t="shared" si="4"/>
        <v>6</v>
      </c>
    </row>
    <row r="293" spans="1:10" x14ac:dyDescent="0.2">
      <c r="A293" s="6">
        <v>43340</v>
      </c>
      <c r="B293">
        <v>2015</v>
      </c>
      <c r="C293">
        <v>1730</v>
      </c>
      <c r="D293">
        <v>292</v>
      </c>
      <c r="E293">
        <v>11800</v>
      </c>
      <c r="F293" t="s">
        <v>25</v>
      </c>
      <c r="G293" s="9">
        <v>6</v>
      </c>
      <c r="H293" t="s">
        <v>68</v>
      </c>
      <c r="I293">
        <v>4</v>
      </c>
      <c r="J293" s="13">
        <f t="shared" si="4"/>
        <v>6</v>
      </c>
    </row>
    <row r="294" spans="1:10" x14ac:dyDescent="0.2">
      <c r="A294" s="6">
        <v>43174</v>
      </c>
      <c r="B294">
        <v>2016</v>
      </c>
      <c r="C294">
        <v>1730</v>
      </c>
      <c r="D294">
        <v>293</v>
      </c>
      <c r="E294">
        <v>14250</v>
      </c>
      <c r="F294" t="s">
        <v>25</v>
      </c>
      <c r="G294" s="9">
        <v>6</v>
      </c>
      <c r="H294" t="s">
        <v>68</v>
      </c>
      <c r="I294">
        <v>3</v>
      </c>
      <c r="J294" s="13">
        <f t="shared" si="4"/>
        <v>6</v>
      </c>
    </row>
    <row r="295" spans="1:10" x14ac:dyDescent="0.2">
      <c r="A295" s="6">
        <v>43174</v>
      </c>
      <c r="B295">
        <v>2015</v>
      </c>
      <c r="C295">
        <v>1730</v>
      </c>
      <c r="D295">
        <v>294</v>
      </c>
      <c r="E295">
        <v>13250</v>
      </c>
      <c r="F295" t="s">
        <v>25</v>
      </c>
      <c r="G295" s="9">
        <v>6</v>
      </c>
      <c r="H295" t="s">
        <v>68</v>
      </c>
      <c r="I295">
        <v>4</v>
      </c>
      <c r="J295" s="13">
        <f t="shared" si="4"/>
        <v>6</v>
      </c>
    </row>
    <row r="296" spans="1:10" x14ac:dyDescent="0.2">
      <c r="A296" s="6">
        <v>43049</v>
      </c>
      <c r="B296">
        <v>2015</v>
      </c>
      <c r="C296">
        <v>1730</v>
      </c>
      <c r="D296">
        <v>295</v>
      </c>
      <c r="E296">
        <v>10500</v>
      </c>
      <c r="F296" t="s">
        <v>25</v>
      </c>
      <c r="G296" s="9">
        <v>6</v>
      </c>
      <c r="H296" t="s">
        <v>68</v>
      </c>
      <c r="I296">
        <v>4</v>
      </c>
      <c r="J296" s="13">
        <f t="shared" si="4"/>
        <v>6</v>
      </c>
    </row>
    <row r="297" spans="1:10" x14ac:dyDescent="0.2">
      <c r="A297" s="6">
        <v>42997</v>
      </c>
      <c r="B297">
        <v>2014</v>
      </c>
      <c r="C297">
        <v>1730</v>
      </c>
      <c r="D297">
        <v>296</v>
      </c>
      <c r="E297">
        <v>9500</v>
      </c>
      <c r="F297" t="s">
        <v>25</v>
      </c>
      <c r="G297" s="9">
        <v>6</v>
      </c>
      <c r="H297" t="s">
        <v>68</v>
      </c>
      <c r="I297">
        <v>5</v>
      </c>
      <c r="J297" s="13">
        <f t="shared" si="4"/>
        <v>6</v>
      </c>
    </row>
    <row r="298" spans="1:10" x14ac:dyDescent="0.2">
      <c r="A298" s="6">
        <v>42996</v>
      </c>
      <c r="B298">
        <v>2015</v>
      </c>
      <c r="C298">
        <v>1730</v>
      </c>
      <c r="D298">
        <v>297</v>
      </c>
      <c r="E298">
        <v>9350</v>
      </c>
      <c r="F298" t="s">
        <v>25</v>
      </c>
      <c r="G298" s="9">
        <v>6</v>
      </c>
      <c r="H298" t="s">
        <v>68</v>
      </c>
      <c r="I298">
        <v>4</v>
      </c>
      <c r="J298" s="13">
        <f t="shared" si="4"/>
        <v>6</v>
      </c>
    </row>
    <row r="299" spans="1:10" x14ac:dyDescent="0.2">
      <c r="A299" s="6">
        <v>42967</v>
      </c>
      <c r="B299">
        <v>2015</v>
      </c>
      <c r="C299">
        <v>1730</v>
      </c>
      <c r="D299">
        <v>298</v>
      </c>
      <c r="E299">
        <v>9700</v>
      </c>
      <c r="F299" t="s">
        <v>25</v>
      </c>
      <c r="G299" s="9">
        <v>6</v>
      </c>
      <c r="H299" t="s">
        <v>68</v>
      </c>
      <c r="I299">
        <v>4</v>
      </c>
      <c r="J299" s="13">
        <f t="shared" si="4"/>
        <v>6</v>
      </c>
    </row>
    <row r="300" spans="1:10" x14ac:dyDescent="0.2">
      <c r="A300" s="6">
        <v>42830</v>
      </c>
      <c r="B300">
        <v>2016</v>
      </c>
      <c r="C300">
        <v>1730</v>
      </c>
      <c r="D300">
        <v>299</v>
      </c>
      <c r="E300">
        <v>9000</v>
      </c>
      <c r="F300" t="s">
        <v>25</v>
      </c>
      <c r="G300" s="9">
        <v>6</v>
      </c>
      <c r="H300" t="s">
        <v>68</v>
      </c>
      <c r="I300">
        <v>3</v>
      </c>
      <c r="J300" s="13">
        <f t="shared" si="4"/>
        <v>6</v>
      </c>
    </row>
    <row r="301" spans="1:10" x14ac:dyDescent="0.2">
      <c r="A301" s="6">
        <v>42824</v>
      </c>
      <c r="B301">
        <v>2015</v>
      </c>
      <c r="C301">
        <v>1730</v>
      </c>
      <c r="D301">
        <v>300</v>
      </c>
      <c r="E301">
        <v>8400</v>
      </c>
      <c r="F301" t="s">
        <v>25</v>
      </c>
      <c r="G301" s="9">
        <v>6</v>
      </c>
      <c r="H301" t="s">
        <v>68</v>
      </c>
      <c r="I301">
        <v>4</v>
      </c>
      <c r="J301" s="13">
        <f t="shared" si="4"/>
        <v>6</v>
      </c>
    </row>
    <row r="302" spans="1:10" x14ac:dyDescent="0.2">
      <c r="A302" s="6">
        <v>42530</v>
      </c>
      <c r="B302">
        <v>2016</v>
      </c>
      <c r="C302">
        <v>1730</v>
      </c>
      <c r="D302">
        <v>301</v>
      </c>
      <c r="E302">
        <v>8700</v>
      </c>
      <c r="F302" t="s">
        <v>25</v>
      </c>
      <c r="G302" s="9">
        <v>6</v>
      </c>
      <c r="H302" t="s">
        <v>68</v>
      </c>
      <c r="I302">
        <v>3</v>
      </c>
      <c r="J302" s="13">
        <f t="shared" si="4"/>
        <v>6</v>
      </c>
    </row>
    <row r="303" spans="1:10" x14ac:dyDescent="0.2">
      <c r="A303" s="6">
        <v>42499</v>
      </c>
      <c r="B303">
        <v>2016</v>
      </c>
      <c r="C303">
        <v>1730</v>
      </c>
      <c r="D303">
        <v>302</v>
      </c>
      <c r="E303">
        <v>8650</v>
      </c>
      <c r="F303" t="s">
        <v>25</v>
      </c>
      <c r="G303" s="9">
        <v>6</v>
      </c>
      <c r="H303" t="s">
        <v>68</v>
      </c>
      <c r="I303">
        <v>3</v>
      </c>
      <c r="J303" s="13">
        <f t="shared" si="4"/>
        <v>6</v>
      </c>
    </row>
    <row r="304" spans="1:10" x14ac:dyDescent="0.2">
      <c r="A304" s="6">
        <v>42430</v>
      </c>
      <c r="B304">
        <v>2015</v>
      </c>
      <c r="C304">
        <v>1730</v>
      </c>
      <c r="D304">
        <v>303</v>
      </c>
      <c r="E304">
        <v>8500</v>
      </c>
      <c r="F304" t="s">
        <v>25</v>
      </c>
      <c r="G304" s="9">
        <v>6</v>
      </c>
      <c r="H304" t="s">
        <v>68</v>
      </c>
      <c r="I304">
        <v>4</v>
      </c>
      <c r="J304" s="13">
        <f t="shared" si="4"/>
        <v>6</v>
      </c>
    </row>
    <row r="305" spans="1:10" x14ac:dyDescent="0.2">
      <c r="A305" s="6">
        <v>42401</v>
      </c>
      <c r="B305">
        <v>2015</v>
      </c>
      <c r="C305">
        <v>1730</v>
      </c>
      <c r="D305">
        <v>304</v>
      </c>
      <c r="E305">
        <v>8400</v>
      </c>
      <c r="F305" t="s">
        <v>25</v>
      </c>
      <c r="G305" s="9">
        <v>6</v>
      </c>
      <c r="H305" t="s">
        <v>68</v>
      </c>
      <c r="I305">
        <v>4</v>
      </c>
      <c r="J305" s="13">
        <f t="shared" si="4"/>
        <v>6</v>
      </c>
    </row>
    <row r="306" spans="1:10" x14ac:dyDescent="0.2">
      <c r="A306" s="6">
        <v>42795</v>
      </c>
      <c r="B306">
        <v>2014</v>
      </c>
      <c r="C306">
        <v>1730</v>
      </c>
      <c r="D306">
        <v>305</v>
      </c>
      <c r="E306">
        <v>8500</v>
      </c>
      <c r="F306" t="s">
        <v>25</v>
      </c>
      <c r="G306" s="15">
        <v>60</v>
      </c>
      <c r="H306" t="s">
        <v>26</v>
      </c>
      <c r="I306">
        <v>5</v>
      </c>
      <c r="J306" s="13">
        <f t="shared" si="4"/>
        <v>2</v>
      </c>
    </row>
    <row r="307" spans="1:10" x14ac:dyDescent="0.2">
      <c r="A307" s="6">
        <v>42789</v>
      </c>
      <c r="B307">
        <v>2016</v>
      </c>
      <c r="C307">
        <v>1730</v>
      </c>
      <c r="D307">
        <v>306</v>
      </c>
      <c r="E307">
        <v>8500</v>
      </c>
      <c r="F307" t="s">
        <v>25</v>
      </c>
      <c r="G307" s="15">
        <v>60</v>
      </c>
      <c r="H307" t="s">
        <v>26</v>
      </c>
      <c r="I307">
        <v>3</v>
      </c>
      <c r="J307" s="13">
        <f t="shared" si="4"/>
        <v>2</v>
      </c>
    </row>
    <row r="308" spans="1:10" x14ac:dyDescent="0.2">
      <c r="A308" s="6">
        <v>42478</v>
      </c>
      <c r="B308">
        <v>2014</v>
      </c>
      <c r="C308">
        <v>1730</v>
      </c>
      <c r="D308">
        <v>307</v>
      </c>
      <c r="E308">
        <v>8600</v>
      </c>
      <c r="F308" t="s">
        <v>25</v>
      </c>
      <c r="G308" s="15">
        <v>60</v>
      </c>
      <c r="H308" t="s">
        <v>26</v>
      </c>
      <c r="I308">
        <v>5</v>
      </c>
      <c r="J308" s="13">
        <f t="shared" si="4"/>
        <v>2</v>
      </c>
    </row>
    <row r="309" spans="1:10" x14ac:dyDescent="0.2">
      <c r="A309" s="6">
        <v>43451</v>
      </c>
      <c r="B309">
        <v>2016</v>
      </c>
      <c r="C309">
        <v>1730</v>
      </c>
      <c r="D309">
        <v>308</v>
      </c>
      <c r="E309">
        <v>11000</v>
      </c>
      <c r="F309" t="s">
        <v>25</v>
      </c>
      <c r="G309" s="9">
        <v>7</v>
      </c>
      <c r="H309" t="s">
        <v>68</v>
      </c>
      <c r="I309">
        <v>3</v>
      </c>
      <c r="J309" s="13">
        <f t="shared" si="4"/>
        <v>7</v>
      </c>
    </row>
    <row r="310" spans="1:10" x14ac:dyDescent="0.2">
      <c r="A310" s="6">
        <v>43144</v>
      </c>
      <c r="B310">
        <v>2015</v>
      </c>
      <c r="C310">
        <v>1730</v>
      </c>
      <c r="D310">
        <v>309</v>
      </c>
      <c r="E310">
        <v>12200</v>
      </c>
      <c r="F310" t="s">
        <v>25</v>
      </c>
      <c r="G310" s="9">
        <v>7</v>
      </c>
      <c r="H310" t="s">
        <v>68</v>
      </c>
      <c r="I310">
        <v>4</v>
      </c>
      <c r="J310" s="13">
        <f t="shared" si="4"/>
        <v>7</v>
      </c>
    </row>
    <row r="311" spans="1:10" x14ac:dyDescent="0.2">
      <c r="A311" s="6">
        <v>42789</v>
      </c>
      <c r="B311">
        <v>2015</v>
      </c>
      <c r="C311">
        <v>1730</v>
      </c>
      <c r="D311">
        <v>310</v>
      </c>
      <c r="E311">
        <v>8250</v>
      </c>
      <c r="F311" t="s">
        <v>25</v>
      </c>
      <c r="G311" s="9">
        <v>7</v>
      </c>
      <c r="H311" t="s">
        <v>68</v>
      </c>
      <c r="I311">
        <v>4</v>
      </c>
      <c r="J311" s="13">
        <f t="shared" si="4"/>
        <v>7</v>
      </c>
    </row>
    <row r="312" spans="1:10" x14ac:dyDescent="0.2">
      <c r="A312" s="6">
        <v>42654</v>
      </c>
      <c r="B312">
        <v>2016</v>
      </c>
      <c r="C312">
        <v>1730</v>
      </c>
      <c r="D312">
        <v>311</v>
      </c>
      <c r="E312">
        <v>8450</v>
      </c>
      <c r="F312" t="s">
        <v>25</v>
      </c>
      <c r="G312" s="9">
        <v>7</v>
      </c>
      <c r="H312" t="s">
        <v>68</v>
      </c>
      <c r="I312">
        <v>3</v>
      </c>
      <c r="J312" s="13">
        <f t="shared" si="4"/>
        <v>7</v>
      </c>
    </row>
    <row r="313" spans="1:10" x14ac:dyDescent="0.2">
      <c r="A313" s="6">
        <v>42450</v>
      </c>
      <c r="B313">
        <v>2016</v>
      </c>
      <c r="C313">
        <v>1730</v>
      </c>
      <c r="D313">
        <v>312</v>
      </c>
      <c r="E313">
        <v>8500</v>
      </c>
      <c r="F313" t="s">
        <v>25</v>
      </c>
      <c r="G313" s="9">
        <v>7</v>
      </c>
      <c r="H313" t="s">
        <v>68</v>
      </c>
      <c r="I313">
        <v>3</v>
      </c>
      <c r="J313" s="13">
        <f t="shared" si="4"/>
        <v>7</v>
      </c>
    </row>
    <row r="314" spans="1:10" x14ac:dyDescent="0.2">
      <c r="A314" s="6">
        <v>43579</v>
      </c>
      <c r="B314">
        <v>2014</v>
      </c>
      <c r="C314">
        <v>1730</v>
      </c>
      <c r="D314">
        <v>313</v>
      </c>
      <c r="E314">
        <v>11350</v>
      </c>
      <c r="F314" t="s">
        <v>25</v>
      </c>
      <c r="G314" s="9">
        <v>8</v>
      </c>
      <c r="H314" t="s">
        <v>68</v>
      </c>
      <c r="I314">
        <v>5</v>
      </c>
      <c r="J314" s="13">
        <f t="shared" si="4"/>
        <v>8</v>
      </c>
    </row>
    <row r="315" spans="1:10" x14ac:dyDescent="0.2">
      <c r="A315" s="6">
        <v>43503</v>
      </c>
      <c r="B315">
        <v>2015</v>
      </c>
      <c r="C315">
        <v>1730</v>
      </c>
      <c r="D315">
        <v>314</v>
      </c>
      <c r="E315">
        <v>10200</v>
      </c>
      <c r="F315" t="s">
        <v>25</v>
      </c>
      <c r="G315" s="9">
        <v>8</v>
      </c>
      <c r="H315" t="s">
        <v>68</v>
      </c>
      <c r="I315">
        <v>4</v>
      </c>
      <c r="J315" s="13">
        <f t="shared" si="4"/>
        <v>8</v>
      </c>
    </row>
    <row r="316" spans="1:10" x14ac:dyDescent="0.2">
      <c r="A316" s="6">
        <v>43202</v>
      </c>
      <c r="B316">
        <v>2016</v>
      </c>
      <c r="C316">
        <v>1730</v>
      </c>
      <c r="D316">
        <v>315</v>
      </c>
      <c r="E316">
        <v>14400</v>
      </c>
      <c r="F316" t="s">
        <v>25</v>
      </c>
      <c r="G316" s="9">
        <v>8</v>
      </c>
      <c r="H316" t="s">
        <v>68</v>
      </c>
      <c r="I316">
        <v>3</v>
      </c>
      <c r="J316" s="13">
        <f t="shared" si="4"/>
        <v>8</v>
      </c>
    </row>
    <row r="317" spans="1:10" x14ac:dyDescent="0.2">
      <c r="A317" s="6">
        <v>42712</v>
      </c>
      <c r="B317">
        <v>2014</v>
      </c>
      <c r="C317">
        <v>1730</v>
      </c>
      <c r="D317">
        <v>316</v>
      </c>
      <c r="E317">
        <v>8250</v>
      </c>
      <c r="F317" t="s">
        <v>25</v>
      </c>
      <c r="G317" s="9">
        <v>8</v>
      </c>
      <c r="H317" t="s">
        <v>68</v>
      </c>
      <c r="I317">
        <v>5</v>
      </c>
      <c r="J317" s="13">
        <f t="shared" si="4"/>
        <v>8</v>
      </c>
    </row>
    <row r="318" spans="1:10" x14ac:dyDescent="0.2">
      <c r="A318" s="6">
        <v>42692</v>
      </c>
      <c r="B318">
        <v>2015</v>
      </c>
      <c r="C318">
        <v>1730</v>
      </c>
      <c r="D318">
        <v>317</v>
      </c>
      <c r="E318">
        <v>8200</v>
      </c>
      <c r="F318" t="s">
        <v>25</v>
      </c>
      <c r="G318" s="9">
        <v>8</v>
      </c>
      <c r="H318" t="s">
        <v>68</v>
      </c>
      <c r="I318">
        <v>4</v>
      </c>
      <c r="J318" s="13">
        <f t="shared" si="4"/>
        <v>8</v>
      </c>
    </row>
    <row r="319" spans="1:10" x14ac:dyDescent="0.2">
      <c r="A319" s="6">
        <v>43410</v>
      </c>
      <c r="B319">
        <v>2013</v>
      </c>
      <c r="C319">
        <v>1732</v>
      </c>
      <c r="D319">
        <v>318</v>
      </c>
      <c r="E319">
        <v>8750</v>
      </c>
      <c r="F319" t="s">
        <v>25</v>
      </c>
      <c r="G319" s="9">
        <v>12</v>
      </c>
      <c r="H319" t="s">
        <v>68</v>
      </c>
      <c r="I319">
        <v>6</v>
      </c>
      <c r="J319" s="13">
        <f t="shared" si="4"/>
        <v>12</v>
      </c>
    </row>
    <row r="320" spans="1:10" x14ac:dyDescent="0.2">
      <c r="A320" s="6">
        <v>43116</v>
      </c>
      <c r="B320">
        <v>2014</v>
      </c>
      <c r="C320">
        <v>1732</v>
      </c>
      <c r="D320">
        <v>319</v>
      </c>
      <c r="E320">
        <v>9375</v>
      </c>
      <c r="F320" t="s">
        <v>25</v>
      </c>
      <c r="G320" s="9">
        <v>4</v>
      </c>
      <c r="H320" t="s">
        <v>68</v>
      </c>
      <c r="I320">
        <v>5</v>
      </c>
      <c r="J320" s="13">
        <f t="shared" si="4"/>
        <v>4</v>
      </c>
    </row>
    <row r="321" spans="1:10" x14ac:dyDescent="0.2">
      <c r="A321" s="6">
        <v>42948</v>
      </c>
      <c r="B321">
        <v>2014</v>
      </c>
      <c r="C321">
        <v>1732</v>
      </c>
      <c r="D321">
        <v>320</v>
      </c>
      <c r="E321">
        <v>7500</v>
      </c>
      <c r="F321" t="s">
        <v>25</v>
      </c>
      <c r="G321" s="9">
        <v>5</v>
      </c>
      <c r="H321" t="s">
        <v>68</v>
      </c>
      <c r="I321">
        <v>5</v>
      </c>
      <c r="J321" s="13">
        <f t="shared" si="4"/>
        <v>5</v>
      </c>
    </row>
    <row r="322" spans="1:10" x14ac:dyDescent="0.2">
      <c r="A322" s="6">
        <v>42773</v>
      </c>
      <c r="B322">
        <v>2013</v>
      </c>
      <c r="C322">
        <v>1732</v>
      </c>
      <c r="D322">
        <v>321</v>
      </c>
      <c r="E322">
        <v>6300</v>
      </c>
      <c r="F322" t="s">
        <v>25</v>
      </c>
      <c r="G322" s="9">
        <v>5</v>
      </c>
      <c r="H322" t="s">
        <v>68</v>
      </c>
      <c r="I322">
        <v>6</v>
      </c>
      <c r="J322" s="13">
        <f t="shared" ref="J322:J385" si="5">IF(H322="days",ROUND(G322/30,0),IF(H322="years",G322*12,G322))</f>
        <v>5</v>
      </c>
    </row>
    <row r="323" spans="1:10" x14ac:dyDescent="0.2">
      <c r="A323" s="6">
        <v>43529</v>
      </c>
      <c r="B323">
        <v>2014</v>
      </c>
      <c r="C323">
        <v>1732</v>
      </c>
      <c r="D323">
        <v>322</v>
      </c>
      <c r="E323">
        <v>7500</v>
      </c>
      <c r="F323" t="s">
        <v>25</v>
      </c>
      <c r="G323" s="9">
        <v>6</v>
      </c>
      <c r="H323" t="s">
        <v>68</v>
      </c>
      <c r="I323">
        <v>5</v>
      </c>
      <c r="J323" s="13">
        <f t="shared" si="5"/>
        <v>6</v>
      </c>
    </row>
    <row r="324" spans="1:10" x14ac:dyDescent="0.2">
      <c r="A324" s="6">
        <v>43223</v>
      </c>
      <c r="B324">
        <v>2013</v>
      </c>
      <c r="C324">
        <v>1732</v>
      </c>
      <c r="D324">
        <v>323</v>
      </c>
      <c r="E324">
        <v>10650</v>
      </c>
      <c r="F324" t="s">
        <v>25</v>
      </c>
      <c r="G324" s="9">
        <v>6</v>
      </c>
      <c r="H324" t="s">
        <v>68</v>
      </c>
      <c r="I324">
        <v>6</v>
      </c>
      <c r="J324" s="13">
        <f t="shared" si="5"/>
        <v>6</v>
      </c>
    </row>
    <row r="325" spans="1:10" x14ac:dyDescent="0.2">
      <c r="A325" s="6">
        <v>42795</v>
      </c>
      <c r="B325">
        <v>2014</v>
      </c>
      <c r="C325">
        <v>1732</v>
      </c>
      <c r="D325">
        <v>324</v>
      </c>
      <c r="E325">
        <v>6750</v>
      </c>
      <c r="F325" t="s">
        <v>25</v>
      </c>
      <c r="G325" s="9">
        <v>6</v>
      </c>
      <c r="H325" t="s">
        <v>68</v>
      </c>
      <c r="I325">
        <v>5</v>
      </c>
      <c r="J325" s="13">
        <f t="shared" si="5"/>
        <v>6</v>
      </c>
    </row>
    <row r="326" spans="1:10" x14ac:dyDescent="0.2">
      <c r="A326" s="6">
        <v>42570</v>
      </c>
      <c r="B326">
        <v>2013</v>
      </c>
      <c r="C326">
        <v>1732</v>
      </c>
      <c r="D326">
        <v>325</v>
      </c>
      <c r="E326">
        <v>7000</v>
      </c>
      <c r="F326" t="s">
        <v>25</v>
      </c>
      <c r="G326" s="9">
        <v>6</v>
      </c>
      <c r="H326" t="s">
        <v>68</v>
      </c>
      <c r="I326">
        <v>6</v>
      </c>
      <c r="J326" s="13">
        <f t="shared" si="5"/>
        <v>6</v>
      </c>
    </row>
    <row r="327" spans="1:10" x14ac:dyDescent="0.2">
      <c r="A327" s="6">
        <v>42375</v>
      </c>
      <c r="B327">
        <v>2013</v>
      </c>
      <c r="C327">
        <v>1732</v>
      </c>
      <c r="D327">
        <v>326</v>
      </c>
      <c r="E327">
        <v>6500</v>
      </c>
      <c r="F327" t="s">
        <v>25</v>
      </c>
      <c r="G327" s="9">
        <v>6</v>
      </c>
      <c r="H327" t="s">
        <v>68</v>
      </c>
      <c r="I327">
        <v>6</v>
      </c>
      <c r="J327" s="13">
        <f t="shared" si="5"/>
        <v>6</v>
      </c>
    </row>
    <row r="328" spans="1:10" x14ac:dyDescent="0.2">
      <c r="A328" s="6">
        <v>42436</v>
      </c>
      <c r="B328">
        <v>2014</v>
      </c>
      <c r="C328">
        <v>1732</v>
      </c>
      <c r="D328">
        <v>327</v>
      </c>
      <c r="E328">
        <v>8000</v>
      </c>
      <c r="F328" t="s">
        <v>25</v>
      </c>
      <c r="G328" s="9">
        <v>7</v>
      </c>
      <c r="H328" t="s">
        <v>68</v>
      </c>
      <c r="I328">
        <v>5</v>
      </c>
      <c r="J328" s="13">
        <f t="shared" si="5"/>
        <v>7</v>
      </c>
    </row>
    <row r="329" spans="1:10" x14ac:dyDescent="0.2">
      <c r="A329" s="6">
        <v>43357</v>
      </c>
      <c r="B329">
        <v>2014</v>
      </c>
      <c r="C329">
        <v>1732</v>
      </c>
      <c r="D329">
        <v>328</v>
      </c>
      <c r="E329">
        <v>10250</v>
      </c>
      <c r="F329" t="s">
        <v>25</v>
      </c>
      <c r="G329" s="9">
        <v>8</v>
      </c>
      <c r="H329" t="s">
        <v>68</v>
      </c>
      <c r="I329">
        <v>5</v>
      </c>
      <c r="J329" s="13">
        <f t="shared" si="5"/>
        <v>8</v>
      </c>
    </row>
    <row r="330" spans="1:10" x14ac:dyDescent="0.2">
      <c r="A330" s="6">
        <v>42614</v>
      </c>
      <c r="B330">
        <v>2014</v>
      </c>
      <c r="C330">
        <v>1732</v>
      </c>
      <c r="D330">
        <v>329</v>
      </c>
      <c r="E330">
        <v>6900</v>
      </c>
      <c r="F330" t="s">
        <v>25</v>
      </c>
      <c r="G330" s="9">
        <v>9</v>
      </c>
      <c r="H330" t="s">
        <v>68</v>
      </c>
      <c r="I330">
        <v>5</v>
      </c>
      <c r="J330" s="13">
        <f t="shared" si="5"/>
        <v>9</v>
      </c>
    </row>
    <row r="331" spans="1:10" x14ac:dyDescent="0.2">
      <c r="A331" s="6">
        <v>43482</v>
      </c>
      <c r="B331">
        <v>2011</v>
      </c>
      <c r="C331">
        <v>1740</v>
      </c>
      <c r="D331">
        <v>330</v>
      </c>
      <c r="E331">
        <v>6950</v>
      </c>
      <c r="F331" t="s">
        <v>25</v>
      </c>
      <c r="G331" s="9">
        <v>10</v>
      </c>
      <c r="H331" t="s">
        <v>68</v>
      </c>
      <c r="I331">
        <v>8</v>
      </c>
      <c r="J331" s="13">
        <f t="shared" si="5"/>
        <v>10</v>
      </c>
    </row>
    <row r="332" spans="1:10" x14ac:dyDescent="0.2">
      <c r="A332" s="6">
        <v>42888</v>
      </c>
      <c r="B332">
        <v>2011</v>
      </c>
      <c r="C332">
        <v>1740</v>
      </c>
      <c r="D332">
        <v>331</v>
      </c>
      <c r="E332">
        <v>7500</v>
      </c>
      <c r="F332" t="s">
        <v>25</v>
      </c>
      <c r="G332" s="9">
        <v>10</v>
      </c>
      <c r="H332" t="s">
        <v>68</v>
      </c>
      <c r="I332">
        <v>8</v>
      </c>
      <c r="J332" s="13">
        <f t="shared" si="5"/>
        <v>10</v>
      </c>
    </row>
    <row r="333" spans="1:10" x14ac:dyDescent="0.2">
      <c r="A333" s="6">
        <v>42579</v>
      </c>
      <c r="B333">
        <v>2011</v>
      </c>
      <c r="C333">
        <v>1740</v>
      </c>
      <c r="D333">
        <v>332</v>
      </c>
      <c r="E333">
        <v>7000</v>
      </c>
      <c r="F333" t="s">
        <v>25</v>
      </c>
      <c r="G333" s="9">
        <v>10</v>
      </c>
      <c r="H333" t="s">
        <v>68</v>
      </c>
      <c r="I333">
        <v>8</v>
      </c>
      <c r="J333" s="13">
        <f t="shared" si="5"/>
        <v>10</v>
      </c>
    </row>
    <row r="334" spans="1:10" x14ac:dyDescent="0.2">
      <c r="A334" s="6">
        <v>42564</v>
      </c>
      <c r="B334">
        <v>2012</v>
      </c>
      <c r="C334">
        <v>1740</v>
      </c>
      <c r="D334">
        <v>333</v>
      </c>
      <c r="E334">
        <v>6750</v>
      </c>
      <c r="F334" t="s">
        <v>25</v>
      </c>
      <c r="G334" s="9">
        <v>11</v>
      </c>
      <c r="H334" t="s">
        <v>68</v>
      </c>
      <c r="I334">
        <v>7</v>
      </c>
      <c r="J334" s="13">
        <f t="shared" si="5"/>
        <v>11</v>
      </c>
    </row>
    <row r="335" spans="1:10" x14ac:dyDescent="0.2">
      <c r="A335" s="6">
        <v>43566</v>
      </c>
      <c r="B335">
        <v>2011</v>
      </c>
      <c r="C335">
        <v>1740</v>
      </c>
      <c r="D335">
        <v>334</v>
      </c>
      <c r="E335">
        <v>7950</v>
      </c>
      <c r="F335" t="s">
        <v>25</v>
      </c>
      <c r="G335" s="9">
        <v>12</v>
      </c>
      <c r="H335" t="s">
        <v>68</v>
      </c>
      <c r="I335">
        <v>8</v>
      </c>
      <c r="J335" s="13">
        <f t="shared" si="5"/>
        <v>12</v>
      </c>
    </row>
    <row r="336" spans="1:10" x14ac:dyDescent="0.2">
      <c r="A336" s="6">
        <v>42993</v>
      </c>
      <c r="B336">
        <v>2012</v>
      </c>
      <c r="C336">
        <v>1740</v>
      </c>
      <c r="D336">
        <v>335</v>
      </c>
      <c r="E336">
        <v>8150</v>
      </c>
      <c r="F336" t="s">
        <v>25</v>
      </c>
      <c r="G336" s="9">
        <v>12</v>
      </c>
      <c r="H336" t="s">
        <v>68</v>
      </c>
      <c r="I336">
        <v>7</v>
      </c>
      <c r="J336" s="13">
        <f t="shared" si="5"/>
        <v>12</v>
      </c>
    </row>
    <row r="337" spans="1:10" x14ac:dyDescent="0.2">
      <c r="A337" s="6">
        <v>42821</v>
      </c>
      <c r="B337">
        <v>2012</v>
      </c>
      <c r="C337">
        <v>1740</v>
      </c>
      <c r="D337">
        <v>336</v>
      </c>
      <c r="E337">
        <v>6750</v>
      </c>
      <c r="F337" t="s">
        <v>25</v>
      </c>
      <c r="G337" s="9">
        <v>12</v>
      </c>
      <c r="H337" t="s">
        <v>68</v>
      </c>
      <c r="I337">
        <v>7</v>
      </c>
      <c r="J337" s="13">
        <f t="shared" si="5"/>
        <v>12</v>
      </c>
    </row>
    <row r="338" spans="1:10" x14ac:dyDescent="0.2">
      <c r="A338" s="6">
        <v>42814</v>
      </c>
      <c r="B338">
        <v>2011</v>
      </c>
      <c r="C338">
        <v>1740</v>
      </c>
      <c r="D338">
        <v>337</v>
      </c>
      <c r="E338">
        <v>6500</v>
      </c>
      <c r="F338" t="s">
        <v>25</v>
      </c>
      <c r="G338" s="9">
        <v>12</v>
      </c>
      <c r="H338" t="s">
        <v>68</v>
      </c>
      <c r="I338">
        <v>8</v>
      </c>
      <c r="J338" s="13">
        <f t="shared" si="5"/>
        <v>12</v>
      </c>
    </row>
    <row r="339" spans="1:10" x14ac:dyDescent="0.2">
      <c r="A339" s="6">
        <v>42670</v>
      </c>
      <c r="B339">
        <v>2011</v>
      </c>
      <c r="C339">
        <v>1740</v>
      </c>
      <c r="D339">
        <v>338</v>
      </c>
      <c r="E339">
        <v>7500</v>
      </c>
      <c r="F339" t="s">
        <v>25</v>
      </c>
      <c r="G339" s="9">
        <v>12</v>
      </c>
      <c r="H339" t="s">
        <v>68</v>
      </c>
      <c r="I339">
        <v>8</v>
      </c>
      <c r="J339" s="13">
        <f t="shared" si="5"/>
        <v>12</v>
      </c>
    </row>
    <row r="340" spans="1:10" x14ac:dyDescent="0.2">
      <c r="A340" s="6">
        <v>42443</v>
      </c>
      <c r="B340">
        <v>2011</v>
      </c>
      <c r="C340">
        <v>1740</v>
      </c>
      <c r="D340">
        <v>339</v>
      </c>
      <c r="E340">
        <v>7200</v>
      </c>
      <c r="F340" t="s">
        <v>25</v>
      </c>
      <c r="G340" s="9">
        <v>12</v>
      </c>
      <c r="H340" t="s">
        <v>68</v>
      </c>
      <c r="I340">
        <v>8</v>
      </c>
      <c r="J340" s="13">
        <f t="shared" si="5"/>
        <v>12</v>
      </c>
    </row>
    <row r="341" spans="1:10" x14ac:dyDescent="0.2">
      <c r="A341" s="6">
        <v>42804</v>
      </c>
      <c r="B341">
        <v>2011</v>
      </c>
      <c r="C341">
        <v>1740</v>
      </c>
      <c r="D341">
        <v>340</v>
      </c>
      <c r="E341">
        <v>6500</v>
      </c>
      <c r="F341" t="s">
        <v>25</v>
      </c>
      <c r="G341" s="15">
        <v>150</v>
      </c>
      <c r="H341" t="s">
        <v>26</v>
      </c>
      <c r="I341">
        <v>8</v>
      </c>
      <c r="J341" s="13">
        <f t="shared" si="5"/>
        <v>5</v>
      </c>
    </row>
    <row r="342" spans="1:10" x14ac:dyDescent="0.2">
      <c r="A342" s="6">
        <v>42907</v>
      </c>
      <c r="B342">
        <v>2011</v>
      </c>
      <c r="C342">
        <v>1740</v>
      </c>
      <c r="D342">
        <v>341</v>
      </c>
      <c r="E342">
        <v>7500</v>
      </c>
      <c r="F342" t="s">
        <v>25</v>
      </c>
      <c r="G342" s="9">
        <v>2</v>
      </c>
      <c r="H342" t="s">
        <v>68</v>
      </c>
      <c r="I342">
        <v>8</v>
      </c>
      <c r="J342" s="13">
        <f t="shared" si="5"/>
        <v>2</v>
      </c>
    </row>
    <row r="343" spans="1:10" x14ac:dyDescent="0.2">
      <c r="A343" s="6">
        <v>43301</v>
      </c>
      <c r="B343">
        <v>2012</v>
      </c>
      <c r="C343">
        <v>1740</v>
      </c>
      <c r="D343">
        <v>342</v>
      </c>
      <c r="E343">
        <v>10000</v>
      </c>
      <c r="F343" t="s">
        <v>25</v>
      </c>
      <c r="G343" s="9">
        <v>3</v>
      </c>
      <c r="H343" t="s">
        <v>68</v>
      </c>
      <c r="I343">
        <v>7</v>
      </c>
      <c r="J343" s="13">
        <f t="shared" si="5"/>
        <v>3</v>
      </c>
    </row>
    <row r="344" spans="1:10" x14ac:dyDescent="0.2">
      <c r="A344" s="6">
        <v>42709</v>
      </c>
      <c r="B344">
        <v>2012</v>
      </c>
      <c r="C344">
        <v>1740</v>
      </c>
      <c r="D344">
        <v>343</v>
      </c>
      <c r="E344">
        <v>6400</v>
      </c>
      <c r="F344" t="s">
        <v>25</v>
      </c>
      <c r="G344" s="9">
        <v>3</v>
      </c>
      <c r="H344" t="s">
        <v>68</v>
      </c>
      <c r="I344">
        <v>7</v>
      </c>
      <c r="J344" s="13">
        <f t="shared" si="5"/>
        <v>3</v>
      </c>
    </row>
    <row r="345" spans="1:10" x14ac:dyDescent="0.2">
      <c r="A345" s="6">
        <v>42705</v>
      </c>
      <c r="B345">
        <v>2013</v>
      </c>
      <c r="C345">
        <v>1740</v>
      </c>
      <c r="D345">
        <v>344</v>
      </c>
      <c r="E345">
        <v>6400</v>
      </c>
      <c r="F345" t="s">
        <v>25</v>
      </c>
      <c r="G345" s="9">
        <v>3</v>
      </c>
      <c r="H345" t="s">
        <v>68</v>
      </c>
      <c r="I345">
        <v>6</v>
      </c>
      <c r="J345" s="13">
        <f t="shared" si="5"/>
        <v>3</v>
      </c>
    </row>
    <row r="346" spans="1:10" x14ac:dyDescent="0.2">
      <c r="A346" s="6">
        <v>43229</v>
      </c>
      <c r="B346">
        <v>2011</v>
      </c>
      <c r="C346">
        <v>1740</v>
      </c>
      <c r="D346">
        <v>345</v>
      </c>
      <c r="E346">
        <v>11250</v>
      </c>
      <c r="F346" t="s">
        <v>25</v>
      </c>
      <c r="G346" s="15">
        <v>30</v>
      </c>
      <c r="H346" t="s">
        <v>26</v>
      </c>
      <c r="I346">
        <v>8</v>
      </c>
      <c r="J346" s="13">
        <f t="shared" si="5"/>
        <v>1</v>
      </c>
    </row>
    <row r="347" spans="1:10" x14ac:dyDescent="0.2">
      <c r="A347" s="6">
        <v>42459</v>
      </c>
      <c r="B347">
        <v>2012</v>
      </c>
      <c r="C347">
        <v>1740</v>
      </c>
      <c r="D347">
        <v>346</v>
      </c>
      <c r="E347">
        <v>7200</v>
      </c>
      <c r="F347" t="s">
        <v>25</v>
      </c>
      <c r="G347" s="15">
        <v>30</v>
      </c>
      <c r="H347" t="s">
        <v>26</v>
      </c>
      <c r="I347">
        <v>7</v>
      </c>
      <c r="J347" s="13">
        <f t="shared" si="5"/>
        <v>1</v>
      </c>
    </row>
    <row r="348" spans="1:10" x14ac:dyDescent="0.2">
      <c r="A348" s="6">
        <v>43201</v>
      </c>
      <c r="B348">
        <v>2011</v>
      </c>
      <c r="C348">
        <v>1740</v>
      </c>
      <c r="D348">
        <v>347</v>
      </c>
      <c r="E348">
        <v>10750</v>
      </c>
      <c r="F348" t="s">
        <v>25</v>
      </c>
      <c r="G348" s="9">
        <v>4</v>
      </c>
      <c r="H348" t="s">
        <v>68</v>
      </c>
      <c r="I348">
        <v>8</v>
      </c>
      <c r="J348" s="13">
        <f t="shared" si="5"/>
        <v>4</v>
      </c>
    </row>
    <row r="349" spans="1:10" x14ac:dyDescent="0.2">
      <c r="A349" s="6">
        <v>43033</v>
      </c>
      <c r="B349">
        <v>2011</v>
      </c>
      <c r="C349">
        <v>1740</v>
      </c>
      <c r="D349">
        <v>348</v>
      </c>
      <c r="E349">
        <v>7900</v>
      </c>
      <c r="F349" t="s">
        <v>25</v>
      </c>
      <c r="G349" s="9">
        <v>4</v>
      </c>
      <c r="H349" t="s">
        <v>68</v>
      </c>
      <c r="I349">
        <v>8</v>
      </c>
      <c r="J349" s="13">
        <f t="shared" si="5"/>
        <v>4</v>
      </c>
    </row>
    <row r="350" spans="1:10" x14ac:dyDescent="0.2">
      <c r="A350" s="6">
        <v>43027</v>
      </c>
      <c r="B350">
        <v>2013</v>
      </c>
      <c r="C350">
        <v>1740</v>
      </c>
      <c r="D350">
        <v>349</v>
      </c>
      <c r="E350">
        <v>7850</v>
      </c>
      <c r="F350" t="s">
        <v>25</v>
      </c>
      <c r="G350" s="9">
        <v>4</v>
      </c>
      <c r="H350" t="s">
        <v>68</v>
      </c>
      <c r="I350">
        <v>6</v>
      </c>
      <c r="J350" s="13">
        <f t="shared" si="5"/>
        <v>4</v>
      </c>
    </row>
    <row r="351" spans="1:10" x14ac:dyDescent="0.2">
      <c r="A351" s="6">
        <v>42941</v>
      </c>
      <c r="B351">
        <v>2011</v>
      </c>
      <c r="C351">
        <v>1740</v>
      </c>
      <c r="D351">
        <v>350</v>
      </c>
      <c r="E351">
        <v>7300</v>
      </c>
      <c r="F351" t="s">
        <v>25</v>
      </c>
      <c r="G351" s="9">
        <v>4</v>
      </c>
      <c r="H351" t="s">
        <v>68</v>
      </c>
      <c r="I351">
        <v>8</v>
      </c>
      <c r="J351" s="13">
        <f t="shared" si="5"/>
        <v>4</v>
      </c>
    </row>
    <row r="352" spans="1:10" x14ac:dyDescent="0.2">
      <c r="A352" s="6">
        <v>42667</v>
      </c>
      <c r="B352">
        <v>2011</v>
      </c>
      <c r="C352">
        <v>1740</v>
      </c>
      <c r="D352">
        <v>351</v>
      </c>
      <c r="E352">
        <v>6750</v>
      </c>
      <c r="F352" t="s">
        <v>25</v>
      </c>
      <c r="G352" s="9">
        <v>4</v>
      </c>
      <c r="H352" t="s">
        <v>68</v>
      </c>
      <c r="I352">
        <v>8</v>
      </c>
      <c r="J352" s="13">
        <f t="shared" si="5"/>
        <v>4</v>
      </c>
    </row>
    <row r="353" spans="1:10" x14ac:dyDescent="0.2">
      <c r="A353" s="6">
        <v>42647</v>
      </c>
      <c r="B353">
        <v>2012</v>
      </c>
      <c r="C353">
        <v>1740</v>
      </c>
      <c r="D353">
        <v>352</v>
      </c>
      <c r="E353">
        <v>6750</v>
      </c>
      <c r="F353" t="s">
        <v>25</v>
      </c>
      <c r="G353" s="9">
        <v>4</v>
      </c>
      <c r="H353" t="s">
        <v>68</v>
      </c>
      <c r="I353">
        <v>7</v>
      </c>
      <c r="J353" s="13">
        <f t="shared" si="5"/>
        <v>4</v>
      </c>
    </row>
    <row r="354" spans="1:10" x14ac:dyDescent="0.2">
      <c r="A354" s="6">
        <v>42584</v>
      </c>
      <c r="B354">
        <v>2011</v>
      </c>
      <c r="C354">
        <v>1740</v>
      </c>
      <c r="D354">
        <v>353</v>
      </c>
      <c r="E354">
        <v>6850</v>
      </c>
      <c r="F354" t="s">
        <v>25</v>
      </c>
      <c r="G354" s="9">
        <v>4</v>
      </c>
      <c r="H354" t="s">
        <v>68</v>
      </c>
      <c r="I354">
        <v>8</v>
      </c>
      <c r="J354" s="13">
        <f t="shared" si="5"/>
        <v>4</v>
      </c>
    </row>
    <row r="355" spans="1:10" x14ac:dyDescent="0.2">
      <c r="A355" s="6">
        <v>42576</v>
      </c>
      <c r="B355">
        <v>2012</v>
      </c>
      <c r="C355">
        <v>1740</v>
      </c>
      <c r="D355">
        <v>354</v>
      </c>
      <c r="E355">
        <v>6750</v>
      </c>
      <c r="F355" t="s">
        <v>25</v>
      </c>
      <c r="G355" s="9">
        <v>4</v>
      </c>
      <c r="H355" t="s">
        <v>68</v>
      </c>
      <c r="I355">
        <v>7</v>
      </c>
      <c r="J355" s="13">
        <f t="shared" si="5"/>
        <v>4</v>
      </c>
    </row>
    <row r="356" spans="1:10" x14ac:dyDescent="0.2">
      <c r="A356" s="6">
        <v>42411</v>
      </c>
      <c r="B356">
        <v>2011</v>
      </c>
      <c r="C356">
        <v>1740</v>
      </c>
      <c r="D356">
        <v>355</v>
      </c>
      <c r="E356">
        <v>7000</v>
      </c>
      <c r="F356" t="s">
        <v>25</v>
      </c>
      <c r="G356" s="9">
        <v>4</v>
      </c>
      <c r="H356" t="s">
        <v>68</v>
      </c>
      <c r="I356">
        <v>8</v>
      </c>
      <c r="J356" s="13">
        <f t="shared" si="5"/>
        <v>4</v>
      </c>
    </row>
    <row r="357" spans="1:10" x14ac:dyDescent="0.2">
      <c r="A357" s="6">
        <v>42709</v>
      </c>
      <c r="B357">
        <v>2011</v>
      </c>
      <c r="C357">
        <v>1740</v>
      </c>
      <c r="D357">
        <v>356</v>
      </c>
      <c r="E357">
        <v>6500</v>
      </c>
      <c r="F357" t="s">
        <v>25</v>
      </c>
      <c r="G357" s="15">
        <v>40</v>
      </c>
      <c r="H357" t="s">
        <v>26</v>
      </c>
      <c r="I357">
        <v>8</v>
      </c>
      <c r="J357" s="13">
        <f t="shared" si="5"/>
        <v>1</v>
      </c>
    </row>
    <row r="358" spans="1:10" x14ac:dyDescent="0.2">
      <c r="A358" s="6">
        <v>42530</v>
      </c>
      <c r="B358">
        <v>2011</v>
      </c>
      <c r="C358">
        <v>1740</v>
      </c>
      <c r="D358">
        <v>357</v>
      </c>
      <c r="E358">
        <v>7000</v>
      </c>
      <c r="F358" t="s">
        <v>25</v>
      </c>
      <c r="G358" s="15">
        <v>42</v>
      </c>
      <c r="H358" t="s">
        <v>26</v>
      </c>
      <c r="I358">
        <v>8</v>
      </c>
      <c r="J358" s="13">
        <f t="shared" si="5"/>
        <v>1</v>
      </c>
    </row>
    <row r="359" spans="1:10" x14ac:dyDescent="0.2">
      <c r="A359" s="6">
        <v>43507</v>
      </c>
      <c r="B359">
        <v>2012</v>
      </c>
      <c r="C359">
        <v>1740</v>
      </c>
      <c r="D359">
        <v>358</v>
      </c>
      <c r="E359">
        <v>7000</v>
      </c>
      <c r="F359" t="s">
        <v>25</v>
      </c>
      <c r="G359" s="9">
        <v>5</v>
      </c>
      <c r="H359" t="s">
        <v>68</v>
      </c>
      <c r="I359">
        <v>7</v>
      </c>
      <c r="J359" s="13">
        <f t="shared" si="5"/>
        <v>5</v>
      </c>
    </row>
    <row r="360" spans="1:10" x14ac:dyDescent="0.2">
      <c r="A360" s="6">
        <v>43434</v>
      </c>
      <c r="B360">
        <v>2012</v>
      </c>
      <c r="C360">
        <v>1740</v>
      </c>
      <c r="D360">
        <v>359</v>
      </c>
      <c r="E360">
        <v>7500</v>
      </c>
      <c r="F360" t="s">
        <v>25</v>
      </c>
      <c r="G360" s="9">
        <v>5</v>
      </c>
      <c r="H360" t="s">
        <v>68</v>
      </c>
      <c r="I360">
        <v>7</v>
      </c>
      <c r="J360" s="13">
        <f t="shared" si="5"/>
        <v>5</v>
      </c>
    </row>
    <row r="361" spans="1:10" x14ac:dyDescent="0.2">
      <c r="A361" s="6">
        <v>43293</v>
      </c>
      <c r="B361">
        <v>2013</v>
      </c>
      <c r="C361">
        <v>1740</v>
      </c>
      <c r="D361">
        <v>360</v>
      </c>
      <c r="E361">
        <v>9500</v>
      </c>
      <c r="F361" t="s">
        <v>25</v>
      </c>
      <c r="G361" s="9">
        <v>5</v>
      </c>
      <c r="H361" t="s">
        <v>68</v>
      </c>
      <c r="I361">
        <v>6</v>
      </c>
      <c r="J361" s="13">
        <f t="shared" si="5"/>
        <v>5</v>
      </c>
    </row>
    <row r="362" spans="1:10" x14ac:dyDescent="0.2">
      <c r="A362" s="6">
        <v>43241</v>
      </c>
      <c r="B362">
        <v>2011</v>
      </c>
      <c r="C362">
        <v>1740</v>
      </c>
      <c r="D362">
        <v>361</v>
      </c>
      <c r="E362">
        <v>10700</v>
      </c>
      <c r="F362" t="s">
        <v>25</v>
      </c>
      <c r="G362" s="9">
        <v>5</v>
      </c>
      <c r="H362" t="s">
        <v>68</v>
      </c>
      <c r="I362">
        <v>8</v>
      </c>
      <c r="J362" s="13">
        <f t="shared" si="5"/>
        <v>5</v>
      </c>
    </row>
    <row r="363" spans="1:10" x14ac:dyDescent="0.2">
      <c r="A363" s="6">
        <v>43214</v>
      </c>
      <c r="B363">
        <v>2011</v>
      </c>
      <c r="C363">
        <v>1740</v>
      </c>
      <c r="D363">
        <v>362</v>
      </c>
      <c r="E363">
        <v>11000</v>
      </c>
      <c r="F363" t="s">
        <v>25</v>
      </c>
      <c r="G363" s="9">
        <v>5</v>
      </c>
      <c r="H363" t="s">
        <v>68</v>
      </c>
      <c r="I363">
        <v>8</v>
      </c>
      <c r="J363" s="13">
        <f t="shared" si="5"/>
        <v>5</v>
      </c>
    </row>
    <row r="364" spans="1:10" x14ac:dyDescent="0.2">
      <c r="A364" s="6">
        <v>43152</v>
      </c>
      <c r="B364">
        <v>2012</v>
      </c>
      <c r="C364">
        <v>1740</v>
      </c>
      <c r="D364">
        <v>363</v>
      </c>
      <c r="E364">
        <v>9450</v>
      </c>
      <c r="F364" t="s">
        <v>25</v>
      </c>
      <c r="G364" s="9">
        <v>5</v>
      </c>
      <c r="H364" t="s">
        <v>68</v>
      </c>
      <c r="I364">
        <v>7</v>
      </c>
      <c r="J364" s="13">
        <f t="shared" si="5"/>
        <v>5</v>
      </c>
    </row>
    <row r="365" spans="1:10" x14ac:dyDescent="0.2">
      <c r="A365" s="6">
        <v>43070</v>
      </c>
      <c r="B365">
        <v>2013</v>
      </c>
      <c r="C365">
        <v>1740</v>
      </c>
      <c r="D365">
        <v>364</v>
      </c>
      <c r="E365">
        <v>8400</v>
      </c>
      <c r="F365" t="s">
        <v>25</v>
      </c>
      <c r="G365" s="9">
        <v>5</v>
      </c>
      <c r="H365" t="s">
        <v>68</v>
      </c>
      <c r="I365">
        <v>6</v>
      </c>
      <c r="J365" s="13">
        <f t="shared" si="5"/>
        <v>5</v>
      </c>
    </row>
    <row r="366" spans="1:10" x14ac:dyDescent="0.2">
      <c r="A366" s="6">
        <v>42898</v>
      </c>
      <c r="B366">
        <v>2011</v>
      </c>
      <c r="C366">
        <v>1740</v>
      </c>
      <c r="D366">
        <v>365</v>
      </c>
      <c r="E366">
        <v>7500</v>
      </c>
      <c r="F366" t="s">
        <v>25</v>
      </c>
      <c r="G366" s="9">
        <v>5</v>
      </c>
      <c r="H366" t="s">
        <v>68</v>
      </c>
      <c r="I366">
        <v>8</v>
      </c>
      <c r="J366" s="13">
        <f t="shared" si="5"/>
        <v>5</v>
      </c>
    </row>
    <row r="367" spans="1:10" x14ac:dyDescent="0.2">
      <c r="A367" s="6">
        <v>42499</v>
      </c>
      <c r="B367">
        <v>2013</v>
      </c>
      <c r="C367">
        <v>1740</v>
      </c>
      <c r="D367">
        <v>366</v>
      </c>
      <c r="E367">
        <v>6750</v>
      </c>
      <c r="F367" t="s">
        <v>25</v>
      </c>
      <c r="G367" s="9">
        <v>5</v>
      </c>
      <c r="H367" t="s">
        <v>68</v>
      </c>
      <c r="I367">
        <v>6</v>
      </c>
      <c r="J367" s="13">
        <f t="shared" si="5"/>
        <v>5</v>
      </c>
    </row>
    <row r="368" spans="1:10" x14ac:dyDescent="0.2">
      <c r="A368" s="6">
        <v>42758</v>
      </c>
      <c r="B368">
        <v>2011</v>
      </c>
      <c r="C368">
        <v>1740</v>
      </c>
      <c r="D368">
        <v>367</v>
      </c>
      <c r="E368">
        <v>6250</v>
      </c>
      <c r="F368" t="s">
        <v>25</v>
      </c>
      <c r="G368" s="15">
        <v>56</v>
      </c>
      <c r="H368" t="s">
        <v>26</v>
      </c>
      <c r="I368">
        <v>8</v>
      </c>
      <c r="J368" s="13">
        <f t="shared" si="5"/>
        <v>2</v>
      </c>
    </row>
    <row r="369" spans="1:10" x14ac:dyDescent="0.2">
      <c r="A369" s="6">
        <v>43490</v>
      </c>
      <c r="B369">
        <v>2011</v>
      </c>
      <c r="C369">
        <v>1740</v>
      </c>
      <c r="D369">
        <v>368</v>
      </c>
      <c r="E369">
        <v>8450</v>
      </c>
      <c r="F369" t="s">
        <v>25</v>
      </c>
      <c r="G369" s="9">
        <v>6</v>
      </c>
      <c r="H369" t="s">
        <v>68</v>
      </c>
      <c r="I369">
        <v>8</v>
      </c>
      <c r="J369" s="13">
        <f t="shared" si="5"/>
        <v>6</v>
      </c>
    </row>
    <row r="370" spans="1:10" x14ac:dyDescent="0.2">
      <c r="A370" s="6">
        <v>43451</v>
      </c>
      <c r="B370">
        <v>2013</v>
      </c>
      <c r="C370">
        <v>1740</v>
      </c>
      <c r="D370">
        <v>369</v>
      </c>
      <c r="E370">
        <v>7350</v>
      </c>
      <c r="F370" t="s">
        <v>25</v>
      </c>
      <c r="G370" s="9">
        <v>6</v>
      </c>
      <c r="H370" t="s">
        <v>68</v>
      </c>
      <c r="I370">
        <v>6</v>
      </c>
      <c r="J370" s="13">
        <f t="shared" si="5"/>
        <v>6</v>
      </c>
    </row>
    <row r="371" spans="1:10" x14ac:dyDescent="0.2">
      <c r="A371" s="6">
        <v>43364</v>
      </c>
      <c r="B371">
        <v>2011</v>
      </c>
      <c r="C371">
        <v>1740</v>
      </c>
      <c r="D371">
        <v>370</v>
      </c>
      <c r="E371">
        <v>9350</v>
      </c>
      <c r="F371" t="s">
        <v>25</v>
      </c>
      <c r="G371" s="9">
        <v>6</v>
      </c>
      <c r="H371" t="s">
        <v>68</v>
      </c>
      <c r="I371">
        <v>8</v>
      </c>
      <c r="J371" s="13">
        <f t="shared" si="5"/>
        <v>6</v>
      </c>
    </row>
    <row r="372" spans="1:10" x14ac:dyDescent="0.2">
      <c r="A372" s="6">
        <v>43178</v>
      </c>
      <c r="B372">
        <v>2012</v>
      </c>
      <c r="C372">
        <v>1740</v>
      </c>
      <c r="D372">
        <v>371</v>
      </c>
      <c r="E372">
        <v>8250</v>
      </c>
      <c r="F372" t="s">
        <v>25</v>
      </c>
      <c r="G372" s="9">
        <v>6</v>
      </c>
      <c r="H372" t="s">
        <v>68</v>
      </c>
      <c r="I372">
        <v>7</v>
      </c>
      <c r="J372" s="13">
        <f t="shared" si="5"/>
        <v>6</v>
      </c>
    </row>
    <row r="373" spans="1:10" x14ac:dyDescent="0.2">
      <c r="A373" s="6">
        <v>43034</v>
      </c>
      <c r="B373">
        <v>2011</v>
      </c>
      <c r="C373">
        <v>1740</v>
      </c>
      <c r="D373">
        <v>372</v>
      </c>
      <c r="E373">
        <v>7950</v>
      </c>
      <c r="F373" t="s">
        <v>25</v>
      </c>
      <c r="G373" s="9">
        <v>6</v>
      </c>
      <c r="H373" t="s">
        <v>68</v>
      </c>
      <c r="I373">
        <v>8</v>
      </c>
      <c r="J373" s="13">
        <f t="shared" si="5"/>
        <v>6</v>
      </c>
    </row>
    <row r="374" spans="1:10" x14ac:dyDescent="0.2">
      <c r="A374" s="6">
        <v>43018</v>
      </c>
      <c r="B374">
        <v>2011</v>
      </c>
      <c r="C374">
        <v>1740</v>
      </c>
      <c r="D374">
        <v>373</v>
      </c>
      <c r="E374">
        <v>8100</v>
      </c>
      <c r="F374" t="s">
        <v>25</v>
      </c>
      <c r="G374" s="9">
        <v>6</v>
      </c>
      <c r="H374" t="s">
        <v>68</v>
      </c>
      <c r="I374">
        <v>8</v>
      </c>
      <c r="J374" s="13">
        <f t="shared" si="5"/>
        <v>6</v>
      </c>
    </row>
    <row r="375" spans="1:10" x14ac:dyDescent="0.2">
      <c r="A375" s="6">
        <v>42816</v>
      </c>
      <c r="B375">
        <v>2012</v>
      </c>
      <c r="C375">
        <v>1740</v>
      </c>
      <c r="D375">
        <v>374</v>
      </c>
      <c r="E375">
        <v>6600</v>
      </c>
      <c r="F375" t="s">
        <v>25</v>
      </c>
      <c r="G375" s="9">
        <v>6</v>
      </c>
      <c r="H375" t="s">
        <v>68</v>
      </c>
      <c r="I375">
        <v>7</v>
      </c>
      <c r="J375" s="13">
        <f t="shared" si="5"/>
        <v>6</v>
      </c>
    </row>
    <row r="376" spans="1:10" x14ac:dyDescent="0.2">
      <c r="A376" s="6">
        <v>42754</v>
      </c>
      <c r="B376">
        <v>2012</v>
      </c>
      <c r="C376">
        <v>1740</v>
      </c>
      <c r="D376">
        <v>375</v>
      </c>
      <c r="E376">
        <v>6400</v>
      </c>
      <c r="F376" t="s">
        <v>25</v>
      </c>
      <c r="G376" s="9">
        <v>6</v>
      </c>
      <c r="H376" t="s">
        <v>68</v>
      </c>
      <c r="I376">
        <v>7</v>
      </c>
      <c r="J376" s="13">
        <f t="shared" si="5"/>
        <v>6</v>
      </c>
    </row>
    <row r="377" spans="1:10" x14ac:dyDescent="0.2">
      <c r="A377" s="6">
        <v>42635</v>
      </c>
      <c r="B377">
        <v>2013</v>
      </c>
      <c r="C377">
        <v>1740</v>
      </c>
      <c r="D377">
        <v>376</v>
      </c>
      <c r="E377">
        <v>6750</v>
      </c>
      <c r="F377" t="s">
        <v>25</v>
      </c>
      <c r="G377" s="9">
        <v>6</v>
      </c>
      <c r="H377" t="s">
        <v>68</v>
      </c>
      <c r="I377">
        <v>6</v>
      </c>
      <c r="J377" s="13">
        <f t="shared" si="5"/>
        <v>6</v>
      </c>
    </row>
    <row r="378" spans="1:10" x14ac:dyDescent="0.2">
      <c r="A378" s="6">
        <v>42625</v>
      </c>
      <c r="B378">
        <v>2011</v>
      </c>
      <c r="C378">
        <v>1740</v>
      </c>
      <c r="D378">
        <v>377</v>
      </c>
      <c r="E378">
        <v>6750</v>
      </c>
      <c r="F378" t="s">
        <v>25</v>
      </c>
      <c r="G378" s="9">
        <v>6</v>
      </c>
      <c r="H378" t="s">
        <v>68</v>
      </c>
      <c r="I378">
        <v>8</v>
      </c>
      <c r="J378" s="13">
        <f t="shared" si="5"/>
        <v>6</v>
      </c>
    </row>
    <row r="379" spans="1:10" x14ac:dyDescent="0.2">
      <c r="A379" s="6">
        <v>42623</v>
      </c>
      <c r="B379">
        <v>2012</v>
      </c>
      <c r="C379">
        <v>1740</v>
      </c>
      <c r="D379">
        <v>378</v>
      </c>
      <c r="E379">
        <v>6750</v>
      </c>
      <c r="F379" t="s">
        <v>25</v>
      </c>
      <c r="G379" s="9">
        <v>6</v>
      </c>
      <c r="H379" t="s">
        <v>68</v>
      </c>
      <c r="I379">
        <v>7</v>
      </c>
      <c r="J379" s="13">
        <f t="shared" si="5"/>
        <v>6</v>
      </c>
    </row>
    <row r="380" spans="1:10" x14ac:dyDescent="0.2">
      <c r="A380" s="6">
        <v>42608</v>
      </c>
      <c r="B380">
        <v>2011</v>
      </c>
      <c r="C380">
        <v>1740</v>
      </c>
      <c r="D380">
        <v>379</v>
      </c>
      <c r="E380">
        <v>6750</v>
      </c>
      <c r="F380" t="s">
        <v>25</v>
      </c>
      <c r="G380" s="9">
        <v>6</v>
      </c>
      <c r="H380" t="s">
        <v>68</v>
      </c>
      <c r="I380">
        <v>8</v>
      </c>
      <c r="J380" s="13">
        <f t="shared" si="5"/>
        <v>6</v>
      </c>
    </row>
    <row r="381" spans="1:10" x14ac:dyDescent="0.2">
      <c r="A381" s="6">
        <v>42534</v>
      </c>
      <c r="B381">
        <v>2011</v>
      </c>
      <c r="C381">
        <v>1740</v>
      </c>
      <c r="D381">
        <v>380</v>
      </c>
      <c r="E381">
        <v>6950</v>
      </c>
      <c r="F381" t="s">
        <v>25</v>
      </c>
      <c r="G381" s="9">
        <v>6</v>
      </c>
      <c r="H381" t="s">
        <v>68</v>
      </c>
      <c r="I381">
        <v>8</v>
      </c>
      <c r="J381" s="13">
        <f t="shared" si="5"/>
        <v>6</v>
      </c>
    </row>
    <row r="382" spans="1:10" x14ac:dyDescent="0.2">
      <c r="A382" s="6">
        <v>42452</v>
      </c>
      <c r="B382">
        <v>2011</v>
      </c>
      <c r="C382">
        <v>1740</v>
      </c>
      <c r="D382">
        <v>381</v>
      </c>
      <c r="E382">
        <v>7000</v>
      </c>
      <c r="F382" t="s">
        <v>25</v>
      </c>
      <c r="G382" s="9">
        <v>6</v>
      </c>
      <c r="H382" t="s">
        <v>68</v>
      </c>
      <c r="I382">
        <v>8</v>
      </c>
      <c r="J382" s="13">
        <f t="shared" si="5"/>
        <v>6</v>
      </c>
    </row>
    <row r="383" spans="1:10" x14ac:dyDescent="0.2">
      <c r="A383" s="6">
        <v>42412</v>
      </c>
      <c r="B383">
        <v>2011</v>
      </c>
      <c r="C383">
        <v>1740</v>
      </c>
      <c r="D383">
        <v>382</v>
      </c>
      <c r="E383">
        <v>7100</v>
      </c>
      <c r="F383" t="s">
        <v>25</v>
      </c>
      <c r="G383" s="9">
        <v>6</v>
      </c>
      <c r="H383" t="s">
        <v>68</v>
      </c>
      <c r="I383">
        <v>8</v>
      </c>
      <c r="J383" s="13">
        <f t="shared" si="5"/>
        <v>6</v>
      </c>
    </row>
    <row r="384" spans="1:10" x14ac:dyDescent="0.2">
      <c r="A384" s="6">
        <v>43245</v>
      </c>
      <c r="B384">
        <v>2011</v>
      </c>
      <c r="C384">
        <v>1740</v>
      </c>
      <c r="D384">
        <v>383</v>
      </c>
      <c r="E384">
        <v>11100</v>
      </c>
      <c r="F384" t="s">
        <v>25</v>
      </c>
      <c r="G384" s="15">
        <v>65</v>
      </c>
      <c r="H384" t="s">
        <v>26</v>
      </c>
      <c r="I384">
        <v>8</v>
      </c>
      <c r="J384" s="13">
        <f t="shared" si="5"/>
        <v>2</v>
      </c>
    </row>
    <row r="385" spans="1:10" x14ac:dyDescent="0.2">
      <c r="A385" s="6">
        <v>43539</v>
      </c>
      <c r="B385">
        <v>2012</v>
      </c>
      <c r="C385">
        <v>1740</v>
      </c>
      <c r="D385">
        <v>384</v>
      </c>
      <c r="E385">
        <v>7500</v>
      </c>
      <c r="F385" t="s">
        <v>25</v>
      </c>
      <c r="G385" s="9">
        <v>7</v>
      </c>
      <c r="H385" t="s">
        <v>68</v>
      </c>
      <c r="I385">
        <v>7</v>
      </c>
      <c r="J385" s="13">
        <f t="shared" si="5"/>
        <v>7</v>
      </c>
    </row>
    <row r="386" spans="1:10" x14ac:dyDescent="0.2">
      <c r="A386" s="6">
        <v>43369</v>
      </c>
      <c r="B386">
        <v>2013</v>
      </c>
      <c r="C386">
        <v>1740</v>
      </c>
      <c r="D386">
        <v>385</v>
      </c>
      <c r="E386">
        <v>9550</v>
      </c>
      <c r="F386" t="s">
        <v>25</v>
      </c>
      <c r="G386" s="9">
        <v>7</v>
      </c>
      <c r="H386" t="s">
        <v>68</v>
      </c>
      <c r="I386">
        <v>6</v>
      </c>
      <c r="J386" s="13">
        <f t="shared" ref="J386:J449" si="6">IF(H386="days",ROUND(G386/30,0),IF(H386="years",G386*12,G386))</f>
        <v>7</v>
      </c>
    </row>
    <row r="387" spans="1:10" x14ac:dyDescent="0.2">
      <c r="A387" s="6">
        <v>43137</v>
      </c>
      <c r="B387">
        <v>2013</v>
      </c>
      <c r="C387">
        <v>1740</v>
      </c>
      <c r="D387">
        <v>386</v>
      </c>
      <c r="E387">
        <v>9250</v>
      </c>
      <c r="F387" t="s">
        <v>25</v>
      </c>
      <c r="G387" s="9">
        <v>7</v>
      </c>
      <c r="H387" t="s">
        <v>68</v>
      </c>
      <c r="I387">
        <v>6</v>
      </c>
      <c r="J387" s="13">
        <f t="shared" si="6"/>
        <v>7</v>
      </c>
    </row>
    <row r="388" spans="1:10" x14ac:dyDescent="0.2">
      <c r="A388" s="6">
        <v>42450</v>
      </c>
      <c r="B388">
        <v>2012</v>
      </c>
      <c r="C388">
        <v>1740</v>
      </c>
      <c r="D388">
        <v>387</v>
      </c>
      <c r="E388">
        <v>7200</v>
      </c>
      <c r="F388" t="s">
        <v>25</v>
      </c>
      <c r="G388" s="9">
        <v>7</v>
      </c>
      <c r="H388" t="s">
        <v>68</v>
      </c>
      <c r="I388">
        <v>7</v>
      </c>
      <c r="J388" s="13">
        <f t="shared" si="6"/>
        <v>7</v>
      </c>
    </row>
    <row r="389" spans="1:10" x14ac:dyDescent="0.2">
      <c r="A389" s="6">
        <v>42454</v>
      </c>
      <c r="B389">
        <v>2012</v>
      </c>
      <c r="C389">
        <v>1740</v>
      </c>
      <c r="D389">
        <v>388</v>
      </c>
      <c r="E389">
        <v>7000</v>
      </c>
      <c r="F389" t="s">
        <v>25</v>
      </c>
      <c r="G389" s="15">
        <v>70</v>
      </c>
      <c r="H389" t="s">
        <v>26</v>
      </c>
      <c r="I389">
        <v>7</v>
      </c>
      <c r="J389" s="13">
        <f t="shared" si="6"/>
        <v>2</v>
      </c>
    </row>
    <row r="390" spans="1:10" x14ac:dyDescent="0.2">
      <c r="A390" s="6">
        <v>42992</v>
      </c>
      <c r="B390">
        <v>2013</v>
      </c>
      <c r="C390">
        <v>1740</v>
      </c>
      <c r="D390">
        <v>389</v>
      </c>
      <c r="E390">
        <v>7550</v>
      </c>
      <c r="F390" t="s">
        <v>25</v>
      </c>
      <c r="G390" s="9">
        <v>8</v>
      </c>
      <c r="H390" t="s">
        <v>68</v>
      </c>
      <c r="I390">
        <v>6</v>
      </c>
      <c r="J390" s="13">
        <f t="shared" si="6"/>
        <v>8</v>
      </c>
    </row>
    <row r="391" spans="1:10" x14ac:dyDescent="0.2">
      <c r="A391" s="6">
        <v>42949</v>
      </c>
      <c r="B391">
        <v>2012</v>
      </c>
      <c r="C391">
        <v>1740</v>
      </c>
      <c r="D391">
        <v>390</v>
      </c>
      <c r="E391">
        <v>7150</v>
      </c>
      <c r="F391" t="s">
        <v>25</v>
      </c>
      <c r="G391" s="9">
        <v>8</v>
      </c>
      <c r="H391" t="s">
        <v>68</v>
      </c>
      <c r="I391">
        <v>7</v>
      </c>
      <c r="J391" s="13">
        <f t="shared" si="6"/>
        <v>8</v>
      </c>
    </row>
    <row r="392" spans="1:10" x14ac:dyDescent="0.2">
      <c r="A392" s="6">
        <v>42769</v>
      </c>
      <c r="B392">
        <v>2013</v>
      </c>
      <c r="C392">
        <v>1740</v>
      </c>
      <c r="D392">
        <v>391</v>
      </c>
      <c r="E392">
        <v>6500</v>
      </c>
      <c r="F392" t="s">
        <v>25</v>
      </c>
      <c r="G392" s="9">
        <v>8</v>
      </c>
      <c r="H392" t="s">
        <v>68</v>
      </c>
      <c r="I392">
        <v>6</v>
      </c>
      <c r="J392" s="13">
        <f t="shared" si="6"/>
        <v>8</v>
      </c>
    </row>
    <row r="393" spans="1:10" x14ac:dyDescent="0.2">
      <c r="A393" s="6">
        <v>42523</v>
      </c>
      <c r="B393">
        <v>2011</v>
      </c>
      <c r="C393">
        <v>1740</v>
      </c>
      <c r="D393">
        <v>392</v>
      </c>
      <c r="E393">
        <v>6750</v>
      </c>
      <c r="F393" t="s">
        <v>25</v>
      </c>
      <c r="G393" s="15">
        <v>84</v>
      </c>
      <c r="H393" t="s">
        <v>26</v>
      </c>
      <c r="I393">
        <v>8</v>
      </c>
      <c r="J393" s="13">
        <f t="shared" si="6"/>
        <v>3</v>
      </c>
    </row>
    <row r="394" spans="1:10" x14ac:dyDescent="0.2">
      <c r="A394" s="6">
        <v>42950</v>
      </c>
      <c r="B394">
        <v>2011</v>
      </c>
      <c r="C394">
        <v>1740</v>
      </c>
      <c r="D394">
        <v>393</v>
      </c>
      <c r="E394">
        <v>7300</v>
      </c>
      <c r="F394" t="s">
        <v>25</v>
      </c>
      <c r="G394" s="9">
        <v>9</v>
      </c>
      <c r="H394" t="s">
        <v>68</v>
      </c>
      <c r="I394">
        <v>8</v>
      </c>
      <c r="J394" s="13">
        <f t="shared" si="6"/>
        <v>9</v>
      </c>
    </row>
    <row r="395" spans="1:10" x14ac:dyDescent="0.2">
      <c r="A395" s="6">
        <v>42601</v>
      </c>
      <c r="B395">
        <v>2011</v>
      </c>
      <c r="C395">
        <v>1740</v>
      </c>
      <c r="D395">
        <v>394</v>
      </c>
      <c r="E395">
        <v>6750</v>
      </c>
      <c r="F395" t="s">
        <v>25</v>
      </c>
      <c r="G395" s="15">
        <v>90</v>
      </c>
      <c r="H395" t="s">
        <v>26</v>
      </c>
      <c r="I395">
        <v>8</v>
      </c>
      <c r="J395" s="13">
        <f t="shared" si="6"/>
        <v>3</v>
      </c>
    </row>
    <row r="396" spans="1:10" x14ac:dyDescent="0.2">
      <c r="A396" s="6">
        <v>42529</v>
      </c>
      <c r="B396">
        <v>2011</v>
      </c>
      <c r="C396">
        <v>1740</v>
      </c>
      <c r="D396">
        <v>395</v>
      </c>
      <c r="E396">
        <v>8200</v>
      </c>
      <c r="F396" t="s">
        <v>25</v>
      </c>
      <c r="G396" s="15">
        <v>90</v>
      </c>
      <c r="H396" t="s">
        <v>26</v>
      </c>
      <c r="I396">
        <v>8</v>
      </c>
      <c r="J396" s="13">
        <f t="shared" si="6"/>
        <v>3</v>
      </c>
    </row>
    <row r="397" spans="1:10" x14ac:dyDescent="0.2">
      <c r="A397" s="6">
        <v>43403</v>
      </c>
      <c r="B397">
        <v>2013</v>
      </c>
      <c r="C397">
        <v>1756</v>
      </c>
      <c r="D397">
        <v>396</v>
      </c>
      <c r="E397">
        <v>11700</v>
      </c>
      <c r="F397" t="s">
        <v>25</v>
      </c>
      <c r="G397" s="9">
        <v>10</v>
      </c>
      <c r="H397" t="s">
        <v>68</v>
      </c>
      <c r="I397">
        <v>6</v>
      </c>
      <c r="J397" s="13">
        <f t="shared" si="6"/>
        <v>10</v>
      </c>
    </row>
    <row r="398" spans="1:10" x14ac:dyDescent="0.2">
      <c r="A398" s="6">
        <v>42423</v>
      </c>
      <c r="B398">
        <v>2013</v>
      </c>
      <c r="C398">
        <v>1756</v>
      </c>
      <c r="D398">
        <v>397</v>
      </c>
      <c r="E398">
        <v>8000</v>
      </c>
      <c r="F398" t="s">
        <v>25</v>
      </c>
      <c r="G398" s="9">
        <v>10</v>
      </c>
      <c r="H398" t="s">
        <v>68</v>
      </c>
      <c r="I398">
        <v>6</v>
      </c>
      <c r="J398" s="13">
        <f t="shared" si="6"/>
        <v>10</v>
      </c>
    </row>
    <row r="399" spans="1:10" x14ac:dyDescent="0.2">
      <c r="A399" s="6">
        <v>43636</v>
      </c>
      <c r="B399">
        <v>2016</v>
      </c>
      <c r="C399">
        <v>1756</v>
      </c>
      <c r="D399">
        <v>398</v>
      </c>
      <c r="E399">
        <v>11300</v>
      </c>
      <c r="F399" t="s">
        <v>25</v>
      </c>
      <c r="G399" s="9">
        <v>12</v>
      </c>
      <c r="H399" t="s">
        <v>68</v>
      </c>
      <c r="I399">
        <v>3</v>
      </c>
      <c r="J399" s="13">
        <f t="shared" si="6"/>
        <v>12</v>
      </c>
    </row>
    <row r="400" spans="1:10" x14ac:dyDescent="0.2">
      <c r="A400" s="6">
        <v>43276</v>
      </c>
      <c r="B400">
        <v>2017</v>
      </c>
      <c r="C400">
        <v>1756</v>
      </c>
      <c r="D400">
        <v>399</v>
      </c>
      <c r="E400">
        <v>13250</v>
      </c>
      <c r="F400" t="s">
        <v>25</v>
      </c>
      <c r="G400" s="9">
        <v>12</v>
      </c>
      <c r="H400" t="s">
        <v>68</v>
      </c>
      <c r="I400">
        <v>2</v>
      </c>
      <c r="J400" s="13">
        <f t="shared" si="6"/>
        <v>12</v>
      </c>
    </row>
    <row r="401" spans="1:10" x14ac:dyDescent="0.2">
      <c r="A401" s="6">
        <v>43259</v>
      </c>
      <c r="B401">
        <v>2016</v>
      </c>
      <c r="C401">
        <v>1756</v>
      </c>
      <c r="D401">
        <v>400</v>
      </c>
      <c r="E401">
        <v>14150</v>
      </c>
      <c r="F401" t="s">
        <v>25</v>
      </c>
      <c r="G401" s="9">
        <v>12</v>
      </c>
      <c r="H401" t="s">
        <v>68</v>
      </c>
      <c r="I401">
        <v>3</v>
      </c>
      <c r="J401" s="13">
        <f t="shared" si="6"/>
        <v>12</v>
      </c>
    </row>
    <row r="402" spans="1:10" x14ac:dyDescent="0.2">
      <c r="A402" s="6">
        <v>43195</v>
      </c>
      <c r="B402">
        <v>2016</v>
      </c>
      <c r="C402">
        <v>1756</v>
      </c>
      <c r="D402">
        <v>401</v>
      </c>
      <c r="E402">
        <v>13600</v>
      </c>
      <c r="F402" t="s">
        <v>25</v>
      </c>
      <c r="G402" s="9">
        <v>12</v>
      </c>
      <c r="H402" t="s">
        <v>68</v>
      </c>
      <c r="I402">
        <v>3</v>
      </c>
      <c r="J402" s="13">
        <f t="shared" si="6"/>
        <v>12</v>
      </c>
    </row>
    <row r="403" spans="1:10" x14ac:dyDescent="0.2">
      <c r="A403" s="6">
        <v>42803</v>
      </c>
      <c r="B403">
        <v>2016</v>
      </c>
      <c r="C403">
        <v>1756</v>
      </c>
      <c r="D403">
        <v>402</v>
      </c>
      <c r="E403">
        <v>8450</v>
      </c>
      <c r="F403" t="s">
        <v>25</v>
      </c>
      <c r="G403" s="15">
        <v>30</v>
      </c>
      <c r="H403" t="s">
        <v>26</v>
      </c>
      <c r="I403">
        <v>3</v>
      </c>
      <c r="J403" s="13">
        <f t="shared" si="6"/>
        <v>1</v>
      </c>
    </row>
    <row r="404" spans="1:10" x14ac:dyDescent="0.2">
      <c r="A404" s="6">
        <v>43557</v>
      </c>
      <c r="B404">
        <v>2016</v>
      </c>
      <c r="C404">
        <v>1756</v>
      </c>
      <c r="D404">
        <v>403</v>
      </c>
      <c r="E404">
        <v>11750</v>
      </c>
      <c r="F404" t="s">
        <v>25</v>
      </c>
      <c r="G404" s="9">
        <v>4</v>
      </c>
      <c r="H404" t="s">
        <v>68</v>
      </c>
      <c r="I404">
        <v>3</v>
      </c>
      <c r="J404" s="13">
        <f t="shared" si="6"/>
        <v>4</v>
      </c>
    </row>
    <row r="405" spans="1:10" x14ac:dyDescent="0.2">
      <c r="A405" s="6">
        <v>42705</v>
      </c>
      <c r="B405">
        <v>2013</v>
      </c>
      <c r="C405">
        <v>1756</v>
      </c>
      <c r="D405">
        <v>404</v>
      </c>
      <c r="E405">
        <v>8250</v>
      </c>
      <c r="F405" t="s">
        <v>25</v>
      </c>
      <c r="G405" s="9">
        <v>5</v>
      </c>
      <c r="H405" t="s">
        <v>68</v>
      </c>
      <c r="I405">
        <v>6</v>
      </c>
      <c r="J405" s="13">
        <f t="shared" si="6"/>
        <v>5</v>
      </c>
    </row>
    <row r="406" spans="1:10" x14ac:dyDescent="0.2">
      <c r="A406" s="6">
        <v>42667</v>
      </c>
      <c r="B406">
        <v>2016</v>
      </c>
      <c r="C406">
        <v>1756</v>
      </c>
      <c r="D406">
        <v>405</v>
      </c>
      <c r="E406">
        <v>8200</v>
      </c>
      <c r="F406" t="s">
        <v>25</v>
      </c>
      <c r="G406" s="9">
        <v>5</v>
      </c>
      <c r="H406" t="s">
        <v>68</v>
      </c>
      <c r="I406">
        <v>3</v>
      </c>
      <c r="J406" s="13">
        <f t="shared" si="6"/>
        <v>5</v>
      </c>
    </row>
    <row r="407" spans="1:10" x14ac:dyDescent="0.2">
      <c r="A407" s="6">
        <v>43605</v>
      </c>
      <c r="B407">
        <v>2016</v>
      </c>
      <c r="C407">
        <v>1756</v>
      </c>
      <c r="D407">
        <v>406</v>
      </c>
      <c r="E407">
        <v>11000</v>
      </c>
      <c r="F407" t="s">
        <v>25</v>
      </c>
      <c r="G407" s="9">
        <v>6</v>
      </c>
      <c r="H407" t="s">
        <v>68</v>
      </c>
      <c r="I407">
        <v>3</v>
      </c>
      <c r="J407" s="13">
        <f t="shared" si="6"/>
        <v>6</v>
      </c>
    </row>
    <row r="408" spans="1:10" x14ac:dyDescent="0.2">
      <c r="A408" s="6">
        <v>43581</v>
      </c>
      <c r="B408">
        <v>2013</v>
      </c>
      <c r="C408">
        <v>1756</v>
      </c>
      <c r="D408">
        <v>407</v>
      </c>
      <c r="E408">
        <v>10500</v>
      </c>
      <c r="F408" t="s">
        <v>25</v>
      </c>
      <c r="G408" s="9">
        <v>6</v>
      </c>
      <c r="H408" t="s">
        <v>68</v>
      </c>
      <c r="I408">
        <v>6</v>
      </c>
      <c r="J408" s="13">
        <f t="shared" si="6"/>
        <v>6</v>
      </c>
    </row>
    <row r="409" spans="1:10" x14ac:dyDescent="0.2">
      <c r="A409" s="6">
        <v>43552</v>
      </c>
      <c r="B409">
        <v>2013</v>
      </c>
      <c r="C409">
        <v>1756</v>
      </c>
      <c r="D409">
        <v>408</v>
      </c>
      <c r="E409">
        <v>11500</v>
      </c>
      <c r="F409" t="s">
        <v>25</v>
      </c>
      <c r="G409" s="9">
        <v>6</v>
      </c>
      <c r="H409" t="s">
        <v>68</v>
      </c>
      <c r="I409">
        <v>6</v>
      </c>
      <c r="J409" s="13">
        <f t="shared" si="6"/>
        <v>6</v>
      </c>
    </row>
    <row r="410" spans="1:10" x14ac:dyDescent="0.2">
      <c r="A410" s="6">
        <v>43528</v>
      </c>
      <c r="B410">
        <v>2013</v>
      </c>
      <c r="C410">
        <v>1756</v>
      </c>
      <c r="D410">
        <v>409</v>
      </c>
      <c r="E410">
        <v>10350</v>
      </c>
      <c r="F410" t="s">
        <v>25</v>
      </c>
      <c r="G410" s="9">
        <v>6</v>
      </c>
      <c r="H410" t="s">
        <v>68</v>
      </c>
      <c r="I410">
        <v>6</v>
      </c>
      <c r="J410" s="13">
        <f t="shared" si="6"/>
        <v>6</v>
      </c>
    </row>
    <row r="411" spans="1:10" x14ac:dyDescent="0.2">
      <c r="A411" s="6">
        <v>43417</v>
      </c>
      <c r="B411">
        <v>2013</v>
      </c>
      <c r="C411">
        <v>1756</v>
      </c>
      <c r="D411">
        <v>410</v>
      </c>
      <c r="E411">
        <v>11150</v>
      </c>
      <c r="F411" t="s">
        <v>25</v>
      </c>
      <c r="G411" s="9">
        <v>6</v>
      </c>
      <c r="H411" t="s">
        <v>68</v>
      </c>
      <c r="I411">
        <v>6</v>
      </c>
      <c r="J411" s="13">
        <f t="shared" si="6"/>
        <v>6</v>
      </c>
    </row>
    <row r="412" spans="1:10" x14ac:dyDescent="0.2">
      <c r="A412" s="6">
        <v>43417</v>
      </c>
      <c r="B412">
        <v>2013</v>
      </c>
      <c r="C412">
        <v>1756</v>
      </c>
      <c r="D412">
        <v>411</v>
      </c>
      <c r="E412">
        <v>11000</v>
      </c>
      <c r="F412" t="s">
        <v>25</v>
      </c>
      <c r="G412" s="9">
        <v>6</v>
      </c>
      <c r="H412" t="s">
        <v>68</v>
      </c>
      <c r="I412">
        <v>6</v>
      </c>
      <c r="J412" s="13">
        <f t="shared" si="6"/>
        <v>6</v>
      </c>
    </row>
    <row r="413" spans="1:10" x14ac:dyDescent="0.2">
      <c r="A413" s="6">
        <v>43325</v>
      </c>
      <c r="B413">
        <v>2017</v>
      </c>
      <c r="C413">
        <v>1756</v>
      </c>
      <c r="D413">
        <v>412</v>
      </c>
      <c r="E413">
        <v>12650</v>
      </c>
      <c r="F413" t="s">
        <v>25</v>
      </c>
      <c r="G413" s="9">
        <v>6</v>
      </c>
      <c r="H413" t="s">
        <v>68</v>
      </c>
      <c r="I413">
        <v>2</v>
      </c>
      <c r="J413" s="13">
        <f t="shared" si="6"/>
        <v>6</v>
      </c>
    </row>
    <row r="414" spans="1:10" x14ac:dyDescent="0.2">
      <c r="A414" s="6">
        <v>43237</v>
      </c>
      <c r="B414">
        <v>2013</v>
      </c>
      <c r="C414">
        <v>1756</v>
      </c>
      <c r="D414">
        <v>413</v>
      </c>
      <c r="E414">
        <v>14000</v>
      </c>
      <c r="F414" t="s">
        <v>25</v>
      </c>
      <c r="G414" s="9">
        <v>6</v>
      </c>
      <c r="H414" t="s">
        <v>68</v>
      </c>
      <c r="I414">
        <v>6</v>
      </c>
      <c r="J414" s="13">
        <f t="shared" si="6"/>
        <v>6</v>
      </c>
    </row>
    <row r="415" spans="1:10" x14ac:dyDescent="0.2">
      <c r="A415" s="6">
        <v>43014</v>
      </c>
      <c r="B415">
        <v>2016</v>
      </c>
      <c r="C415">
        <v>1756</v>
      </c>
      <c r="D415">
        <v>414</v>
      </c>
      <c r="E415">
        <v>9300</v>
      </c>
      <c r="F415" t="s">
        <v>25</v>
      </c>
      <c r="G415" s="9">
        <v>6</v>
      </c>
      <c r="H415" t="s">
        <v>68</v>
      </c>
      <c r="I415">
        <v>3</v>
      </c>
      <c r="J415" s="13">
        <f t="shared" si="6"/>
        <v>6</v>
      </c>
    </row>
    <row r="416" spans="1:10" x14ac:dyDescent="0.2">
      <c r="A416" s="6">
        <v>42923</v>
      </c>
      <c r="B416">
        <v>2017</v>
      </c>
      <c r="C416">
        <v>1756</v>
      </c>
      <c r="D416">
        <v>415</v>
      </c>
      <c r="E416">
        <v>9150</v>
      </c>
      <c r="F416" t="s">
        <v>25</v>
      </c>
      <c r="G416" s="9">
        <v>6</v>
      </c>
      <c r="H416" t="s">
        <v>68</v>
      </c>
      <c r="I416">
        <v>2</v>
      </c>
      <c r="J416" s="13">
        <f t="shared" si="6"/>
        <v>6</v>
      </c>
    </row>
    <row r="417" spans="1:10" x14ac:dyDescent="0.2">
      <c r="A417" s="6">
        <v>42923</v>
      </c>
      <c r="B417">
        <v>2016</v>
      </c>
      <c r="C417">
        <v>1756</v>
      </c>
      <c r="D417">
        <v>416</v>
      </c>
      <c r="E417">
        <v>9150</v>
      </c>
      <c r="F417" t="s">
        <v>25</v>
      </c>
      <c r="G417" s="9">
        <v>6</v>
      </c>
      <c r="H417" t="s">
        <v>68</v>
      </c>
      <c r="I417">
        <v>3</v>
      </c>
      <c r="J417" s="13">
        <f t="shared" si="6"/>
        <v>6</v>
      </c>
    </row>
    <row r="418" spans="1:10" x14ac:dyDescent="0.2">
      <c r="A418" s="6">
        <v>42864</v>
      </c>
      <c r="B418">
        <v>2013</v>
      </c>
      <c r="C418">
        <v>1756</v>
      </c>
      <c r="D418">
        <v>417</v>
      </c>
      <c r="E418">
        <v>9250</v>
      </c>
      <c r="F418" t="s">
        <v>25</v>
      </c>
      <c r="G418" s="9">
        <v>6</v>
      </c>
      <c r="H418" t="s">
        <v>68</v>
      </c>
      <c r="I418">
        <v>6</v>
      </c>
      <c r="J418" s="13">
        <f t="shared" si="6"/>
        <v>6</v>
      </c>
    </row>
    <row r="419" spans="1:10" x14ac:dyDescent="0.2">
      <c r="A419" s="6">
        <v>42830</v>
      </c>
      <c r="B419">
        <v>2016</v>
      </c>
      <c r="C419">
        <v>1756</v>
      </c>
      <c r="D419">
        <v>418</v>
      </c>
      <c r="E419">
        <v>8400</v>
      </c>
      <c r="F419" t="s">
        <v>25</v>
      </c>
      <c r="G419" s="9">
        <v>6</v>
      </c>
      <c r="H419" t="s">
        <v>68</v>
      </c>
      <c r="I419">
        <v>3</v>
      </c>
      <c r="J419" s="13">
        <f t="shared" si="6"/>
        <v>6</v>
      </c>
    </row>
    <row r="420" spans="1:10" x14ac:dyDescent="0.2">
      <c r="A420" s="6">
        <v>42657</v>
      </c>
      <c r="B420">
        <v>2016</v>
      </c>
      <c r="C420">
        <v>1756</v>
      </c>
      <c r="D420">
        <v>419</v>
      </c>
      <c r="E420">
        <v>8150</v>
      </c>
      <c r="F420" t="s">
        <v>25</v>
      </c>
      <c r="G420" s="9">
        <v>6</v>
      </c>
      <c r="H420" t="s">
        <v>68</v>
      </c>
      <c r="I420">
        <v>3</v>
      </c>
      <c r="J420" s="13">
        <f t="shared" si="6"/>
        <v>6</v>
      </c>
    </row>
    <row r="421" spans="1:10" x14ac:dyDescent="0.2">
      <c r="A421" s="6">
        <v>42545</v>
      </c>
      <c r="B421">
        <v>2013</v>
      </c>
      <c r="C421">
        <v>1756</v>
      </c>
      <c r="D421">
        <v>420</v>
      </c>
      <c r="E421">
        <v>8500</v>
      </c>
      <c r="F421" t="s">
        <v>25</v>
      </c>
      <c r="G421" s="9">
        <v>6</v>
      </c>
      <c r="H421" t="s">
        <v>68</v>
      </c>
      <c r="I421">
        <v>6</v>
      </c>
      <c r="J421" s="13">
        <f t="shared" si="6"/>
        <v>6</v>
      </c>
    </row>
    <row r="422" spans="1:10" x14ac:dyDescent="0.2">
      <c r="A422" s="6">
        <v>42396</v>
      </c>
      <c r="B422">
        <v>2013</v>
      </c>
      <c r="C422">
        <v>1756</v>
      </c>
      <c r="D422">
        <v>421</v>
      </c>
      <c r="E422">
        <v>8500</v>
      </c>
      <c r="F422" t="s">
        <v>25</v>
      </c>
      <c r="G422" s="9">
        <v>6</v>
      </c>
      <c r="H422" t="s">
        <v>68</v>
      </c>
      <c r="I422">
        <v>6</v>
      </c>
      <c r="J422" s="13">
        <f t="shared" si="6"/>
        <v>6</v>
      </c>
    </row>
    <row r="423" spans="1:10" x14ac:dyDescent="0.2">
      <c r="A423" s="6">
        <v>42384</v>
      </c>
      <c r="B423">
        <v>2013</v>
      </c>
      <c r="C423">
        <v>1756</v>
      </c>
      <c r="D423">
        <v>422</v>
      </c>
      <c r="E423">
        <v>8550</v>
      </c>
      <c r="F423" t="s">
        <v>25</v>
      </c>
      <c r="G423" s="9">
        <v>6</v>
      </c>
      <c r="H423" t="s">
        <v>68</v>
      </c>
      <c r="I423">
        <v>6</v>
      </c>
      <c r="J423" s="13">
        <f t="shared" si="6"/>
        <v>6</v>
      </c>
    </row>
    <row r="424" spans="1:10" x14ac:dyDescent="0.2">
      <c r="A424" s="6">
        <v>43234</v>
      </c>
      <c r="B424">
        <v>2013</v>
      </c>
      <c r="C424">
        <v>1756</v>
      </c>
      <c r="D424">
        <v>423</v>
      </c>
      <c r="E424">
        <v>14000</v>
      </c>
      <c r="F424" t="s">
        <v>25</v>
      </c>
      <c r="G424" s="9">
        <v>7</v>
      </c>
      <c r="H424" t="s">
        <v>68</v>
      </c>
      <c r="I424">
        <v>6</v>
      </c>
      <c r="J424" s="13">
        <f t="shared" si="6"/>
        <v>7</v>
      </c>
    </row>
    <row r="425" spans="1:10" x14ac:dyDescent="0.2">
      <c r="A425" s="6">
        <v>43206</v>
      </c>
      <c r="B425">
        <v>2016</v>
      </c>
      <c r="C425">
        <v>1756</v>
      </c>
      <c r="D425">
        <v>424</v>
      </c>
      <c r="E425">
        <v>14000</v>
      </c>
      <c r="F425" t="s">
        <v>25</v>
      </c>
      <c r="G425" s="9">
        <v>7</v>
      </c>
      <c r="H425" t="s">
        <v>68</v>
      </c>
      <c r="I425">
        <v>3</v>
      </c>
      <c r="J425" s="13">
        <f t="shared" si="6"/>
        <v>7</v>
      </c>
    </row>
    <row r="426" spans="1:10" x14ac:dyDescent="0.2">
      <c r="A426" s="6">
        <v>43193</v>
      </c>
      <c r="B426">
        <v>2016</v>
      </c>
      <c r="C426">
        <v>1756</v>
      </c>
      <c r="D426">
        <v>425</v>
      </c>
      <c r="E426">
        <v>13500</v>
      </c>
      <c r="F426" t="s">
        <v>25</v>
      </c>
      <c r="G426" s="9">
        <v>7</v>
      </c>
      <c r="H426" t="s">
        <v>68</v>
      </c>
      <c r="I426">
        <v>3</v>
      </c>
      <c r="J426" s="13">
        <f t="shared" si="6"/>
        <v>7</v>
      </c>
    </row>
    <row r="427" spans="1:10" x14ac:dyDescent="0.2">
      <c r="A427" s="6">
        <v>43062</v>
      </c>
      <c r="B427">
        <v>2013</v>
      </c>
      <c r="C427">
        <v>1756</v>
      </c>
      <c r="D427">
        <v>426</v>
      </c>
      <c r="E427">
        <v>10500</v>
      </c>
      <c r="F427" t="s">
        <v>25</v>
      </c>
      <c r="G427" s="9">
        <v>7</v>
      </c>
      <c r="H427" t="s">
        <v>68</v>
      </c>
      <c r="I427">
        <v>6</v>
      </c>
      <c r="J427" s="13">
        <f t="shared" si="6"/>
        <v>7</v>
      </c>
    </row>
    <row r="428" spans="1:10" x14ac:dyDescent="0.2">
      <c r="A428" s="6">
        <v>43045</v>
      </c>
      <c r="B428">
        <v>2016</v>
      </c>
      <c r="C428">
        <v>1756</v>
      </c>
      <c r="D428">
        <v>427</v>
      </c>
      <c r="E428">
        <v>10200</v>
      </c>
      <c r="F428" t="s">
        <v>25</v>
      </c>
      <c r="G428" s="9">
        <v>7</v>
      </c>
      <c r="H428" t="s">
        <v>68</v>
      </c>
      <c r="I428">
        <v>3</v>
      </c>
      <c r="J428" s="13">
        <f t="shared" si="6"/>
        <v>7</v>
      </c>
    </row>
    <row r="429" spans="1:10" x14ac:dyDescent="0.2">
      <c r="A429" s="6">
        <v>43027</v>
      </c>
      <c r="B429">
        <v>2013</v>
      </c>
      <c r="C429">
        <v>1756</v>
      </c>
      <c r="D429">
        <v>428</v>
      </c>
      <c r="E429">
        <v>10150</v>
      </c>
      <c r="F429" t="s">
        <v>25</v>
      </c>
      <c r="G429" s="9">
        <v>7</v>
      </c>
      <c r="H429" t="s">
        <v>68</v>
      </c>
      <c r="I429">
        <v>6</v>
      </c>
      <c r="J429" s="13">
        <f t="shared" si="6"/>
        <v>7</v>
      </c>
    </row>
    <row r="430" spans="1:10" x14ac:dyDescent="0.2">
      <c r="A430" s="6">
        <v>43535</v>
      </c>
      <c r="B430">
        <v>2017</v>
      </c>
      <c r="C430">
        <v>1756</v>
      </c>
      <c r="D430">
        <v>429</v>
      </c>
      <c r="E430">
        <v>10200</v>
      </c>
      <c r="F430" t="s">
        <v>25</v>
      </c>
      <c r="G430" s="9">
        <v>8</v>
      </c>
      <c r="H430" t="s">
        <v>68</v>
      </c>
      <c r="I430">
        <v>2</v>
      </c>
      <c r="J430" s="13">
        <f t="shared" si="6"/>
        <v>8</v>
      </c>
    </row>
    <row r="431" spans="1:10" x14ac:dyDescent="0.2">
      <c r="A431" s="6">
        <v>43395</v>
      </c>
      <c r="B431">
        <v>2016</v>
      </c>
      <c r="C431">
        <v>1756</v>
      </c>
      <c r="D431">
        <v>430</v>
      </c>
      <c r="E431">
        <v>11500</v>
      </c>
      <c r="F431" t="s">
        <v>25</v>
      </c>
      <c r="G431" s="9">
        <v>8</v>
      </c>
      <c r="H431" t="s">
        <v>68</v>
      </c>
      <c r="I431">
        <v>3</v>
      </c>
      <c r="J431" s="13">
        <f t="shared" si="6"/>
        <v>8</v>
      </c>
    </row>
    <row r="432" spans="1:10" x14ac:dyDescent="0.2">
      <c r="A432" s="6">
        <v>43259</v>
      </c>
      <c r="B432">
        <v>2013</v>
      </c>
      <c r="C432">
        <v>1756</v>
      </c>
      <c r="D432">
        <v>431</v>
      </c>
      <c r="E432">
        <v>14000</v>
      </c>
      <c r="F432" t="s">
        <v>25</v>
      </c>
      <c r="G432" s="9">
        <v>8</v>
      </c>
      <c r="H432" t="s">
        <v>68</v>
      </c>
      <c r="I432">
        <v>6</v>
      </c>
      <c r="J432" s="13">
        <f t="shared" si="6"/>
        <v>8</v>
      </c>
    </row>
    <row r="433" spans="1:10" x14ac:dyDescent="0.2">
      <c r="A433" s="6">
        <v>43138</v>
      </c>
      <c r="B433">
        <v>2017</v>
      </c>
      <c r="C433">
        <v>1756</v>
      </c>
      <c r="D433">
        <v>432</v>
      </c>
      <c r="E433">
        <v>12200</v>
      </c>
      <c r="F433" t="s">
        <v>25</v>
      </c>
      <c r="G433" s="9">
        <v>8</v>
      </c>
      <c r="H433" t="s">
        <v>68</v>
      </c>
      <c r="I433">
        <v>2</v>
      </c>
      <c r="J433" s="13">
        <f t="shared" si="6"/>
        <v>8</v>
      </c>
    </row>
    <row r="434" spans="1:10" x14ac:dyDescent="0.2">
      <c r="A434" s="6">
        <v>42796</v>
      </c>
      <c r="B434">
        <v>2013</v>
      </c>
      <c r="C434">
        <v>1756</v>
      </c>
      <c r="D434">
        <v>433</v>
      </c>
      <c r="E434">
        <v>8050</v>
      </c>
      <c r="F434" t="s">
        <v>25</v>
      </c>
      <c r="G434" s="9">
        <v>8</v>
      </c>
      <c r="H434" t="s">
        <v>68</v>
      </c>
      <c r="I434">
        <v>6</v>
      </c>
      <c r="J434" s="13">
        <f t="shared" si="6"/>
        <v>8</v>
      </c>
    </row>
    <row r="435" spans="1:10" x14ac:dyDescent="0.2">
      <c r="A435" s="6">
        <v>42509</v>
      </c>
      <c r="B435">
        <v>2016</v>
      </c>
      <c r="C435">
        <v>1756</v>
      </c>
      <c r="D435">
        <v>434</v>
      </c>
      <c r="E435">
        <v>8600</v>
      </c>
      <c r="F435" t="s">
        <v>25</v>
      </c>
      <c r="G435" s="9">
        <v>8</v>
      </c>
      <c r="H435" t="s">
        <v>68</v>
      </c>
      <c r="I435">
        <v>3</v>
      </c>
      <c r="J435" s="13">
        <f t="shared" si="6"/>
        <v>8</v>
      </c>
    </row>
    <row r="436" spans="1:10" x14ac:dyDescent="0.2">
      <c r="A436" s="6">
        <v>43346</v>
      </c>
      <c r="B436">
        <v>2016</v>
      </c>
      <c r="C436">
        <v>1756</v>
      </c>
      <c r="D436">
        <v>435</v>
      </c>
      <c r="E436">
        <v>12300</v>
      </c>
      <c r="F436" t="s">
        <v>25</v>
      </c>
      <c r="G436" s="9">
        <v>9</v>
      </c>
      <c r="H436" t="s">
        <v>68</v>
      </c>
      <c r="I436">
        <v>3</v>
      </c>
      <c r="J436" s="13">
        <f t="shared" si="6"/>
        <v>9</v>
      </c>
    </row>
    <row r="437" spans="1:10" x14ac:dyDescent="0.2">
      <c r="A437" s="6">
        <v>42655</v>
      </c>
      <c r="B437">
        <v>2013</v>
      </c>
      <c r="C437">
        <v>1756</v>
      </c>
      <c r="D437">
        <v>436</v>
      </c>
      <c r="E437">
        <v>8375</v>
      </c>
      <c r="F437" t="s">
        <v>25</v>
      </c>
      <c r="G437" s="9">
        <v>9</v>
      </c>
      <c r="H437" t="s">
        <v>68</v>
      </c>
      <c r="I437">
        <v>6</v>
      </c>
      <c r="J437" s="13">
        <f t="shared" si="6"/>
        <v>9</v>
      </c>
    </row>
    <row r="438" spans="1:10" x14ac:dyDescent="0.2">
      <c r="A438" s="6">
        <v>42402</v>
      </c>
      <c r="B438">
        <v>2016</v>
      </c>
      <c r="C438">
        <v>1756</v>
      </c>
      <c r="D438">
        <v>437</v>
      </c>
      <c r="E438">
        <v>8400</v>
      </c>
      <c r="F438" t="s">
        <v>25</v>
      </c>
      <c r="G438" s="9">
        <v>9</v>
      </c>
      <c r="H438" t="s">
        <v>68</v>
      </c>
      <c r="I438">
        <v>3</v>
      </c>
      <c r="J438" s="13">
        <f t="shared" si="6"/>
        <v>9</v>
      </c>
    </row>
    <row r="439" spans="1:10" x14ac:dyDescent="0.2">
      <c r="A439" s="6">
        <v>43612</v>
      </c>
      <c r="B439">
        <v>2019</v>
      </c>
      <c r="C439">
        <v>1762</v>
      </c>
      <c r="D439">
        <v>438</v>
      </c>
      <c r="E439">
        <v>11000</v>
      </c>
      <c r="F439" t="s">
        <v>25</v>
      </c>
      <c r="G439" s="9">
        <v>12</v>
      </c>
      <c r="H439" t="s">
        <v>68</v>
      </c>
      <c r="I439">
        <v>0</v>
      </c>
      <c r="J439" s="13">
        <f t="shared" si="6"/>
        <v>12</v>
      </c>
    </row>
    <row r="440" spans="1:10" x14ac:dyDescent="0.2">
      <c r="A440" s="6">
        <v>43612</v>
      </c>
      <c r="B440">
        <v>2019</v>
      </c>
      <c r="C440">
        <v>1762</v>
      </c>
      <c r="D440">
        <v>439</v>
      </c>
      <c r="E440">
        <v>11000</v>
      </c>
      <c r="F440" t="s">
        <v>25</v>
      </c>
      <c r="G440" s="9">
        <v>12</v>
      </c>
      <c r="H440" t="s">
        <v>68</v>
      </c>
      <c r="I440">
        <v>0</v>
      </c>
      <c r="J440" s="13">
        <f t="shared" si="6"/>
        <v>12</v>
      </c>
    </row>
    <row r="441" spans="1:10" x14ac:dyDescent="0.2">
      <c r="A441" s="6">
        <v>43612</v>
      </c>
      <c r="B441">
        <v>2019</v>
      </c>
      <c r="C441">
        <v>1774</v>
      </c>
      <c r="D441">
        <v>440</v>
      </c>
      <c r="E441">
        <v>11000</v>
      </c>
      <c r="F441" t="s">
        <v>25</v>
      </c>
      <c r="G441" s="9">
        <v>12</v>
      </c>
      <c r="H441" t="s">
        <v>68</v>
      </c>
      <c r="I441">
        <v>0</v>
      </c>
      <c r="J441" s="13">
        <f t="shared" si="6"/>
        <v>12</v>
      </c>
    </row>
    <row r="442" spans="1:10" x14ac:dyDescent="0.2">
      <c r="A442" s="6">
        <v>43493</v>
      </c>
      <c r="B442">
        <v>2019</v>
      </c>
      <c r="C442">
        <v>1774</v>
      </c>
      <c r="D442">
        <v>441</v>
      </c>
      <c r="E442">
        <v>10850</v>
      </c>
      <c r="F442" t="s">
        <v>25</v>
      </c>
      <c r="G442" s="9">
        <v>6</v>
      </c>
      <c r="H442" t="s">
        <v>68</v>
      </c>
      <c r="I442">
        <v>0</v>
      </c>
      <c r="J442" s="13">
        <f t="shared" si="6"/>
        <v>6</v>
      </c>
    </row>
    <row r="443" spans="1:10" x14ac:dyDescent="0.2">
      <c r="A443" s="6">
        <v>43374</v>
      </c>
      <c r="B443">
        <v>2018</v>
      </c>
      <c r="C443">
        <v>1774</v>
      </c>
      <c r="D443">
        <v>442</v>
      </c>
      <c r="E443">
        <v>12000</v>
      </c>
      <c r="F443" t="s">
        <v>25</v>
      </c>
      <c r="G443" s="9">
        <v>6</v>
      </c>
      <c r="H443" t="s">
        <v>68</v>
      </c>
      <c r="I443">
        <v>1</v>
      </c>
      <c r="J443" s="13">
        <f t="shared" si="6"/>
        <v>6</v>
      </c>
    </row>
    <row r="444" spans="1:10" x14ac:dyDescent="0.2">
      <c r="A444" s="6">
        <v>43542</v>
      </c>
      <c r="B444">
        <v>2018</v>
      </c>
      <c r="C444">
        <v>1774</v>
      </c>
      <c r="D444">
        <v>443</v>
      </c>
      <c r="E444">
        <v>11475</v>
      </c>
      <c r="F444" t="s">
        <v>25</v>
      </c>
      <c r="G444" s="9">
        <v>7</v>
      </c>
      <c r="H444" t="s">
        <v>68</v>
      </c>
      <c r="I444">
        <v>1</v>
      </c>
      <c r="J444" s="13">
        <f t="shared" si="6"/>
        <v>7</v>
      </c>
    </row>
    <row r="445" spans="1:10" x14ac:dyDescent="0.2">
      <c r="A445" s="6">
        <v>43528</v>
      </c>
      <c r="B445">
        <v>2016</v>
      </c>
      <c r="C445">
        <v>1785</v>
      </c>
      <c r="D445">
        <v>444</v>
      </c>
      <c r="E445">
        <v>10150</v>
      </c>
      <c r="F445" t="s">
        <v>25</v>
      </c>
      <c r="G445" s="9">
        <v>5</v>
      </c>
      <c r="H445" t="s">
        <v>68</v>
      </c>
      <c r="I445">
        <v>3</v>
      </c>
      <c r="J445" s="13">
        <f t="shared" si="6"/>
        <v>5</v>
      </c>
    </row>
    <row r="446" spans="1:10" x14ac:dyDescent="0.2">
      <c r="A446" s="6">
        <v>43070</v>
      </c>
      <c r="B446">
        <v>2013</v>
      </c>
      <c r="C446">
        <v>1800</v>
      </c>
      <c r="D446">
        <v>445</v>
      </c>
      <c r="E446">
        <v>9950</v>
      </c>
      <c r="F446" t="s">
        <v>25</v>
      </c>
      <c r="G446" s="9">
        <v>3</v>
      </c>
      <c r="H446" t="s">
        <v>68</v>
      </c>
      <c r="I446">
        <v>6</v>
      </c>
      <c r="J446" s="13">
        <f t="shared" si="6"/>
        <v>3</v>
      </c>
    </row>
    <row r="447" spans="1:10" x14ac:dyDescent="0.2">
      <c r="A447" s="6">
        <v>43388</v>
      </c>
      <c r="B447">
        <v>2012</v>
      </c>
      <c r="C447">
        <v>1800</v>
      </c>
      <c r="D447">
        <v>446</v>
      </c>
      <c r="E447">
        <v>8750</v>
      </c>
      <c r="F447" t="s">
        <v>25</v>
      </c>
      <c r="G447" s="9">
        <v>6</v>
      </c>
      <c r="H447" t="s">
        <v>68</v>
      </c>
      <c r="I447">
        <v>7</v>
      </c>
      <c r="J447" s="13">
        <f t="shared" si="6"/>
        <v>6</v>
      </c>
    </row>
    <row r="448" spans="1:10" x14ac:dyDescent="0.2">
      <c r="A448" s="6">
        <v>43208</v>
      </c>
      <c r="B448">
        <v>2013</v>
      </c>
      <c r="C448">
        <v>1800</v>
      </c>
      <c r="D448">
        <v>447</v>
      </c>
      <c r="E448">
        <v>13000</v>
      </c>
      <c r="F448" t="s">
        <v>25</v>
      </c>
      <c r="G448" s="9">
        <v>6</v>
      </c>
      <c r="H448" t="s">
        <v>68</v>
      </c>
      <c r="I448">
        <v>6</v>
      </c>
      <c r="J448" s="13">
        <f t="shared" si="6"/>
        <v>6</v>
      </c>
    </row>
    <row r="449" spans="1:10" x14ac:dyDescent="0.2">
      <c r="A449" s="6">
        <v>42703</v>
      </c>
      <c r="B449">
        <v>2013</v>
      </c>
      <c r="C449">
        <v>1800</v>
      </c>
      <c r="D449">
        <v>448</v>
      </c>
      <c r="E449">
        <v>7800</v>
      </c>
      <c r="F449" t="s">
        <v>25</v>
      </c>
      <c r="G449" s="9">
        <v>6</v>
      </c>
      <c r="H449" t="s">
        <v>68</v>
      </c>
      <c r="I449">
        <v>6</v>
      </c>
      <c r="J449" s="13">
        <f t="shared" si="6"/>
        <v>6</v>
      </c>
    </row>
    <row r="450" spans="1:10" x14ac:dyDescent="0.2">
      <c r="A450" s="6">
        <v>43139</v>
      </c>
      <c r="B450">
        <v>2012</v>
      </c>
      <c r="C450">
        <v>1800</v>
      </c>
      <c r="D450">
        <v>449</v>
      </c>
      <c r="E450">
        <v>8900</v>
      </c>
      <c r="F450" t="s">
        <v>25</v>
      </c>
      <c r="G450" s="9">
        <v>7</v>
      </c>
      <c r="H450" t="s">
        <v>68</v>
      </c>
      <c r="I450">
        <v>7</v>
      </c>
      <c r="J450" s="13">
        <f t="shared" ref="J450:J513" si="7">IF(H450="days",ROUND(G450/30,0),IF(H450="years",G450*12,G450))</f>
        <v>7</v>
      </c>
    </row>
    <row r="451" spans="1:10" x14ac:dyDescent="0.2">
      <c r="A451" s="6">
        <v>43602</v>
      </c>
      <c r="B451">
        <v>2017</v>
      </c>
      <c r="C451">
        <v>1805</v>
      </c>
      <c r="D451">
        <v>450</v>
      </c>
      <c r="E451">
        <v>10500</v>
      </c>
      <c r="F451" t="s">
        <v>25</v>
      </c>
      <c r="G451" s="9">
        <v>6</v>
      </c>
      <c r="H451" t="s">
        <v>68</v>
      </c>
      <c r="I451">
        <v>2</v>
      </c>
      <c r="J451" s="13">
        <f t="shared" si="7"/>
        <v>6</v>
      </c>
    </row>
    <row r="452" spans="1:10" x14ac:dyDescent="0.2">
      <c r="A452" s="6">
        <v>43405</v>
      </c>
      <c r="B452">
        <v>2017</v>
      </c>
      <c r="C452">
        <v>1805</v>
      </c>
      <c r="D452">
        <v>451</v>
      </c>
      <c r="E452">
        <v>11500</v>
      </c>
      <c r="F452" t="s">
        <v>25</v>
      </c>
      <c r="G452" s="9">
        <v>6</v>
      </c>
      <c r="H452" t="s">
        <v>68</v>
      </c>
      <c r="I452">
        <v>2</v>
      </c>
      <c r="J452" s="13">
        <f t="shared" si="7"/>
        <v>6</v>
      </c>
    </row>
    <row r="453" spans="1:10" x14ac:dyDescent="0.2">
      <c r="A453" s="6">
        <v>43221</v>
      </c>
      <c r="B453">
        <v>2017</v>
      </c>
      <c r="C453">
        <v>1805</v>
      </c>
      <c r="D453">
        <v>452</v>
      </c>
      <c r="E453">
        <v>13250</v>
      </c>
      <c r="F453" t="s">
        <v>25</v>
      </c>
      <c r="G453" s="9">
        <v>6</v>
      </c>
      <c r="H453" t="s">
        <v>68</v>
      </c>
      <c r="I453">
        <v>2</v>
      </c>
      <c r="J453" s="13">
        <f t="shared" si="7"/>
        <v>6</v>
      </c>
    </row>
    <row r="454" spans="1:10" x14ac:dyDescent="0.2">
      <c r="A454" s="6">
        <v>43403</v>
      </c>
      <c r="B454">
        <v>2017</v>
      </c>
      <c r="C454">
        <v>1805</v>
      </c>
      <c r="D454">
        <v>453</v>
      </c>
      <c r="E454">
        <v>11500</v>
      </c>
      <c r="F454" t="s">
        <v>25</v>
      </c>
      <c r="G454" s="9">
        <v>7</v>
      </c>
      <c r="H454" t="s">
        <v>68</v>
      </c>
      <c r="I454">
        <v>2</v>
      </c>
      <c r="J454" s="13">
        <f t="shared" si="7"/>
        <v>7</v>
      </c>
    </row>
    <row r="455" spans="1:10" x14ac:dyDescent="0.2">
      <c r="A455" s="6">
        <v>43161</v>
      </c>
      <c r="B455">
        <v>2017</v>
      </c>
      <c r="C455">
        <v>1805</v>
      </c>
      <c r="D455">
        <v>454</v>
      </c>
      <c r="E455">
        <v>12000</v>
      </c>
      <c r="F455" t="s">
        <v>25</v>
      </c>
      <c r="G455" s="9">
        <v>8</v>
      </c>
      <c r="H455" t="s">
        <v>68</v>
      </c>
      <c r="I455">
        <v>2</v>
      </c>
      <c r="J455" s="13">
        <f t="shared" si="7"/>
        <v>8</v>
      </c>
    </row>
    <row r="456" spans="1:10" x14ac:dyDescent="0.2">
      <c r="A456" s="6">
        <v>43151</v>
      </c>
      <c r="B456">
        <v>2017</v>
      </c>
      <c r="C456">
        <v>1805</v>
      </c>
      <c r="D456">
        <v>455</v>
      </c>
      <c r="E456">
        <v>12000</v>
      </c>
      <c r="F456" t="s">
        <v>25</v>
      </c>
      <c r="G456" s="9">
        <v>8</v>
      </c>
      <c r="H456" t="s">
        <v>68</v>
      </c>
      <c r="I456">
        <v>2</v>
      </c>
      <c r="J456" s="13">
        <f t="shared" si="7"/>
        <v>8</v>
      </c>
    </row>
    <row r="457" spans="1:10" x14ac:dyDescent="0.2">
      <c r="A457" s="6">
        <v>42887</v>
      </c>
      <c r="B457">
        <v>2017</v>
      </c>
      <c r="C457">
        <v>1808</v>
      </c>
      <c r="D457">
        <v>456</v>
      </c>
      <c r="E457">
        <v>7000</v>
      </c>
      <c r="F457" t="s">
        <v>25</v>
      </c>
      <c r="G457" s="15">
        <v>30</v>
      </c>
      <c r="H457" t="s">
        <v>26</v>
      </c>
      <c r="I457">
        <v>2</v>
      </c>
      <c r="J457" s="13">
        <f t="shared" si="7"/>
        <v>1</v>
      </c>
    </row>
    <row r="458" spans="1:10" x14ac:dyDescent="0.2">
      <c r="A458" s="6">
        <v>43592</v>
      </c>
      <c r="B458">
        <v>2019</v>
      </c>
      <c r="C458">
        <v>1809</v>
      </c>
      <c r="D458">
        <v>457</v>
      </c>
      <c r="E458">
        <v>11000</v>
      </c>
      <c r="F458" t="s">
        <v>25</v>
      </c>
      <c r="G458" s="9">
        <v>6</v>
      </c>
      <c r="H458" t="s">
        <v>68</v>
      </c>
      <c r="I458">
        <v>0</v>
      </c>
      <c r="J458" s="13">
        <f t="shared" si="7"/>
        <v>6</v>
      </c>
    </row>
    <row r="459" spans="1:10" x14ac:dyDescent="0.2">
      <c r="A459" s="6">
        <v>43139</v>
      </c>
      <c r="B459">
        <v>2013</v>
      </c>
      <c r="C459">
        <v>1891</v>
      </c>
      <c r="D459">
        <v>458</v>
      </c>
      <c r="E459">
        <v>11000</v>
      </c>
      <c r="F459" t="s">
        <v>25</v>
      </c>
      <c r="G459" s="9">
        <v>6</v>
      </c>
      <c r="H459" t="s">
        <v>68</v>
      </c>
      <c r="I459">
        <v>6</v>
      </c>
      <c r="J459" s="13">
        <f t="shared" si="7"/>
        <v>6</v>
      </c>
    </row>
    <row r="460" spans="1:10" x14ac:dyDescent="0.2">
      <c r="A460" s="6">
        <v>43528</v>
      </c>
      <c r="B460">
        <v>2013</v>
      </c>
      <c r="C460">
        <v>1891</v>
      </c>
      <c r="D460">
        <v>459</v>
      </c>
      <c r="E460">
        <v>10200</v>
      </c>
      <c r="F460" t="s">
        <v>25</v>
      </c>
      <c r="G460" s="9">
        <v>8</v>
      </c>
      <c r="H460" t="s">
        <v>68</v>
      </c>
      <c r="I460">
        <v>6</v>
      </c>
      <c r="J460" s="13">
        <f t="shared" si="7"/>
        <v>8</v>
      </c>
    </row>
    <row r="461" spans="1:10" x14ac:dyDescent="0.2">
      <c r="A461" s="6">
        <v>42948</v>
      </c>
      <c r="B461">
        <v>2017</v>
      </c>
      <c r="C461">
        <v>1900</v>
      </c>
      <c r="D461">
        <v>460</v>
      </c>
      <c r="E461">
        <v>8900</v>
      </c>
      <c r="F461" t="s">
        <v>25</v>
      </c>
      <c r="G461" s="9">
        <v>6</v>
      </c>
      <c r="H461" t="s">
        <v>68</v>
      </c>
      <c r="I461">
        <v>2</v>
      </c>
      <c r="J461" s="13">
        <f t="shared" si="7"/>
        <v>6</v>
      </c>
    </row>
    <row r="462" spans="1:10" x14ac:dyDescent="0.2">
      <c r="A462" s="6">
        <v>43215</v>
      </c>
      <c r="B462">
        <v>2016</v>
      </c>
      <c r="C462">
        <v>1922</v>
      </c>
      <c r="D462">
        <v>461</v>
      </c>
      <c r="E462">
        <v>14750</v>
      </c>
      <c r="F462" t="s">
        <v>25</v>
      </c>
      <c r="G462" s="9">
        <v>12</v>
      </c>
      <c r="H462" t="s">
        <v>68</v>
      </c>
      <c r="I462">
        <v>3</v>
      </c>
      <c r="J462" s="13">
        <f t="shared" si="7"/>
        <v>12</v>
      </c>
    </row>
    <row r="463" spans="1:10" x14ac:dyDescent="0.2">
      <c r="A463" s="6">
        <v>43563</v>
      </c>
      <c r="B463">
        <v>2016</v>
      </c>
      <c r="C463">
        <v>1922</v>
      </c>
      <c r="D463">
        <v>462</v>
      </c>
      <c r="E463">
        <v>14300</v>
      </c>
      <c r="F463" t="s">
        <v>25</v>
      </c>
      <c r="G463" s="15">
        <v>45</v>
      </c>
      <c r="H463" t="s">
        <v>26</v>
      </c>
      <c r="I463">
        <v>3</v>
      </c>
      <c r="J463" s="13">
        <f t="shared" si="7"/>
        <v>2</v>
      </c>
    </row>
    <row r="464" spans="1:10" x14ac:dyDescent="0.2">
      <c r="A464" s="6">
        <v>43185</v>
      </c>
      <c r="B464">
        <v>2016</v>
      </c>
      <c r="C464">
        <v>1922</v>
      </c>
      <c r="D464">
        <v>463</v>
      </c>
      <c r="E464">
        <v>14750</v>
      </c>
      <c r="F464" t="s">
        <v>25</v>
      </c>
      <c r="G464" s="9">
        <v>6</v>
      </c>
      <c r="H464" t="s">
        <v>68</v>
      </c>
      <c r="I464">
        <v>3</v>
      </c>
      <c r="J464" s="13">
        <f t="shared" si="7"/>
        <v>6</v>
      </c>
    </row>
    <row r="465" spans="1:10" x14ac:dyDescent="0.2">
      <c r="A465" s="6">
        <v>42838</v>
      </c>
      <c r="B465">
        <v>2017</v>
      </c>
      <c r="C465">
        <v>1922</v>
      </c>
      <c r="D465">
        <v>464</v>
      </c>
      <c r="E465">
        <v>10250</v>
      </c>
      <c r="F465" t="s">
        <v>25</v>
      </c>
      <c r="G465" s="9">
        <v>6</v>
      </c>
      <c r="H465" t="s">
        <v>68</v>
      </c>
      <c r="I465">
        <v>2</v>
      </c>
      <c r="J465" s="13">
        <f t="shared" si="7"/>
        <v>6</v>
      </c>
    </row>
    <row r="466" spans="1:10" x14ac:dyDescent="0.2">
      <c r="A466" s="6">
        <v>42993</v>
      </c>
      <c r="B466">
        <v>2017</v>
      </c>
      <c r="C466">
        <v>1922</v>
      </c>
      <c r="D466">
        <v>465</v>
      </c>
      <c r="E466">
        <v>10750</v>
      </c>
      <c r="F466" t="s">
        <v>25</v>
      </c>
      <c r="G466" s="9">
        <v>8</v>
      </c>
      <c r="H466" t="s">
        <v>68</v>
      </c>
      <c r="I466">
        <v>2</v>
      </c>
      <c r="J466" s="13">
        <f t="shared" si="7"/>
        <v>8</v>
      </c>
    </row>
    <row r="467" spans="1:10" x14ac:dyDescent="0.2">
      <c r="A467" s="6">
        <v>43104</v>
      </c>
      <c r="B467">
        <v>2017</v>
      </c>
      <c r="C467">
        <v>1946</v>
      </c>
      <c r="D467">
        <v>466</v>
      </c>
      <c r="E467">
        <v>10500</v>
      </c>
      <c r="F467" t="s">
        <v>25</v>
      </c>
      <c r="G467" s="9">
        <v>6</v>
      </c>
      <c r="H467" t="s">
        <v>68</v>
      </c>
      <c r="I467">
        <v>2</v>
      </c>
      <c r="J467" s="13">
        <f t="shared" si="7"/>
        <v>6</v>
      </c>
    </row>
    <row r="468" spans="1:10" x14ac:dyDescent="0.2">
      <c r="A468" s="6">
        <v>43070</v>
      </c>
      <c r="B468">
        <v>2017</v>
      </c>
      <c r="C468">
        <v>1946</v>
      </c>
      <c r="D468">
        <v>467</v>
      </c>
      <c r="E468">
        <v>10500</v>
      </c>
      <c r="F468" t="s">
        <v>25</v>
      </c>
      <c r="G468" s="9">
        <v>6</v>
      </c>
      <c r="H468" t="s">
        <v>68</v>
      </c>
      <c r="I468">
        <v>2</v>
      </c>
      <c r="J468" s="13">
        <f t="shared" si="7"/>
        <v>6</v>
      </c>
    </row>
    <row r="469" spans="1:10" x14ac:dyDescent="0.2">
      <c r="A469" s="6">
        <v>43062</v>
      </c>
      <c r="B469">
        <v>2018</v>
      </c>
      <c r="C469">
        <v>1946</v>
      </c>
      <c r="D469">
        <v>468</v>
      </c>
      <c r="E469">
        <v>10000</v>
      </c>
      <c r="F469" t="s">
        <v>25</v>
      </c>
      <c r="G469" s="9">
        <v>7</v>
      </c>
      <c r="H469" t="s">
        <v>68</v>
      </c>
      <c r="I469">
        <v>1</v>
      </c>
      <c r="J469" s="13">
        <f t="shared" si="7"/>
        <v>7</v>
      </c>
    </row>
    <row r="470" spans="1:10" x14ac:dyDescent="0.2">
      <c r="A470" s="6">
        <v>42459</v>
      </c>
      <c r="B470">
        <v>2016</v>
      </c>
      <c r="C470">
        <v>1980</v>
      </c>
      <c r="D470">
        <v>469</v>
      </c>
      <c r="E470">
        <v>9200</v>
      </c>
      <c r="F470" t="s">
        <v>25</v>
      </c>
      <c r="G470" s="9">
        <v>9</v>
      </c>
      <c r="H470" t="s">
        <v>68</v>
      </c>
      <c r="I470">
        <v>3</v>
      </c>
      <c r="J470" s="13">
        <f t="shared" si="7"/>
        <v>9</v>
      </c>
    </row>
    <row r="471" spans="1:10" x14ac:dyDescent="0.2">
      <c r="A471" s="6">
        <v>43286</v>
      </c>
      <c r="B471">
        <v>2016</v>
      </c>
      <c r="C471">
        <v>2034</v>
      </c>
      <c r="D471">
        <v>470</v>
      </c>
      <c r="E471">
        <v>13500</v>
      </c>
      <c r="F471" t="s">
        <v>25</v>
      </c>
      <c r="G471" s="9">
        <v>12</v>
      </c>
      <c r="H471" t="s">
        <v>68</v>
      </c>
      <c r="I471">
        <v>3</v>
      </c>
      <c r="J471" s="13">
        <f t="shared" si="7"/>
        <v>12</v>
      </c>
    </row>
    <row r="472" spans="1:10" x14ac:dyDescent="0.2">
      <c r="A472" s="6">
        <v>43273</v>
      </c>
      <c r="B472">
        <v>2016</v>
      </c>
      <c r="C472">
        <v>2034</v>
      </c>
      <c r="D472">
        <v>471</v>
      </c>
      <c r="E472">
        <v>13500</v>
      </c>
      <c r="F472" t="s">
        <v>25</v>
      </c>
      <c r="G472" s="9">
        <v>13</v>
      </c>
      <c r="H472" t="s">
        <v>68</v>
      </c>
      <c r="I472">
        <v>3</v>
      </c>
      <c r="J472" s="13">
        <f t="shared" si="7"/>
        <v>13</v>
      </c>
    </row>
    <row r="473" spans="1:10" x14ac:dyDescent="0.2">
      <c r="A473" s="6">
        <v>42951</v>
      </c>
      <c r="B473">
        <v>2016</v>
      </c>
      <c r="C473">
        <v>2034</v>
      </c>
      <c r="D473">
        <v>472</v>
      </c>
      <c r="E473">
        <v>9250</v>
      </c>
      <c r="F473" t="s">
        <v>25</v>
      </c>
      <c r="G473" s="9">
        <v>5</v>
      </c>
      <c r="H473" t="s">
        <v>68</v>
      </c>
      <c r="I473">
        <v>3</v>
      </c>
      <c r="J473" s="13">
        <f t="shared" si="7"/>
        <v>5</v>
      </c>
    </row>
    <row r="474" spans="1:10" x14ac:dyDescent="0.2">
      <c r="A474" s="6">
        <v>43054</v>
      </c>
      <c r="B474">
        <v>2016</v>
      </c>
      <c r="C474">
        <v>2034</v>
      </c>
      <c r="D474">
        <v>473</v>
      </c>
      <c r="E474">
        <v>10000</v>
      </c>
      <c r="F474" t="s">
        <v>25</v>
      </c>
      <c r="G474" s="9">
        <v>7</v>
      </c>
      <c r="H474" t="s">
        <v>68</v>
      </c>
      <c r="I474">
        <v>3</v>
      </c>
      <c r="J474" s="13">
        <f t="shared" si="7"/>
        <v>7</v>
      </c>
    </row>
    <row r="475" spans="1:10" x14ac:dyDescent="0.2">
      <c r="A475" s="6">
        <v>42613</v>
      </c>
      <c r="B475">
        <v>2016</v>
      </c>
      <c r="C475">
        <v>2034</v>
      </c>
      <c r="D475">
        <v>474</v>
      </c>
      <c r="E475">
        <v>8500</v>
      </c>
      <c r="F475" t="s">
        <v>25</v>
      </c>
      <c r="G475" s="9">
        <v>7</v>
      </c>
      <c r="H475" t="s">
        <v>68</v>
      </c>
      <c r="I475">
        <v>3</v>
      </c>
      <c r="J475" s="13">
        <f t="shared" si="7"/>
        <v>7</v>
      </c>
    </row>
    <row r="476" spans="1:10" x14ac:dyDescent="0.2">
      <c r="A476" s="6">
        <v>43559</v>
      </c>
      <c r="B476">
        <v>2017</v>
      </c>
      <c r="C476">
        <v>2034</v>
      </c>
      <c r="D476">
        <v>475</v>
      </c>
      <c r="E476">
        <v>10750</v>
      </c>
      <c r="F476" t="s">
        <v>25</v>
      </c>
      <c r="G476" s="9">
        <v>8</v>
      </c>
      <c r="H476" t="s">
        <v>68</v>
      </c>
      <c r="I476">
        <v>2</v>
      </c>
      <c r="J476" s="13">
        <f t="shared" si="7"/>
        <v>8</v>
      </c>
    </row>
    <row r="477" spans="1:10" x14ac:dyDescent="0.2">
      <c r="A477" s="6">
        <v>42963</v>
      </c>
      <c r="B477">
        <v>2016</v>
      </c>
      <c r="C477">
        <v>2190</v>
      </c>
      <c r="D477">
        <v>476</v>
      </c>
      <c r="E477">
        <v>11300</v>
      </c>
      <c r="F477" t="s">
        <v>25</v>
      </c>
      <c r="G477" s="9">
        <v>10</v>
      </c>
      <c r="H477" t="s">
        <v>68</v>
      </c>
      <c r="I477">
        <v>3</v>
      </c>
      <c r="J477" s="13">
        <f t="shared" si="7"/>
        <v>10</v>
      </c>
    </row>
    <row r="478" spans="1:10" x14ac:dyDescent="0.2">
      <c r="A478" s="6">
        <v>42752</v>
      </c>
      <c r="B478">
        <v>2017</v>
      </c>
      <c r="C478">
        <v>2190</v>
      </c>
      <c r="D478">
        <v>477</v>
      </c>
      <c r="E478">
        <v>9500</v>
      </c>
      <c r="F478" t="s">
        <v>25</v>
      </c>
      <c r="G478" s="9">
        <v>10</v>
      </c>
      <c r="H478" t="s">
        <v>68</v>
      </c>
      <c r="I478">
        <v>2</v>
      </c>
      <c r="J478" s="13">
        <f t="shared" si="7"/>
        <v>10</v>
      </c>
    </row>
    <row r="479" spans="1:10" x14ac:dyDescent="0.2">
      <c r="A479" s="6">
        <v>42508</v>
      </c>
      <c r="B479">
        <v>2015</v>
      </c>
      <c r="C479">
        <v>2190</v>
      </c>
      <c r="D479">
        <v>478</v>
      </c>
      <c r="E479">
        <v>9525</v>
      </c>
      <c r="F479" t="s">
        <v>25</v>
      </c>
      <c r="G479" s="9">
        <v>10</v>
      </c>
      <c r="H479" t="s">
        <v>68</v>
      </c>
      <c r="I479">
        <v>4</v>
      </c>
      <c r="J479" s="13">
        <f t="shared" si="7"/>
        <v>10</v>
      </c>
    </row>
    <row r="480" spans="1:10" x14ac:dyDescent="0.2">
      <c r="A480" s="6">
        <v>42464</v>
      </c>
      <c r="B480">
        <v>2014</v>
      </c>
      <c r="C480">
        <v>2190</v>
      </c>
      <c r="D480">
        <v>479</v>
      </c>
      <c r="E480">
        <v>9750</v>
      </c>
      <c r="F480" t="s">
        <v>25</v>
      </c>
      <c r="G480" s="9">
        <v>10</v>
      </c>
      <c r="H480" t="s">
        <v>68</v>
      </c>
      <c r="I480">
        <v>5</v>
      </c>
      <c r="J480" s="13">
        <f t="shared" si="7"/>
        <v>10</v>
      </c>
    </row>
    <row r="481" spans="1:10" x14ac:dyDescent="0.2">
      <c r="A481" s="6">
        <v>43238</v>
      </c>
      <c r="B481">
        <v>2014</v>
      </c>
      <c r="C481">
        <v>2190</v>
      </c>
      <c r="D481">
        <v>480</v>
      </c>
      <c r="E481">
        <v>15250</v>
      </c>
      <c r="F481" t="s">
        <v>25</v>
      </c>
      <c r="G481" s="9">
        <v>12</v>
      </c>
      <c r="H481" t="s">
        <v>68</v>
      </c>
      <c r="I481">
        <v>5</v>
      </c>
      <c r="J481" s="13">
        <f t="shared" si="7"/>
        <v>12</v>
      </c>
    </row>
    <row r="482" spans="1:10" x14ac:dyDescent="0.2">
      <c r="A482" s="6">
        <v>42775</v>
      </c>
      <c r="B482">
        <v>2014</v>
      </c>
      <c r="C482">
        <v>2190</v>
      </c>
      <c r="D482">
        <v>481</v>
      </c>
      <c r="E482">
        <v>8900</v>
      </c>
      <c r="F482" t="s">
        <v>25</v>
      </c>
      <c r="G482" s="9">
        <v>12</v>
      </c>
      <c r="H482" t="s">
        <v>68</v>
      </c>
      <c r="I482">
        <v>5</v>
      </c>
      <c r="J482" s="13">
        <f t="shared" si="7"/>
        <v>12</v>
      </c>
    </row>
    <row r="483" spans="1:10" x14ac:dyDescent="0.2">
      <c r="A483" s="6">
        <v>42415</v>
      </c>
      <c r="B483">
        <v>2014</v>
      </c>
      <c r="C483">
        <v>2190</v>
      </c>
      <c r="D483">
        <v>482</v>
      </c>
      <c r="E483">
        <v>9750</v>
      </c>
      <c r="F483" t="s">
        <v>25</v>
      </c>
      <c r="G483" s="9">
        <v>12</v>
      </c>
      <c r="H483" t="s">
        <v>68</v>
      </c>
      <c r="I483">
        <v>5</v>
      </c>
      <c r="J483" s="13">
        <f t="shared" si="7"/>
        <v>12</v>
      </c>
    </row>
    <row r="484" spans="1:10" x14ac:dyDescent="0.2">
      <c r="A484" s="6">
        <v>43570</v>
      </c>
      <c r="B484">
        <v>2015</v>
      </c>
      <c r="C484">
        <v>2190</v>
      </c>
      <c r="D484">
        <v>483</v>
      </c>
      <c r="E484">
        <v>10350</v>
      </c>
      <c r="F484" t="s">
        <v>25</v>
      </c>
      <c r="G484" s="9">
        <v>15</v>
      </c>
      <c r="H484" t="s">
        <v>68</v>
      </c>
      <c r="I484">
        <v>4</v>
      </c>
      <c r="J484" s="13">
        <f t="shared" si="7"/>
        <v>15</v>
      </c>
    </row>
    <row r="485" spans="1:10" x14ac:dyDescent="0.2">
      <c r="A485" s="6">
        <v>42885</v>
      </c>
      <c r="B485">
        <v>2017</v>
      </c>
      <c r="C485">
        <v>2190</v>
      </c>
      <c r="D485">
        <v>484</v>
      </c>
      <c r="E485">
        <v>10750</v>
      </c>
      <c r="F485" t="s">
        <v>25</v>
      </c>
      <c r="G485" s="15">
        <v>160</v>
      </c>
      <c r="H485" t="s">
        <v>26</v>
      </c>
      <c r="I485">
        <v>2</v>
      </c>
      <c r="J485" s="13">
        <f t="shared" si="7"/>
        <v>5</v>
      </c>
    </row>
    <row r="486" spans="1:10" x14ac:dyDescent="0.2">
      <c r="A486" s="6">
        <v>43592</v>
      </c>
      <c r="B486">
        <v>2014</v>
      </c>
      <c r="C486">
        <v>2190</v>
      </c>
      <c r="D486">
        <v>485</v>
      </c>
      <c r="E486">
        <v>10750</v>
      </c>
      <c r="F486" t="s">
        <v>25</v>
      </c>
      <c r="G486" s="9">
        <v>2</v>
      </c>
      <c r="H486" t="s">
        <v>68</v>
      </c>
      <c r="I486">
        <v>5</v>
      </c>
      <c r="J486" s="13">
        <f t="shared" si="7"/>
        <v>2</v>
      </c>
    </row>
    <row r="487" spans="1:10" x14ac:dyDescent="0.2">
      <c r="A487" s="6">
        <v>43250</v>
      </c>
      <c r="B487">
        <v>2016</v>
      </c>
      <c r="C487">
        <v>2190</v>
      </c>
      <c r="D487">
        <v>486</v>
      </c>
      <c r="E487">
        <v>15350</v>
      </c>
      <c r="F487" t="s">
        <v>25</v>
      </c>
      <c r="G487" s="9">
        <v>2</v>
      </c>
      <c r="H487" t="s">
        <v>68</v>
      </c>
      <c r="I487">
        <v>3</v>
      </c>
      <c r="J487" s="13">
        <f t="shared" si="7"/>
        <v>2</v>
      </c>
    </row>
    <row r="488" spans="1:10" x14ac:dyDescent="0.2">
      <c r="A488" s="6">
        <v>43376</v>
      </c>
      <c r="B488">
        <v>2016</v>
      </c>
      <c r="C488">
        <v>2190</v>
      </c>
      <c r="D488">
        <v>487</v>
      </c>
      <c r="E488">
        <v>14100</v>
      </c>
      <c r="F488" t="s">
        <v>25</v>
      </c>
      <c r="G488" s="9">
        <v>3</v>
      </c>
      <c r="H488" t="s">
        <v>68</v>
      </c>
      <c r="I488">
        <v>3</v>
      </c>
      <c r="J488" s="13">
        <f t="shared" si="7"/>
        <v>3</v>
      </c>
    </row>
    <row r="489" spans="1:10" x14ac:dyDescent="0.2">
      <c r="A489" s="6">
        <v>42825</v>
      </c>
      <c r="B489">
        <v>2017</v>
      </c>
      <c r="C489">
        <v>2190</v>
      </c>
      <c r="D489">
        <v>488</v>
      </c>
      <c r="E489">
        <v>11000</v>
      </c>
      <c r="F489" t="s">
        <v>25</v>
      </c>
      <c r="G489" s="9">
        <v>3</v>
      </c>
      <c r="H489" t="s">
        <v>68</v>
      </c>
      <c r="I489">
        <v>2</v>
      </c>
      <c r="J489" s="13">
        <f t="shared" si="7"/>
        <v>3</v>
      </c>
    </row>
    <row r="490" spans="1:10" x14ac:dyDescent="0.2">
      <c r="A490" s="6">
        <v>43342</v>
      </c>
      <c r="B490">
        <v>2015</v>
      </c>
      <c r="C490">
        <v>2190</v>
      </c>
      <c r="D490">
        <v>489</v>
      </c>
      <c r="E490">
        <v>13800</v>
      </c>
      <c r="F490" t="s">
        <v>25</v>
      </c>
      <c r="G490" s="9">
        <v>4</v>
      </c>
      <c r="H490" t="s">
        <v>68</v>
      </c>
      <c r="I490">
        <v>4</v>
      </c>
      <c r="J490" s="13">
        <f t="shared" si="7"/>
        <v>4</v>
      </c>
    </row>
    <row r="491" spans="1:10" x14ac:dyDescent="0.2">
      <c r="A491" s="6">
        <v>43522</v>
      </c>
      <c r="B491">
        <v>2014</v>
      </c>
      <c r="C491">
        <v>2190</v>
      </c>
      <c r="D491">
        <v>490</v>
      </c>
      <c r="E491">
        <v>12000</v>
      </c>
      <c r="F491" t="s">
        <v>25</v>
      </c>
      <c r="G491" s="15">
        <v>42</v>
      </c>
      <c r="H491" t="s">
        <v>26</v>
      </c>
      <c r="I491">
        <v>5</v>
      </c>
      <c r="J491" s="13">
        <f t="shared" si="7"/>
        <v>1</v>
      </c>
    </row>
    <row r="492" spans="1:10" x14ac:dyDescent="0.2">
      <c r="A492" s="6">
        <v>43276</v>
      </c>
      <c r="B492">
        <v>2015</v>
      </c>
      <c r="C492">
        <v>2190</v>
      </c>
      <c r="D492">
        <v>491</v>
      </c>
      <c r="E492">
        <v>15350</v>
      </c>
      <c r="F492" t="s">
        <v>25</v>
      </c>
      <c r="G492" s="9">
        <v>5</v>
      </c>
      <c r="H492" t="s">
        <v>68</v>
      </c>
      <c r="I492">
        <v>4</v>
      </c>
      <c r="J492" s="13">
        <f t="shared" si="7"/>
        <v>5</v>
      </c>
    </row>
    <row r="493" spans="1:10" x14ac:dyDescent="0.2">
      <c r="A493" s="6">
        <v>42866</v>
      </c>
      <c r="B493">
        <v>2016</v>
      </c>
      <c r="C493">
        <v>2190</v>
      </c>
      <c r="D493">
        <v>492</v>
      </c>
      <c r="E493">
        <v>10850</v>
      </c>
      <c r="F493" t="s">
        <v>25</v>
      </c>
      <c r="G493" s="9">
        <v>5</v>
      </c>
      <c r="H493" t="s">
        <v>68</v>
      </c>
      <c r="I493">
        <v>3</v>
      </c>
      <c r="J493" s="13">
        <f t="shared" si="7"/>
        <v>5</v>
      </c>
    </row>
    <row r="494" spans="1:10" x14ac:dyDescent="0.2">
      <c r="A494" s="6">
        <v>43535</v>
      </c>
      <c r="B494">
        <v>2014</v>
      </c>
      <c r="C494">
        <v>2190</v>
      </c>
      <c r="D494">
        <v>493</v>
      </c>
      <c r="E494">
        <v>10500</v>
      </c>
      <c r="F494" t="s">
        <v>25</v>
      </c>
      <c r="G494" s="9">
        <v>6</v>
      </c>
      <c r="H494" t="s">
        <v>68</v>
      </c>
      <c r="I494">
        <v>5</v>
      </c>
      <c r="J494" s="13">
        <f t="shared" si="7"/>
        <v>6</v>
      </c>
    </row>
    <row r="495" spans="1:10" x14ac:dyDescent="0.2">
      <c r="A495" s="6">
        <v>43488</v>
      </c>
      <c r="B495">
        <v>2017</v>
      </c>
      <c r="C495">
        <v>2190</v>
      </c>
      <c r="D495">
        <v>494</v>
      </c>
      <c r="E495">
        <v>12350</v>
      </c>
      <c r="F495" t="s">
        <v>25</v>
      </c>
      <c r="G495" s="9">
        <v>6</v>
      </c>
      <c r="H495" t="s">
        <v>68</v>
      </c>
      <c r="I495">
        <v>2</v>
      </c>
      <c r="J495" s="13">
        <f t="shared" si="7"/>
        <v>6</v>
      </c>
    </row>
    <row r="496" spans="1:10" x14ac:dyDescent="0.2">
      <c r="A496" s="6">
        <v>42514</v>
      </c>
      <c r="B496">
        <v>2016</v>
      </c>
      <c r="C496">
        <v>2190</v>
      </c>
      <c r="D496">
        <v>495</v>
      </c>
      <c r="E496">
        <v>9550</v>
      </c>
      <c r="F496" t="s">
        <v>25</v>
      </c>
      <c r="G496" s="9">
        <v>6</v>
      </c>
      <c r="H496" t="s">
        <v>68</v>
      </c>
      <c r="I496">
        <v>3</v>
      </c>
      <c r="J496" s="13">
        <f t="shared" si="7"/>
        <v>6</v>
      </c>
    </row>
    <row r="497" spans="1:10" x14ac:dyDescent="0.2">
      <c r="A497" s="6">
        <v>43594</v>
      </c>
      <c r="B497">
        <v>2014</v>
      </c>
      <c r="C497">
        <v>2190</v>
      </c>
      <c r="D497">
        <v>496</v>
      </c>
      <c r="E497">
        <v>10750</v>
      </c>
      <c r="F497" t="s">
        <v>25</v>
      </c>
      <c r="G497" s="9">
        <v>7</v>
      </c>
      <c r="H497" t="s">
        <v>68</v>
      </c>
      <c r="I497">
        <v>5</v>
      </c>
      <c r="J497" s="13">
        <f t="shared" si="7"/>
        <v>7</v>
      </c>
    </row>
    <row r="498" spans="1:10" x14ac:dyDescent="0.2">
      <c r="A498" s="6">
        <v>43594</v>
      </c>
      <c r="B498">
        <v>2015</v>
      </c>
      <c r="C498">
        <v>2190</v>
      </c>
      <c r="D498">
        <v>497</v>
      </c>
      <c r="E498">
        <v>10750</v>
      </c>
      <c r="F498" t="s">
        <v>25</v>
      </c>
      <c r="G498" s="9">
        <v>7</v>
      </c>
      <c r="H498" t="s">
        <v>68</v>
      </c>
      <c r="I498">
        <v>4</v>
      </c>
      <c r="J498" s="13">
        <f t="shared" si="7"/>
        <v>7</v>
      </c>
    </row>
    <row r="499" spans="1:10" x14ac:dyDescent="0.2">
      <c r="A499" s="6">
        <v>43418</v>
      </c>
      <c r="B499">
        <v>2015</v>
      </c>
      <c r="C499">
        <v>2190</v>
      </c>
      <c r="D499">
        <v>498</v>
      </c>
      <c r="E499">
        <v>13500</v>
      </c>
      <c r="F499" t="s">
        <v>25</v>
      </c>
      <c r="G499" s="9">
        <v>7</v>
      </c>
      <c r="H499" t="s">
        <v>68</v>
      </c>
      <c r="I499">
        <v>4</v>
      </c>
      <c r="J499" s="13">
        <f t="shared" si="7"/>
        <v>7</v>
      </c>
    </row>
    <row r="500" spans="1:10" x14ac:dyDescent="0.2">
      <c r="A500" s="6">
        <v>43536</v>
      </c>
      <c r="B500">
        <v>2016</v>
      </c>
      <c r="C500">
        <v>2190</v>
      </c>
      <c r="D500">
        <v>499</v>
      </c>
      <c r="E500">
        <v>10250</v>
      </c>
      <c r="F500" t="s">
        <v>25</v>
      </c>
      <c r="G500" s="9">
        <v>8</v>
      </c>
      <c r="H500" t="s">
        <v>68</v>
      </c>
      <c r="I500">
        <v>3</v>
      </c>
      <c r="J500" s="13">
        <f t="shared" si="7"/>
        <v>8</v>
      </c>
    </row>
    <row r="501" spans="1:10" x14ac:dyDescent="0.2">
      <c r="A501" s="6">
        <v>43432</v>
      </c>
      <c r="B501">
        <v>2017</v>
      </c>
      <c r="C501">
        <v>2190</v>
      </c>
      <c r="D501">
        <v>500</v>
      </c>
      <c r="E501">
        <v>13850</v>
      </c>
      <c r="F501" t="s">
        <v>25</v>
      </c>
      <c r="G501" s="9">
        <v>8</v>
      </c>
      <c r="H501" t="s">
        <v>68</v>
      </c>
      <c r="I501">
        <v>2</v>
      </c>
      <c r="J501" s="13">
        <f t="shared" si="7"/>
        <v>8</v>
      </c>
    </row>
    <row r="502" spans="1:10" x14ac:dyDescent="0.2">
      <c r="A502" s="6">
        <v>43391</v>
      </c>
      <c r="B502">
        <v>2016</v>
      </c>
      <c r="C502">
        <v>2190</v>
      </c>
      <c r="D502">
        <v>501</v>
      </c>
      <c r="E502">
        <v>13850</v>
      </c>
      <c r="F502" t="s">
        <v>25</v>
      </c>
      <c r="G502" s="9">
        <v>8</v>
      </c>
      <c r="H502" t="s">
        <v>68</v>
      </c>
      <c r="I502">
        <v>3</v>
      </c>
      <c r="J502" s="13">
        <f t="shared" si="7"/>
        <v>8</v>
      </c>
    </row>
    <row r="503" spans="1:10" x14ac:dyDescent="0.2">
      <c r="A503" s="6">
        <v>43304</v>
      </c>
      <c r="B503">
        <v>2017</v>
      </c>
      <c r="C503">
        <v>2190</v>
      </c>
      <c r="D503">
        <v>502</v>
      </c>
      <c r="E503">
        <v>15350</v>
      </c>
      <c r="F503" t="s">
        <v>25</v>
      </c>
      <c r="G503" s="9">
        <v>8</v>
      </c>
      <c r="H503" t="s">
        <v>68</v>
      </c>
      <c r="I503">
        <v>2</v>
      </c>
      <c r="J503" s="13">
        <f t="shared" si="7"/>
        <v>8</v>
      </c>
    </row>
    <row r="504" spans="1:10" x14ac:dyDescent="0.2">
      <c r="A504" s="6">
        <v>43119</v>
      </c>
      <c r="B504">
        <v>2015</v>
      </c>
      <c r="C504">
        <v>2190</v>
      </c>
      <c r="D504">
        <v>503</v>
      </c>
      <c r="E504">
        <v>13750</v>
      </c>
      <c r="F504" t="s">
        <v>25</v>
      </c>
      <c r="G504" s="9">
        <v>8</v>
      </c>
      <c r="H504" t="s">
        <v>68</v>
      </c>
      <c r="I504">
        <v>4</v>
      </c>
      <c r="J504" s="13">
        <f t="shared" si="7"/>
        <v>8</v>
      </c>
    </row>
    <row r="505" spans="1:10" x14ac:dyDescent="0.2">
      <c r="A505" s="6">
        <v>43028</v>
      </c>
      <c r="B505">
        <v>2015</v>
      </c>
      <c r="C505">
        <v>2190</v>
      </c>
      <c r="D505">
        <v>504</v>
      </c>
      <c r="E505">
        <v>12000</v>
      </c>
      <c r="F505" t="s">
        <v>25</v>
      </c>
      <c r="G505" s="9">
        <v>8</v>
      </c>
      <c r="H505" t="s">
        <v>68</v>
      </c>
      <c r="I505">
        <v>4</v>
      </c>
      <c r="J505" s="13">
        <f t="shared" si="7"/>
        <v>8</v>
      </c>
    </row>
    <row r="506" spans="1:10" x14ac:dyDescent="0.2">
      <c r="A506" s="6">
        <v>43003</v>
      </c>
      <c r="B506">
        <v>2014</v>
      </c>
      <c r="C506">
        <v>2190</v>
      </c>
      <c r="D506">
        <v>505</v>
      </c>
      <c r="E506">
        <v>11850</v>
      </c>
      <c r="F506" t="s">
        <v>25</v>
      </c>
      <c r="G506" s="9">
        <v>8</v>
      </c>
      <c r="H506" t="s">
        <v>68</v>
      </c>
      <c r="I506">
        <v>5</v>
      </c>
      <c r="J506" s="13">
        <f t="shared" si="7"/>
        <v>8</v>
      </c>
    </row>
    <row r="507" spans="1:10" x14ac:dyDescent="0.2">
      <c r="A507" s="6">
        <v>42822</v>
      </c>
      <c r="B507">
        <v>2015</v>
      </c>
      <c r="C507">
        <v>2190</v>
      </c>
      <c r="D507">
        <v>506</v>
      </c>
      <c r="E507">
        <v>9700</v>
      </c>
      <c r="F507" t="s">
        <v>25</v>
      </c>
      <c r="G507" s="9">
        <v>8</v>
      </c>
      <c r="H507" t="s">
        <v>68</v>
      </c>
      <c r="I507">
        <v>4</v>
      </c>
      <c r="J507" s="13">
        <f t="shared" si="7"/>
        <v>8</v>
      </c>
    </row>
    <row r="508" spans="1:10" x14ac:dyDescent="0.2">
      <c r="A508" s="6">
        <v>42804</v>
      </c>
      <c r="B508">
        <v>2015</v>
      </c>
      <c r="C508">
        <v>2190</v>
      </c>
      <c r="D508">
        <v>507</v>
      </c>
      <c r="E508">
        <v>9600</v>
      </c>
      <c r="F508" t="s">
        <v>25</v>
      </c>
      <c r="G508" s="9">
        <v>8</v>
      </c>
      <c r="H508" t="s">
        <v>68</v>
      </c>
      <c r="I508">
        <v>4</v>
      </c>
      <c r="J508" s="13">
        <f t="shared" si="7"/>
        <v>8</v>
      </c>
    </row>
    <row r="509" spans="1:10" x14ac:dyDescent="0.2">
      <c r="A509" s="6">
        <v>42774</v>
      </c>
      <c r="B509">
        <v>2014</v>
      </c>
      <c r="C509">
        <v>2190</v>
      </c>
      <c r="D509">
        <v>508</v>
      </c>
      <c r="E509">
        <v>8900</v>
      </c>
      <c r="F509" t="s">
        <v>25</v>
      </c>
      <c r="G509" s="9">
        <v>8</v>
      </c>
      <c r="H509" t="s">
        <v>68</v>
      </c>
      <c r="I509">
        <v>5</v>
      </c>
      <c r="J509" s="13">
        <f t="shared" si="7"/>
        <v>8</v>
      </c>
    </row>
    <row r="510" spans="1:10" x14ac:dyDescent="0.2">
      <c r="A510" s="6">
        <v>43607</v>
      </c>
      <c r="B510">
        <v>2014</v>
      </c>
      <c r="C510">
        <v>2190</v>
      </c>
      <c r="D510">
        <v>509</v>
      </c>
      <c r="E510">
        <v>11400</v>
      </c>
      <c r="F510" t="s">
        <v>25</v>
      </c>
      <c r="G510" s="9">
        <v>9</v>
      </c>
      <c r="H510" t="s">
        <v>68</v>
      </c>
      <c r="I510">
        <v>5</v>
      </c>
      <c r="J510" s="13">
        <f t="shared" si="7"/>
        <v>9</v>
      </c>
    </row>
    <row r="511" spans="1:10" x14ac:dyDescent="0.2">
      <c r="A511" s="6">
        <v>42979</v>
      </c>
      <c r="B511">
        <v>2018</v>
      </c>
      <c r="C511">
        <v>2190</v>
      </c>
      <c r="D511">
        <v>510</v>
      </c>
      <c r="E511">
        <v>11750</v>
      </c>
      <c r="F511" t="s">
        <v>25</v>
      </c>
      <c r="G511" s="9">
        <v>9</v>
      </c>
      <c r="H511" t="s">
        <v>68</v>
      </c>
      <c r="I511">
        <v>1</v>
      </c>
      <c r="J511" s="13">
        <f t="shared" si="7"/>
        <v>9</v>
      </c>
    </row>
    <row r="512" spans="1:10" x14ac:dyDescent="0.2">
      <c r="A512" s="6">
        <v>42663</v>
      </c>
      <c r="B512">
        <v>2016</v>
      </c>
      <c r="C512">
        <v>2190</v>
      </c>
      <c r="D512">
        <v>511</v>
      </c>
      <c r="E512">
        <v>9250</v>
      </c>
      <c r="F512" t="s">
        <v>25</v>
      </c>
      <c r="G512" s="9">
        <v>9</v>
      </c>
      <c r="H512" t="s">
        <v>68</v>
      </c>
      <c r="I512">
        <v>3</v>
      </c>
      <c r="J512" s="13">
        <f t="shared" si="7"/>
        <v>9</v>
      </c>
    </row>
    <row r="513" spans="1:10" x14ac:dyDescent="0.2">
      <c r="A513" s="6">
        <v>43409</v>
      </c>
      <c r="B513">
        <v>2015</v>
      </c>
      <c r="C513">
        <v>2202</v>
      </c>
      <c r="D513">
        <v>512</v>
      </c>
      <c r="E513">
        <v>13750</v>
      </c>
      <c r="F513" t="s">
        <v>25</v>
      </c>
      <c r="G513" s="9">
        <v>11</v>
      </c>
      <c r="H513" t="s">
        <v>68</v>
      </c>
      <c r="I513">
        <v>4</v>
      </c>
      <c r="J513" s="13">
        <f t="shared" si="7"/>
        <v>11</v>
      </c>
    </row>
    <row r="514" spans="1:10" x14ac:dyDescent="0.2">
      <c r="A514" s="6">
        <v>43388</v>
      </c>
      <c r="B514">
        <v>2016</v>
      </c>
      <c r="C514">
        <v>2202</v>
      </c>
      <c r="D514">
        <v>513</v>
      </c>
      <c r="E514">
        <v>13800</v>
      </c>
      <c r="F514" t="s">
        <v>25</v>
      </c>
      <c r="G514" s="9">
        <v>11</v>
      </c>
      <c r="H514" t="s">
        <v>68</v>
      </c>
      <c r="I514">
        <v>3</v>
      </c>
      <c r="J514" s="13">
        <f t="shared" ref="J514:J577" si="8">IF(H514="days",ROUND(G514/30,0),IF(H514="years",G514*12,G514))</f>
        <v>11</v>
      </c>
    </row>
    <row r="515" spans="1:10" x14ac:dyDescent="0.2">
      <c r="A515" s="6">
        <v>43621</v>
      </c>
      <c r="B515">
        <v>2016</v>
      </c>
      <c r="C515">
        <v>2202</v>
      </c>
      <c r="D515">
        <v>514</v>
      </c>
      <c r="E515">
        <v>12400</v>
      </c>
      <c r="F515" t="s">
        <v>25</v>
      </c>
      <c r="G515" s="9">
        <v>12</v>
      </c>
      <c r="H515" t="s">
        <v>68</v>
      </c>
      <c r="I515">
        <v>3</v>
      </c>
      <c r="J515" s="13">
        <f t="shared" si="8"/>
        <v>12</v>
      </c>
    </row>
    <row r="516" spans="1:10" x14ac:dyDescent="0.2">
      <c r="A516" s="6">
        <v>43570</v>
      </c>
      <c r="B516">
        <v>2015</v>
      </c>
      <c r="C516">
        <v>2202</v>
      </c>
      <c r="D516">
        <v>515</v>
      </c>
      <c r="E516">
        <v>10350</v>
      </c>
      <c r="F516" t="s">
        <v>25</v>
      </c>
      <c r="G516" s="9">
        <v>15</v>
      </c>
      <c r="H516" t="s">
        <v>68</v>
      </c>
      <c r="I516">
        <v>4</v>
      </c>
      <c r="J516" s="13">
        <f t="shared" si="8"/>
        <v>15</v>
      </c>
    </row>
    <row r="517" spans="1:10" x14ac:dyDescent="0.2">
      <c r="A517" s="6">
        <v>43115</v>
      </c>
      <c r="B517">
        <v>2017</v>
      </c>
      <c r="C517">
        <v>2202</v>
      </c>
      <c r="D517">
        <v>516</v>
      </c>
      <c r="E517">
        <v>11500</v>
      </c>
      <c r="F517" t="s">
        <v>25</v>
      </c>
      <c r="G517" s="9">
        <v>3</v>
      </c>
      <c r="H517" t="s">
        <v>68</v>
      </c>
      <c r="I517">
        <v>2</v>
      </c>
      <c r="J517" s="13">
        <f t="shared" si="8"/>
        <v>3</v>
      </c>
    </row>
    <row r="518" spans="1:10" x14ac:dyDescent="0.2">
      <c r="A518" s="6">
        <v>42446</v>
      </c>
      <c r="B518">
        <v>2016</v>
      </c>
      <c r="C518">
        <v>2202</v>
      </c>
      <c r="D518">
        <v>517</v>
      </c>
      <c r="E518">
        <v>10000</v>
      </c>
      <c r="F518" t="s">
        <v>25</v>
      </c>
      <c r="G518" s="9">
        <v>3</v>
      </c>
      <c r="H518" t="s">
        <v>68</v>
      </c>
      <c r="I518">
        <v>3</v>
      </c>
      <c r="J518" s="13">
        <f t="shared" si="8"/>
        <v>3</v>
      </c>
    </row>
    <row r="519" spans="1:10" x14ac:dyDescent="0.2">
      <c r="A519" s="6">
        <v>43368</v>
      </c>
      <c r="B519">
        <v>2017</v>
      </c>
      <c r="C519">
        <v>2202</v>
      </c>
      <c r="D519">
        <v>518</v>
      </c>
      <c r="E519">
        <v>13500</v>
      </c>
      <c r="F519" t="s">
        <v>25</v>
      </c>
      <c r="G519" s="9">
        <v>5</v>
      </c>
      <c r="H519" t="s">
        <v>68</v>
      </c>
      <c r="I519">
        <v>2</v>
      </c>
      <c r="J519" s="13">
        <f t="shared" si="8"/>
        <v>5</v>
      </c>
    </row>
    <row r="520" spans="1:10" x14ac:dyDescent="0.2">
      <c r="A520" s="6">
        <v>43245</v>
      </c>
      <c r="B520">
        <v>2015</v>
      </c>
      <c r="C520">
        <v>2202</v>
      </c>
      <c r="D520">
        <v>519</v>
      </c>
      <c r="E520">
        <v>14000</v>
      </c>
      <c r="F520" t="s">
        <v>25</v>
      </c>
      <c r="G520" s="9">
        <v>5</v>
      </c>
      <c r="H520" t="s">
        <v>68</v>
      </c>
      <c r="I520">
        <v>4</v>
      </c>
      <c r="J520" s="13">
        <f t="shared" si="8"/>
        <v>5</v>
      </c>
    </row>
    <row r="521" spans="1:10" x14ac:dyDescent="0.2">
      <c r="A521" s="6">
        <v>42646</v>
      </c>
      <c r="B521">
        <v>2016</v>
      </c>
      <c r="C521">
        <v>2202</v>
      </c>
      <c r="D521">
        <v>520</v>
      </c>
      <c r="E521">
        <v>9250</v>
      </c>
      <c r="F521" t="s">
        <v>25</v>
      </c>
      <c r="G521" s="9">
        <v>5</v>
      </c>
      <c r="H521" t="s">
        <v>68</v>
      </c>
      <c r="I521">
        <v>3</v>
      </c>
      <c r="J521" s="13">
        <f t="shared" si="8"/>
        <v>5</v>
      </c>
    </row>
    <row r="522" spans="1:10" x14ac:dyDescent="0.2">
      <c r="A522" s="6">
        <v>42613</v>
      </c>
      <c r="B522">
        <v>2016</v>
      </c>
      <c r="C522">
        <v>2202</v>
      </c>
      <c r="D522">
        <v>521</v>
      </c>
      <c r="E522">
        <v>9250</v>
      </c>
      <c r="F522" t="s">
        <v>25</v>
      </c>
      <c r="G522" s="9">
        <v>5</v>
      </c>
      <c r="H522" t="s">
        <v>68</v>
      </c>
      <c r="I522">
        <v>3</v>
      </c>
      <c r="J522" s="13">
        <f t="shared" si="8"/>
        <v>5</v>
      </c>
    </row>
    <row r="523" spans="1:10" x14ac:dyDescent="0.2">
      <c r="A523" s="6">
        <v>43528</v>
      </c>
      <c r="B523">
        <v>2017</v>
      </c>
      <c r="C523">
        <v>2202</v>
      </c>
      <c r="D523">
        <v>522</v>
      </c>
      <c r="E523">
        <v>10000</v>
      </c>
      <c r="F523" t="s">
        <v>25</v>
      </c>
      <c r="G523" s="9">
        <v>6</v>
      </c>
      <c r="H523" t="s">
        <v>68</v>
      </c>
      <c r="I523">
        <v>2</v>
      </c>
      <c r="J523" s="13">
        <f t="shared" si="8"/>
        <v>6</v>
      </c>
    </row>
    <row r="524" spans="1:10" x14ac:dyDescent="0.2">
      <c r="A524" s="6">
        <v>43017</v>
      </c>
      <c r="B524">
        <v>2017</v>
      </c>
      <c r="C524">
        <v>2202</v>
      </c>
      <c r="D524">
        <v>523</v>
      </c>
      <c r="E524">
        <v>11000</v>
      </c>
      <c r="F524" t="s">
        <v>25</v>
      </c>
      <c r="G524" s="9">
        <v>6</v>
      </c>
      <c r="H524" t="s">
        <v>68</v>
      </c>
      <c r="I524">
        <v>2</v>
      </c>
      <c r="J524" s="13">
        <f t="shared" si="8"/>
        <v>6</v>
      </c>
    </row>
    <row r="525" spans="1:10" x14ac:dyDescent="0.2">
      <c r="A525" s="6">
        <v>43235</v>
      </c>
      <c r="B525">
        <v>2016</v>
      </c>
      <c r="C525">
        <v>2202</v>
      </c>
      <c r="D525">
        <v>524</v>
      </c>
      <c r="E525">
        <v>14150</v>
      </c>
      <c r="F525" t="s">
        <v>25</v>
      </c>
      <c r="G525" s="9">
        <v>7</v>
      </c>
      <c r="H525" t="s">
        <v>68</v>
      </c>
      <c r="I525">
        <v>3</v>
      </c>
      <c r="J525" s="13">
        <f t="shared" si="8"/>
        <v>7</v>
      </c>
    </row>
    <row r="526" spans="1:10" x14ac:dyDescent="0.2">
      <c r="A526" s="6">
        <v>43174</v>
      </c>
      <c r="B526">
        <v>2017</v>
      </c>
      <c r="C526">
        <v>2202</v>
      </c>
      <c r="D526">
        <v>525</v>
      </c>
      <c r="E526">
        <v>14700</v>
      </c>
      <c r="F526" t="s">
        <v>25</v>
      </c>
      <c r="G526" s="9">
        <v>7</v>
      </c>
      <c r="H526" t="s">
        <v>68</v>
      </c>
      <c r="I526">
        <v>2</v>
      </c>
      <c r="J526" s="13">
        <f t="shared" si="8"/>
        <v>7</v>
      </c>
    </row>
    <row r="527" spans="1:10" x14ac:dyDescent="0.2">
      <c r="A527" s="6">
        <v>43174</v>
      </c>
      <c r="B527">
        <v>2017</v>
      </c>
      <c r="C527">
        <v>2202</v>
      </c>
      <c r="D527">
        <v>526</v>
      </c>
      <c r="E527">
        <v>14700</v>
      </c>
      <c r="F527" t="s">
        <v>25</v>
      </c>
      <c r="G527" s="9">
        <v>7</v>
      </c>
      <c r="H527" t="s">
        <v>68</v>
      </c>
      <c r="I527">
        <v>2</v>
      </c>
      <c r="J527" s="13">
        <f t="shared" si="8"/>
        <v>7</v>
      </c>
    </row>
    <row r="528" spans="1:10" x14ac:dyDescent="0.2">
      <c r="A528" s="6">
        <v>43052</v>
      </c>
      <c r="B528">
        <v>2016</v>
      </c>
      <c r="C528">
        <v>2202</v>
      </c>
      <c r="D528">
        <v>527</v>
      </c>
      <c r="E528">
        <v>12950</v>
      </c>
      <c r="F528" t="s">
        <v>25</v>
      </c>
      <c r="G528" s="9">
        <v>7</v>
      </c>
      <c r="H528" t="s">
        <v>68</v>
      </c>
      <c r="I528">
        <v>3</v>
      </c>
      <c r="J528" s="13">
        <f t="shared" si="8"/>
        <v>7</v>
      </c>
    </row>
    <row r="529" spans="1:10" x14ac:dyDescent="0.2">
      <c r="A529" s="6">
        <v>43039</v>
      </c>
      <c r="B529">
        <v>2015</v>
      </c>
      <c r="C529">
        <v>2202</v>
      </c>
      <c r="D529">
        <v>528</v>
      </c>
      <c r="E529">
        <v>12800</v>
      </c>
      <c r="F529" t="s">
        <v>25</v>
      </c>
      <c r="G529" s="9">
        <v>7</v>
      </c>
      <c r="H529" t="s">
        <v>68</v>
      </c>
      <c r="I529">
        <v>4</v>
      </c>
      <c r="J529" s="13">
        <f t="shared" si="8"/>
        <v>7</v>
      </c>
    </row>
    <row r="530" spans="1:10" x14ac:dyDescent="0.2">
      <c r="A530" s="6">
        <v>43377</v>
      </c>
      <c r="B530">
        <v>2016</v>
      </c>
      <c r="C530">
        <v>2202</v>
      </c>
      <c r="D530">
        <v>529</v>
      </c>
      <c r="E530">
        <v>13850</v>
      </c>
      <c r="F530" t="s">
        <v>25</v>
      </c>
      <c r="G530" s="9">
        <v>8</v>
      </c>
      <c r="H530" t="s">
        <v>68</v>
      </c>
      <c r="I530">
        <v>3</v>
      </c>
      <c r="J530" s="13">
        <f t="shared" si="8"/>
        <v>8</v>
      </c>
    </row>
    <row r="531" spans="1:10" x14ac:dyDescent="0.2">
      <c r="A531" s="6">
        <v>43377</v>
      </c>
      <c r="B531">
        <v>2017</v>
      </c>
      <c r="C531">
        <v>2202</v>
      </c>
      <c r="D531">
        <v>530</v>
      </c>
      <c r="E531">
        <v>13100</v>
      </c>
      <c r="F531" t="s">
        <v>25</v>
      </c>
      <c r="G531" s="9">
        <v>8</v>
      </c>
      <c r="H531" t="s">
        <v>68</v>
      </c>
      <c r="I531">
        <v>2</v>
      </c>
      <c r="J531" s="13">
        <f t="shared" si="8"/>
        <v>8</v>
      </c>
    </row>
    <row r="532" spans="1:10" x14ac:dyDescent="0.2">
      <c r="A532" s="6">
        <v>43011</v>
      </c>
      <c r="B532">
        <v>2016</v>
      </c>
      <c r="C532">
        <v>2202</v>
      </c>
      <c r="D532">
        <v>531</v>
      </c>
      <c r="E532">
        <v>12100</v>
      </c>
      <c r="F532" t="s">
        <v>25</v>
      </c>
      <c r="G532" s="9">
        <v>8</v>
      </c>
      <c r="H532" t="s">
        <v>68</v>
      </c>
      <c r="I532">
        <v>3</v>
      </c>
      <c r="J532" s="13">
        <f t="shared" si="8"/>
        <v>8</v>
      </c>
    </row>
    <row r="533" spans="1:10" x14ac:dyDescent="0.2">
      <c r="A533" s="6">
        <v>42789</v>
      </c>
      <c r="B533">
        <v>2017</v>
      </c>
      <c r="C533">
        <v>2202</v>
      </c>
      <c r="D533">
        <v>532</v>
      </c>
      <c r="E533">
        <v>8750</v>
      </c>
      <c r="F533" t="s">
        <v>25</v>
      </c>
      <c r="G533" s="9">
        <v>8</v>
      </c>
      <c r="H533" t="s">
        <v>68</v>
      </c>
      <c r="I533">
        <v>2</v>
      </c>
      <c r="J533" s="13">
        <f t="shared" si="8"/>
        <v>8</v>
      </c>
    </row>
    <row r="534" spans="1:10" x14ac:dyDescent="0.2">
      <c r="A534" s="6">
        <v>42896</v>
      </c>
      <c r="B534">
        <v>2017</v>
      </c>
      <c r="C534">
        <v>2202</v>
      </c>
      <c r="D534">
        <v>533</v>
      </c>
      <c r="E534">
        <v>9000</v>
      </c>
      <c r="F534" t="s">
        <v>25</v>
      </c>
      <c r="G534" s="9">
        <v>9</v>
      </c>
      <c r="H534" t="s">
        <v>68</v>
      </c>
      <c r="I534">
        <v>2</v>
      </c>
      <c r="J534" s="13">
        <f t="shared" si="8"/>
        <v>9</v>
      </c>
    </row>
    <row r="535" spans="1:10" x14ac:dyDescent="0.2">
      <c r="A535" s="6">
        <v>42782</v>
      </c>
      <c r="B535">
        <v>2016</v>
      </c>
      <c r="C535">
        <v>2202</v>
      </c>
      <c r="D535">
        <v>534</v>
      </c>
      <c r="E535">
        <v>8900</v>
      </c>
      <c r="F535" t="s">
        <v>25</v>
      </c>
      <c r="G535" s="9">
        <v>9</v>
      </c>
      <c r="H535" t="s">
        <v>68</v>
      </c>
      <c r="I535">
        <v>3</v>
      </c>
      <c r="J535" s="13">
        <f t="shared" si="8"/>
        <v>9</v>
      </c>
    </row>
    <row r="536" spans="1:10" x14ac:dyDescent="0.2">
      <c r="A536" s="6">
        <v>42755</v>
      </c>
      <c r="B536">
        <v>2016</v>
      </c>
      <c r="C536">
        <v>2202</v>
      </c>
      <c r="D536">
        <v>535</v>
      </c>
      <c r="E536">
        <v>9250</v>
      </c>
      <c r="F536" t="s">
        <v>25</v>
      </c>
      <c r="G536" s="9">
        <v>9</v>
      </c>
      <c r="H536" t="s">
        <v>68</v>
      </c>
      <c r="I536">
        <v>3</v>
      </c>
      <c r="J536" s="13">
        <f t="shared" si="8"/>
        <v>9</v>
      </c>
    </row>
    <row r="537" spans="1:10" x14ac:dyDescent="0.2">
      <c r="A537" s="6">
        <v>42501</v>
      </c>
      <c r="B537">
        <v>2015</v>
      </c>
      <c r="C537">
        <v>2202</v>
      </c>
      <c r="D537">
        <v>536</v>
      </c>
      <c r="E537">
        <v>9650</v>
      </c>
      <c r="F537" t="s">
        <v>25</v>
      </c>
      <c r="G537" s="9">
        <v>9</v>
      </c>
      <c r="H537" t="s">
        <v>68</v>
      </c>
      <c r="I537">
        <v>4</v>
      </c>
      <c r="J537" s="13">
        <f t="shared" si="8"/>
        <v>9</v>
      </c>
    </row>
    <row r="538" spans="1:10" x14ac:dyDescent="0.2">
      <c r="A538" s="6">
        <v>43031</v>
      </c>
      <c r="B538">
        <v>2016</v>
      </c>
      <c r="C538">
        <v>2268</v>
      </c>
      <c r="D538">
        <v>537</v>
      </c>
      <c r="E538">
        <v>12500</v>
      </c>
      <c r="F538" t="s">
        <v>25</v>
      </c>
      <c r="G538" s="9">
        <v>10</v>
      </c>
      <c r="H538" t="s">
        <v>68</v>
      </c>
      <c r="I538">
        <v>3</v>
      </c>
      <c r="J538" s="13">
        <f t="shared" si="8"/>
        <v>10</v>
      </c>
    </row>
    <row r="539" spans="1:10" x14ac:dyDescent="0.2">
      <c r="A539" s="6">
        <v>43355</v>
      </c>
      <c r="B539">
        <v>2016</v>
      </c>
      <c r="C539">
        <v>2268</v>
      </c>
      <c r="D539">
        <v>538</v>
      </c>
      <c r="E539">
        <v>13850</v>
      </c>
      <c r="F539" t="s">
        <v>25</v>
      </c>
      <c r="G539" s="9">
        <v>11</v>
      </c>
      <c r="H539" t="s">
        <v>68</v>
      </c>
      <c r="I539">
        <v>3</v>
      </c>
      <c r="J539" s="13">
        <f t="shared" si="8"/>
        <v>11</v>
      </c>
    </row>
    <row r="540" spans="1:10" x14ac:dyDescent="0.2">
      <c r="A540" s="6">
        <v>43521</v>
      </c>
      <c r="B540">
        <v>2016</v>
      </c>
      <c r="C540">
        <v>2268</v>
      </c>
      <c r="D540">
        <v>539</v>
      </c>
      <c r="E540">
        <v>10000</v>
      </c>
      <c r="F540" t="s">
        <v>25</v>
      </c>
      <c r="G540" s="9">
        <v>12</v>
      </c>
      <c r="H540" t="s">
        <v>68</v>
      </c>
      <c r="I540">
        <v>3</v>
      </c>
      <c r="J540" s="13">
        <f t="shared" si="8"/>
        <v>12</v>
      </c>
    </row>
    <row r="541" spans="1:10" x14ac:dyDescent="0.2">
      <c r="A541" s="6">
        <v>43132</v>
      </c>
      <c r="B541">
        <v>2016</v>
      </c>
      <c r="C541">
        <v>2268</v>
      </c>
      <c r="D541">
        <v>540</v>
      </c>
      <c r="E541">
        <v>11500</v>
      </c>
      <c r="F541" t="s">
        <v>25</v>
      </c>
      <c r="G541" s="9">
        <v>12</v>
      </c>
      <c r="H541" t="s">
        <v>68</v>
      </c>
      <c r="I541">
        <v>3</v>
      </c>
      <c r="J541" s="13">
        <f t="shared" si="8"/>
        <v>12</v>
      </c>
    </row>
    <row r="542" spans="1:10" x14ac:dyDescent="0.2">
      <c r="A542" s="6">
        <v>42760</v>
      </c>
      <c r="B542">
        <v>2016</v>
      </c>
      <c r="C542">
        <v>2268</v>
      </c>
      <c r="D542">
        <v>541</v>
      </c>
      <c r="E542">
        <v>8900</v>
      </c>
      <c r="F542" t="s">
        <v>25</v>
      </c>
      <c r="G542" s="9">
        <v>14</v>
      </c>
      <c r="H542" t="s">
        <v>68</v>
      </c>
      <c r="I542">
        <v>3</v>
      </c>
      <c r="J542" s="13">
        <f t="shared" si="8"/>
        <v>14</v>
      </c>
    </row>
    <row r="543" spans="1:10" x14ac:dyDescent="0.2">
      <c r="A543" s="6">
        <v>43012</v>
      </c>
      <c r="B543">
        <v>2017</v>
      </c>
      <c r="C543">
        <v>2268</v>
      </c>
      <c r="D543">
        <v>542</v>
      </c>
      <c r="E543">
        <v>12250</v>
      </c>
      <c r="F543" t="s">
        <v>25</v>
      </c>
      <c r="G543" s="9">
        <v>6</v>
      </c>
      <c r="H543" t="s">
        <v>68</v>
      </c>
      <c r="I543">
        <v>2</v>
      </c>
      <c r="J543" s="13">
        <f t="shared" si="8"/>
        <v>6</v>
      </c>
    </row>
    <row r="544" spans="1:10" x14ac:dyDescent="0.2">
      <c r="A544" s="6">
        <v>42842</v>
      </c>
      <c r="B544">
        <v>2016</v>
      </c>
      <c r="C544">
        <v>2268</v>
      </c>
      <c r="D544">
        <v>543</v>
      </c>
      <c r="E544">
        <v>10450</v>
      </c>
      <c r="F544" t="s">
        <v>25</v>
      </c>
      <c r="G544" s="9">
        <v>6</v>
      </c>
      <c r="H544" t="s">
        <v>68</v>
      </c>
      <c r="I544">
        <v>3</v>
      </c>
      <c r="J544" s="13">
        <f t="shared" si="8"/>
        <v>6</v>
      </c>
    </row>
    <row r="545" spans="1:10" x14ac:dyDescent="0.2">
      <c r="A545" s="6">
        <v>43087</v>
      </c>
      <c r="B545">
        <v>2015</v>
      </c>
      <c r="C545">
        <v>2339</v>
      </c>
      <c r="D545">
        <v>544</v>
      </c>
      <c r="E545">
        <v>8500</v>
      </c>
      <c r="F545" t="s">
        <v>25</v>
      </c>
      <c r="G545" s="15">
        <v>100</v>
      </c>
      <c r="H545" t="s">
        <v>26</v>
      </c>
      <c r="I545">
        <v>4</v>
      </c>
      <c r="J545" s="13">
        <f t="shared" si="8"/>
        <v>3</v>
      </c>
    </row>
    <row r="546" spans="1:10" x14ac:dyDescent="0.2">
      <c r="A546" s="6">
        <v>43635</v>
      </c>
      <c r="B546">
        <v>2015</v>
      </c>
      <c r="C546">
        <v>2339</v>
      </c>
      <c r="D546">
        <v>545</v>
      </c>
      <c r="E546">
        <v>14000</v>
      </c>
      <c r="F546" t="s">
        <v>25</v>
      </c>
      <c r="G546" s="9">
        <v>12</v>
      </c>
      <c r="H546" t="s">
        <v>68</v>
      </c>
      <c r="I546">
        <v>4</v>
      </c>
      <c r="J546" s="13">
        <f t="shared" si="8"/>
        <v>12</v>
      </c>
    </row>
    <row r="547" spans="1:10" x14ac:dyDescent="0.2">
      <c r="A547" s="6">
        <v>43368</v>
      </c>
      <c r="B547">
        <v>2017</v>
      </c>
      <c r="C547">
        <v>2339</v>
      </c>
      <c r="D547">
        <v>546</v>
      </c>
      <c r="E547">
        <v>15000</v>
      </c>
      <c r="F547" t="s">
        <v>25</v>
      </c>
      <c r="G547" s="9">
        <v>12</v>
      </c>
      <c r="H547" t="s">
        <v>68</v>
      </c>
      <c r="I547">
        <v>2</v>
      </c>
      <c r="J547" s="13">
        <f t="shared" si="8"/>
        <v>12</v>
      </c>
    </row>
    <row r="548" spans="1:10" x14ac:dyDescent="0.2">
      <c r="A548" s="6">
        <v>43368</v>
      </c>
      <c r="B548">
        <v>2015</v>
      </c>
      <c r="C548">
        <v>2339</v>
      </c>
      <c r="D548">
        <v>547</v>
      </c>
      <c r="E548">
        <v>15000</v>
      </c>
      <c r="F548" t="s">
        <v>25</v>
      </c>
      <c r="G548" s="9">
        <v>12</v>
      </c>
      <c r="H548" t="s">
        <v>68</v>
      </c>
      <c r="I548">
        <v>4</v>
      </c>
      <c r="J548" s="13">
        <f t="shared" si="8"/>
        <v>12</v>
      </c>
    </row>
    <row r="549" spans="1:10" x14ac:dyDescent="0.2">
      <c r="A549" s="6">
        <v>43159</v>
      </c>
      <c r="B549">
        <v>2015</v>
      </c>
      <c r="C549">
        <v>2339</v>
      </c>
      <c r="D549">
        <v>548</v>
      </c>
      <c r="E549">
        <v>12500</v>
      </c>
      <c r="F549" t="s">
        <v>25</v>
      </c>
      <c r="G549" s="9">
        <v>12</v>
      </c>
      <c r="H549" t="s">
        <v>68</v>
      </c>
      <c r="I549">
        <v>4</v>
      </c>
      <c r="J549" s="13">
        <f t="shared" si="8"/>
        <v>12</v>
      </c>
    </row>
    <row r="550" spans="1:10" x14ac:dyDescent="0.2">
      <c r="A550" s="6">
        <v>42971</v>
      </c>
      <c r="B550">
        <v>2015</v>
      </c>
      <c r="C550">
        <v>2339</v>
      </c>
      <c r="D550">
        <v>549</v>
      </c>
      <c r="E550">
        <v>11500</v>
      </c>
      <c r="F550" t="s">
        <v>25</v>
      </c>
      <c r="G550" s="9">
        <v>12</v>
      </c>
      <c r="H550" t="s">
        <v>68</v>
      </c>
      <c r="I550">
        <v>4</v>
      </c>
      <c r="J550" s="13">
        <f t="shared" si="8"/>
        <v>12</v>
      </c>
    </row>
    <row r="551" spans="1:10" x14ac:dyDescent="0.2">
      <c r="A551" s="6">
        <v>42704</v>
      </c>
      <c r="B551">
        <v>2015</v>
      </c>
      <c r="C551">
        <v>2339</v>
      </c>
      <c r="D551">
        <v>550</v>
      </c>
      <c r="E551">
        <v>8500</v>
      </c>
      <c r="F551" t="s">
        <v>25</v>
      </c>
      <c r="G551" s="9">
        <v>12</v>
      </c>
      <c r="H551" t="s">
        <v>68</v>
      </c>
      <c r="I551">
        <v>4</v>
      </c>
      <c r="J551" s="13">
        <f t="shared" si="8"/>
        <v>12</v>
      </c>
    </row>
    <row r="552" spans="1:10" x14ac:dyDescent="0.2">
      <c r="A552" s="6">
        <v>43509</v>
      </c>
      <c r="B552">
        <v>2019</v>
      </c>
      <c r="C552">
        <v>2339</v>
      </c>
      <c r="D552">
        <v>551</v>
      </c>
      <c r="E552">
        <v>14000</v>
      </c>
      <c r="F552" t="s">
        <v>25</v>
      </c>
      <c r="G552" s="9">
        <v>13</v>
      </c>
      <c r="H552" t="s">
        <v>68</v>
      </c>
      <c r="I552">
        <v>0</v>
      </c>
      <c r="J552" s="13">
        <f t="shared" si="8"/>
        <v>13</v>
      </c>
    </row>
    <row r="553" spans="1:10" x14ac:dyDescent="0.2">
      <c r="A553" s="6">
        <v>43451</v>
      </c>
      <c r="B553">
        <v>2015</v>
      </c>
      <c r="C553">
        <v>2339</v>
      </c>
      <c r="D553">
        <v>552</v>
      </c>
      <c r="E553">
        <v>14500</v>
      </c>
      <c r="F553" t="s">
        <v>25</v>
      </c>
      <c r="G553" s="9">
        <v>13</v>
      </c>
      <c r="H553" t="s">
        <v>68</v>
      </c>
      <c r="I553">
        <v>4</v>
      </c>
      <c r="J553" s="13">
        <f t="shared" si="8"/>
        <v>13</v>
      </c>
    </row>
    <row r="554" spans="1:10" x14ac:dyDescent="0.2">
      <c r="A554" s="6">
        <v>43063</v>
      </c>
      <c r="B554">
        <v>2017</v>
      </c>
      <c r="C554">
        <v>2339</v>
      </c>
      <c r="D554">
        <v>553</v>
      </c>
      <c r="E554">
        <v>13250</v>
      </c>
      <c r="F554" t="s">
        <v>25</v>
      </c>
      <c r="G554" s="9">
        <v>13</v>
      </c>
      <c r="H554" t="s">
        <v>68</v>
      </c>
      <c r="I554">
        <v>2</v>
      </c>
      <c r="J554" s="13">
        <f t="shared" si="8"/>
        <v>13</v>
      </c>
    </row>
    <row r="555" spans="1:10" x14ac:dyDescent="0.2">
      <c r="A555" s="6">
        <v>42583</v>
      </c>
      <c r="B555">
        <v>2015</v>
      </c>
      <c r="C555">
        <v>2339</v>
      </c>
      <c r="D555">
        <v>554</v>
      </c>
      <c r="E555">
        <v>10000</v>
      </c>
      <c r="F555" t="s">
        <v>25</v>
      </c>
      <c r="G555" s="9">
        <v>13</v>
      </c>
      <c r="H555" t="s">
        <v>68</v>
      </c>
      <c r="I555">
        <v>4</v>
      </c>
      <c r="J555" s="13">
        <f t="shared" si="8"/>
        <v>13</v>
      </c>
    </row>
    <row r="556" spans="1:10" x14ac:dyDescent="0.2">
      <c r="A556" s="6">
        <v>43238</v>
      </c>
      <c r="B556">
        <v>2015</v>
      </c>
      <c r="C556">
        <v>2339</v>
      </c>
      <c r="D556">
        <v>555</v>
      </c>
      <c r="E556">
        <v>14750</v>
      </c>
      <c r="F556" t="s">
        <v>25</v>
      </c>
      <c r="G556" s="9">
        <v>14</v>
      </c>
      <c r="H556" t="s">
        <v>68</v>
      </c>
      <c r="I556">
        <v>4</v>
      </c>
      <c r="J556" s="13">
        <f t="shared" si="8"/>
        <v>14</v>
      </c>
    </row>
    <row r="557" spans="1:10" x14ac:dyDescent="0.2">
      <c r="A557" s="6">
        <v>42755</v>
      </c>
      <c r="B557">
        <v>2015</v>
      </c>
      <c r="C557">
        <v>2339</v>
      </c>
      <c r="D557">
        <v>556</v>
      </c>
      <c r="E557">
        <v>9000</v>
      </c>
      <c r="F557" t="s">
        <v>25</v>
      </c>
      <c r="G557" s="9">
        <v>14</v>
      </c>
      <c r="H557" t="s">
        <v>68</v>
      </c>
      <c r="I557">
        <v>4</v>
      </c>
      <c r="J557" s="13">
        <f t="shared" si="8"/>
        <v>14</v>
      </c>
    </row>
    <row r="558" spans="1:10" x14ac:dyDescent="0.2">
      <c r="A558" s="6">
        <v>43368</v>
      </c>
      <c r="B558">
        <v>2015</v>
      </c>
      <c r="C558">
        <v>2339</v>
      </c>
      <c r="D558">
        <v>557</v>
      </c>
      <c r="E558">
        <v>15000</v>
      </c>
      <c r="F558" t="s">
        <v>25</v>
      </c>
      <c r="G558" s="9">
        <v>15</v>
      </c>
      <c r="H558" t="s">
        <v>68</v>
      </c>
      <c r="I558">
        <v>4</v>
      </c>
      <c r="J558" s="13">
        <f t="shared" si="8"/>
        <v>15</v>
      </c>
    </row>
    <row r="559" spans="1:10" x14ac:dyDescent="0.2">
      <c r="A559" s="6">
        <v>43353</v>
      </c>
      <c r="B559">
        <v>2015</v>
      </c>
      <c r="C559">
        <v>2339</v>
      </c>
      <c r="D559">
        <v>558</v>
      </c>
      <c r="E559">
        <v>15000</v>
      </c>
      <c r="F559" t="s">
        <v>25</v>
      </c>
      <c r="G559" s="9">
        <v>15</v>
      </c>
      <c r="H559" t="s">
        <v>68</v>
      </c>
      <c r="I559">
        <v>4</v>
      </c>
      <c r="J559" s="13">
        <f t="shared" si="8"/>
        <v>15</v>
      </c>
    </row>
    <row r="560" spans="1:10" x14ac:dyDescent="0.2">
      <c r="A560" s="6">
        <v>42948</v>
      </c>
      <c r="B560">
        <v>2017</v>
      </c>
      <c r="C560">
        <v>2339</v>
      </c>
      <c r="D560">
        <v>559</v>
      </c>
      <c r="E560">
        <v>11500</v>
      </c>
      <c r="F560" t="s">
        <v>25</v>
      </c>
      <c r="G560" s="9">
        <v>15</v>
      </c>
      <c r="H560" t="s">
        <v>68</v>
      </c>
      <c r="I560">
        <v>2</v>
      </c>
      <c r="J560" s="13">
        <f t="shared" si="8"/>
        <v>15</v>
      </c>
    </row>
    <row r="561" spans="1:10" x14ac:dyDescent="0.2">
      <c r="A561" s="6">
        <v>42506</v>
      </c>
      <c r="B561">
        <v>2015</v>
      </c>
      <c r="C561">
        <v>2339</v>
      </c>
      <c r="D561">
        <v>560</v>
      </c>
      <c r="E561">
        <v>9525</v>
      </c>
      <c r="F561" t="s">
        <v>25</v>
      </c>
      <c r="G561" s="9">
        <v>15</v>
      </c>
      <c r="H561" t="s">
        <v>68</v>
      </c>
      <c r="I561">
        <v>4</v>
      </c>
      <c r="J561" s="13">
        <f t="shared" si="8"/>
        <v>15</v>
      </c>
    </row>
    <row r="562" spans="1:10" x14ac:dyDescent="0.2">
      <c r="A562" s="6">
        <v>43266</v>
      </c>
      <c r="B562">
        <v>2015</v>
      </c>
      <c r="C562">
        <v>2339</v>
      </c>
      <c r="D562">
        <v>561</v>
      </c>
      <c r="E562">
        <v>15250</v>
      </c>
      <c r="F562" t="s">
        <v>25</v>
      </c>
      <c r="G562" s="9">
        <v>16</v>
      </c>
      <c r="H562" t="s">
        <v>68</v>
      </c>
      <c r="I562">
        <v>4</v>
      </c>
      <c r="J562" s="13">
        <f t="shared" si="8"/>
        <v>16</v>
      </c>
    </row>
    <row r="563" spans="1:10" x14ac:dyDescent="0.2">
      <c r="A563" s="6">
        <v>43584</v>
      </c>
      <c r="B563">
        <v>2015</v>
      </c>
      <c r="C563">
        <v>2339</v>
      </c>
      <c r="D563">
        <v>562</v>
      </c>
      <c r="E563">
        <v>14000</v>
      </c>
      <c r="F563" t="s">
        <v>25</v>
      </c>
      <c r="G563" s="9">
        <v>18</v>
      </c>
      <c r="H563" t="s">
        <v>68</v>
      </c>
      <c r="I563">
        <v>4</v>
      </c>
      <c r="J563" s="13">
        <f t="shared" si="8"/>
        <v>18</v>
      </c>
    </row>
    <row r="564" spans="1:10" x14ac:dyDescent="0.2">
      <c r="A564" s="6">
        <v>43501</v>
      </c>
      <c r="B564">
        <v>2018</v>
      </c>
      <c r="C564">
        <v>2339</v>
      </c>
      <c r="D564">
        <v>563</v>
      </c>
      <c r="E564">
        <v>14000</v>
      </c>
      <c r="F564" t="s">
        <v>25</v>
      </c>
      <c r="G564" s="9">
        <v>18</v>
      </c>
      <c r="H564" t="s">
        <v>68</v>
      </c>
      <c r="I564">
        <v>1</v>
      </c>
      <c r="J564" s="13">
        <f t="shared" si="8"/>
        <v>18</v>
      </c>
    </row>
    <row r="565" spans="1:10" x14ac:dyDescent="0.2">
      <c r="A565" s="6">
        <v>42689</v>
      </c>
      <c r="B565">
        <v>2015</v>
      </c>
      <c r="C565">
        <v>2339</v>
      </c>
      <c r="D565">
        <v>564</v>
      </c>
      <c r="E565">
        <v>8500</v>
      </c>
      <c r="F565" t="s">
        <v>25</v>
      </c>
      <c r="G565" s="9">
        <v>18</v>
      </c>
      <c r="H565" t="s">
        <v>68</v>
      </c>
      <c r="I565">
        <v>4</v>
      </c>
      <c r="J565" s="13">
        <f t="shared" si="8"/>
        <v>18</v>
      </c>
    </row>
    <row r="566" spans="1:10" x14ac:dyDescent="0.2">
      <c r="A566" s="6">
        <v>43264</v>
      </c>
      <c r="B566">
        <v>2015</v>
      </c>
      <c r="C566">
        <v>2339</v>
      </c>
      <c r="D566">
        <v>565</v>
      </c>
      <c r="E566">
        <v>15350</v>
      </c>
      <c r="F566" t="s">
        <v>25</v>
      </c>
      <c r="G566" s="9">
        <v>3</v>
      </c>
      <c r="H566" t="s">
        <v>68</v>
      </c>
      <c r="I566">
        <v>4</v>
      </c>
      <c r="J566" s="13">
        <f t="shared" si="8"/>
        <v>3</v>
      </c>
    </row>
    <row r="567" spans="1:10" x14ac:dyDescent="0.2">
      <c r="A567" s="6">
        <v>42403</v>
      </c>
      <c r="B567">
        <v>2015</v>
      </c>
      <c r="C567">
        <v>2339</v>
      </c>
      <c r="D567">
        <v>566</v>
      </c>
      <c r="E567">
        <v>11000</v>
      </c>
      <c r="F567" t="s">
        <v>25</v>
      </c>
      <c r="G567" s="9">
        <v>3</v>
      </c>
      <c r="H567" t="s">
        <v>68</v>
      </c>
      <c r="I567">
        <v>4</v>
      </c>
      <c r="J567" s="13">
        <f t="shared" si="8"/>
        <v>3</v>
      </c>
    </row>
    <row r="568" spans="1:10" x14ac:dyDescent="0.2">
      <c r="A568" s="6">
        <v>43501</v>
      </c>
      <c r="B568">
        <v>2015</v>
      </c>
      <c r="C568">
        <v>2339</v>
      </c>
      <c r="D568">
        <v>567</v>
      </c>
      <c r="E568">
        <v>14000</v>
      </c>
      <c r="F568" t="s">
        <v>25</v>
      </c>
      <c r="G568" s="15">
        <v>42</v>
      </c>
      <c r="H568" t="s">
        <v>26</v>
      </c>
      <c r="I568">
        <v>4</v>
      </c>
      <c r="J568" s="13">
        <f t="shared" si="8"/>
        <v>1</v>
      </c>
    </row>
    <row r="569" spans="1:10" x14ac:dyDescent="0.2">
      <c r="A569" s="6">
        <v>43206</v>
      </c>
      <c r="B569">
        <v>2015</v>
      </c>
      <c r="C569">
        <v>2339</v>
      </c>
      <c r="D569">
        <v>568</v>
      </c>
      <c r="E569">
        <v>15000</v>
      </c>
      <c r="F569" t="s">
        <v>25</v>
      </c>
      <c r="G569" s="9">
        <v>5</v>
      </c>
      <c r="H569" t="s">
        <v>68</v>
      </c>
      <c r="I569">
        <v>4</v>
      </c>
      <c r="J569" s="13">
        <f t="shared" si="8"/>
        <v>5</v>
      </c>
    </row>
    <row r="570" spans="1:10" x14ac:dyDescent="0.2">
      <c r="A570" s="6">
        <v>42824</v>
      </c>
      <c r="B570">
        <v>2015</v>
      </c>
      <c r="C570">
        <v>2339</v>
      </c>
      <c r="D570">
        <v>569</v>
      </c>
      <c r="E570">
        <v>10000</v>
      </c>
      <c r="F570" t="s">
        <v>25</v>
      </c>
      <c r="G570" s="9">
        <v>6</v>
      </c>
      <c r="H570" t="s">
        <v>68</v>
      </c>
      <c r="I570">
        <v>4</v>
      </c>
      <c r="J570" s="13">
        <f t="shared" si="8"/>
        <v>6</v>
      </c>
    </row>
    <row r="571" spans="1:10" x14ac:dyDescent="0.2">
      <c r="A571" s="6">
        <v>43370</v>
      </c>
      <c r="B571">
        <v>2015</v>
      </c>
      <c r="C571">
        <v>2339</v>
      </c>
      <c r="D571">
        <v>570</v>
      </c>
      <c r="E571">
        <v>13750</v>
      </c>
      <c r="F571" t="s">
        <v>25</v>
      </c>
      <c r="G571" s="9">
        <v>8</v>
      </c>
      <c r="H571" t="s">
        <v>68</v>
      </c>
      <c r="I571">
        <v>4</v>
      </c>
      <c r="J571" s="13">
        <f t="shared" si="8"/>
        <v>8</v>
      </c>
    </row>
    <row r="572" spans="1:10" x14ac:dyDescent="0.2">
      <c r="A572" s="6">
        <v>43052</v>
      </c>
      <c r="B572">
        <v>2015</v>
      </c>
      <c r="C572">
        <v>2339</v>
      </c>
      <c r="D572">
        <v>571</v>
      </c>
      <c r="E572">
        <v>12500</v>
      </c>
      <c r="F572" t="s">
        <v>25</v>
      </c>
      <c r="G572" s="9">
        <v>9</v>
      </c>
      <c r="H572" t="s">
        <v>68</v>
      </c>
      <c r="I572">
        <v>4</v>
      </c>
      <c r="J572" s="13">
        <f t="shared" si="8"/>
        <v>9</v>
      </c>
    </row>
    <row r="573" spans="1:10" x14ac:dyDescent="0.2">
      <c r="A573" s="6">
        <v>42695</v>
      </c>
      <c r="B573">
        <v>2015</v>
      </c>
      <c r="C573">
        <v>2339</v>
      </c>
      <c r="D573">
        <v>572</v>
      </c>
      <c r="E573">
        <v>8500</v>
      </c>
      <c r="F573" t="s">
        <v>25</v>
      </c>
      <c r="G573" s="9">
        <v>9</v>
      </c>
      <c r="H573" t="s">
        <v>68</v>
      </c>
      <c r="I573">
        <v>4</v>
      </c>
      <c r="J573" s="13">
        <f t="shared" si="8"/>
        <v>9</v>
      </c>
    </row>
    <row r="574" spans="1:10" x14ac:dyDescent="0.2">
      <c r="A574" s="6">
        <v>42501</v>
      </c>
      <c r="B574">
        <v>2015</v>
      </c>
      <c r="C574">
        <v>2339</v>
      </c>
      <c r="D574">
        <v>573</v>
      </c>
      <c r="E574">
        <v>9525</v>
      </c>
      <c r="F574" t="s">
        <v>25</v>
      </c>
      <c r="G574" s="9">
        <v>9</v>
      </c>
      <c r="H574" t="s">
        <v>68</v>
      </c>
      <c r="I574">
        <v>4</v>
      </c>
      <c r="J574" s="13">
        <f t="shared" si="8"/>
        <v>9</v>
      </c>
    </row>
    <row r="575" spans="1:10" x14ac:dyDescent="0.2">
      <c r="A575" s="6">
        <v>43129</v>
      </c>
      <c r="B575">
        <v>2018</v>
      </c>
      <c r="C575">
        <v>2500</v>
      </c>
      <c r="D575">
        <v>574</v>
      </c>
      <c r="E575">
        <v>12500</v>
      </c>
      <c r="F575" t="s">
        <v>25</v>
      </c>
      <c r="G575" s="15">
        <v>80</v>
      </c>
      <c r="H575" t="s">
        <v>26</v>
      </c>
      <c r="I575">
        <v>1</v>
      </c>
      <c r="J575" s="13">
        <f t="shared" si="8"/>
        <v>3</v>
      </c>
    </row>
    <row r="576" spans="1:10" x14ac:dyDescent="0.2">
      <c r="A576" s="6">
        <v>43299</v>
      </c>
      <c r="B576">
        <v>2018</v>
      </c>
      <c r="C576">
        <v>2506</v>
      </c>
      <c r="D576">
        <v>575</v>
      </c>
      <c r="E576">
        <v>14000</v>
      </c>
      <c r="F576" t="s">
        <v>25</v>
      </c>
      <c r="G576" s="9">
        <v>10</v>
      </c>
      <c r="H576" t="s">
        <v>68</v>
      </c>
      <c r="I576">
        <v>1</v>
      </c>
      <c r="J576" s="13">
        <f t="shared" si="8"/>
        <v>10</v>
      </c>
    </row>
    <row r="577" spans="1:10" x14ac:dyDescent="0.2">
      <c r="A577" s="6">
        <v>43028</v>
      </c>
      <c r="B577">
        <v>2017</v>
      </c>
      <c r="C577">
        <v>2506</v>
      </c>
      <c r="D577">
        <v>576</v>
      </c>
      <c r="E577">
        <v>12500</v>
      </c>
      <c r="F577" t="s">
        <v>25</v>
      </c>
      <c r="G577" s="9">
        <v>10</v>
      </c>
      <c r="H577" t="s">
        <v>68</v>
      </c>
      <c r="I577">
        <v>2</v>
      </c>
      <c r="J577" s="13">
        <f t="shared" si="8"/>
        <v>10</v>
      </c>
    </row>
    <row r="578" spans="1:10" x14ac:dyDescent="0.2">
      <c r="A578" s="6">
        <v>43028</v>
      </c>
      <c r="B578">
        <v>2016</v>
      </c>
      <c r="C578">
        <v>2506</v>
      </c>
      <c r="D578">
        <v>577</v>
      </c>
      <c r="E578">
        <v>12500</v>
      </c>
      <c r="F578" t="s">
        <v>25</v>
      </c>
      <c r="G578" s="9">
        <v>10</v>
      </c>
      <c r="H578" t="s">
        <v>68</v>
      </c>
      <c r="I578">
        <v>3</v>
      </c>
      <c r="J578" s="13">
        <f t="shared" ref="J578:J641" si="9">IF(H578="days",ROUND(G578/30,0),IF(H578="years",G578*12,G578))</f>
        <v>10</v>
      </c>
    </row>
    <row r="579" spans="1:10" x14ac:dyDescent="0.2">
      <c r="A579" s="6">
        <v>43398</v>
      </c>
      <c r="B579">
        <v>2016</v>
      </c>
      <c r="C579">
        <v>2506</v>
      </c>
      <c r="D579">
        <v>578</v>
      </c>
      <c r="E579">
        <v>14750</v>
      </c>
      <c r="F579" t="s">
        <v>25</v>
      </c>
      <c r="G579" s="9">
        <v>12</v>
      </c>
      <c r="H579" t="s">
        <v>68</v>
      </c>
      <c r="I579">
        <v>3</v>
      </c>
      <c r="J579" s="13">
        <f t="shared" si="9"/>
        <v>12</v>
      </c>
    </row>
    <row r="580" spans="1:10" x14ac:dyDescent="0.2">
      <c r="A580" s="6">
        <v>43280</v>
      </c>
      <c r="B580">
        <v>2016</v>
      </c>
      <c r="C580">
        <v>2506</v>
      </c>
      <c r="D580">
        <v>579</v>
      </c>
      <c r="E580">
        <v>15000</v>
      </c>
      <c r="F580" t="s">
        <v>25</v>
      </c>
      <c r="G580" s="9">
        <v>12</v>
      </c>
      <c r="H580" t="s">
        <v>68</v>
      </c>
      <c r="I580">
        <v>3</v>
      </c>
      <c r="J580" s="13">
        <f t="shared" si="9"/>
        <v>12</v>
      </c>
    </row>
    <row r="581" spans="1:10" x14ac:dyDescent="0.2">
      <c r="A581" s="6">
        <v>43290</v>
      </c>
      <c r="B581">
        <v>2018</v>
      </c>
      <c r="C581">
        <v>2506</v>
      </c>
      <c r="D581">
        <v>580</v>
      </c>
      <c r="E581">
        <v>15000</v>
      </c>
      <c r="F581" t="s">
        <v>25</v>
      </c>
      <c r="G581" s="9">
        <v>13</v>
      </c>
      <c r="H581" t="s">
        <v>68</v>
      </c>
      <c r="I581">
        <v>1</v>
      </c>
      <c r="J581" s="13">
        <f t="shared" si="9"/>
        <v>13</v>
      </c>
    </row>
    <row r="582" spans="1:10" x14ac:dyDescent="0.2">
      <c r="A582" s="6">
        <v>42705</v>
      </c>
      <c r="B582">
        <v>2017</v>
      </c>
      <c r="C582">
        <v>2506</v>
      </c>
      <c r="D582">
        <v>581</v>
      </c>
      <c r="E582">
        <v>8550</v>
      </c>
      <c r="F582" t="s">
        <v>25</v>
      </c>
      <c r="G582" s="9">
        <v>13</v>
      </c>
      <c r="H582" t="s">
        <v>68</v>
      </c>
      <c r="I582">
        <v>2</v>
      </c>
      <c r="J582" s="13">
        <f t="shared" si="9"/>
        <v>13</v>
      </c>
    </row>
    <row r="583" spans="1:10" x14ac:dyDescent="0.2">
      <c r="A583" s="6">
        <v>43340</v>
      </c>
      <c r="B583">
        <v>2017</v>
      </c>
      <c r="C583">
        <v>2506</v>
      </c>
      <c r="D583">
        <v>582</v>
      </c>
      <c r="E583">
        <v>15000</v>
      </c>
      <c r="F583" t="s">
        <v>25</v>
      </c>
      <c r="G583" s="9">
        <v>15</v>
      </c>
      <c r="H583" t="s">
        <v>68</v>
      </c>
      <c r="I583">
        <v>2</v>
      </c>
      <c r="J583" s="13">
        <f t="shared" si="9"/>
        <v>15</v>
      </c>
    </row>
    <row r="584" spans="1:10" x14ac:dyDescent="0.2">
      <c r="A584" s="6">
        <v>42401</v>
      </c>
      <c r="B584">
        <v>2016</v>
      </c>
      <c r="C584">
        <v>2506</v>
      </c>
      <c r="D584">
        <v>583</v>
      </c>
      <c r="E584">
        <v>11500</v>
      </c>
      <c r="F584" t="s">
        <v>25</v>
      </c>
      <c r="G584" s="9">
        <v>18</v>
      </c>
      <c r="H584" t="s">
        <v>68</v>
      </c>
      <c r="I584">
        <v>3</v>
      </c>
      <c r="J584" s="13">
        <f t="shared" si="9"/>
        <v>18</v>
      </c>
    </row>
    <row r="585" spans="1:10" x14ac:dyDescent="0.2">
      <c r="A585" s="6">
        <v>43214</v>
      </c>
      <c r="B585">
        <v>2018</v>
      </c>
      <c r="C585">
        <v>2506</v>
      </c>
      <c r="D585">
        <v>584</v>
      </c>
      <c r="E585">
        <v>15000</v>
      </c>
      <c r="F585" t="s">
        <v>25</v>
      </c>
      <c r="G585" s="15">
        <v>40</v>
      </c>
      <c r="H585" t="s">
        <v>26</v>
      </c>
      <c r="I585">
        <v>1</v>
      </c>
      <c r="J585" s="13">
        <f t="shared" si="9"/>
        <v>1</v>
      </c>
    </row>
    <row r="586" spans="1:10" x14ac:dyDescent="0.2">
      <c r="A586" s="6">
        <v>43013</v>
      </c>
      <c r="B586">
        <v>2016</v>
      </c>
      <c r="C586">
        <v>2506</v>
      </c>
      <c r="D586">
        <v>585</v>
      </c>
      <c r="E586">
        <v>9750</v>
      </c>
      <c r="F586" t="s">
        <v>25</v>
      </c>
      <c r="G586" s="9">
        <v>6</v>
      </c>
      <c r="H586" t="s">
        <v>68</v>
      </c>
      <c r="I586">
        <v>3</v>
      </c>
      <c r="J586" s="13">
        <f t="shared" si="9"/>
        <v>6</v>
      </c>
    </row>
    <row r="587" spans="1:10" x14ac:dyDescent="0.2">
      <c r="A587" s="6">
        <v>43221</v>
      </c>
      <c r="B587">
        <v>2018</v>
      </c>
      <c r="C587">
        <v>2506</v>
      </c>
      <c r="D587">
        <v>586</v>
      </c>
      <c r="E587">
        <v>14950</v>
      </c>
      <c r="F587" t="s">
        <v>25</v>
      </c>
      <c r="G587" s="15">
        <v>60</v>
      </c>
      <c r="H587" t="s">
        <v>26</v>
      </c>
      <c r="I587">
        <v>1</v>
      </c>
      <c r="J587" s="13">
        <f t="shared" si="9"/>
        <v>2</v>
      </c>
    </row>
    <row r="588" spans="1:10" x14ac:dyDescent="0.2">
      <c r="A588" s="6">
        <v>43598</v>
      </c>
      <c r="B588">
        <v>2018</v>
      </c>
      <c r="C588">
        <v>2506</v>
      </c>
      <c r="D588">
        <v>587</v>
      </c>
      <c r="E588">
        <v>15000</v>
      </c>
      <c r="F588" t="s">
        <v>25</v>
      </c>
      <c r="G588" s="9">
        <v>7</v>
      </c>
      <c r="H588" t="s">
        <v>68</v>
      </c>
      <c r="I588">
        <v>1</v>
      </c>
      <c r="J588" s="13">
        <f t="shared" si="9"/>
        <v>7</v>
      </c>
    </row>
    <row r="589" spans="1:10" x14ac:dyDescent="0.2">
      <c r="A589" s="6">
        <v>43588</v>
      </c>
      <c r="B589">
        <v>2018</v>
      </c>
      <c r="C589">
        <v>2506</v>
      </c>
      <c r="D589">
        <v>588</v>
      </c>
      <c r="E589">
        <v>13000</v>
      </c>
      <c r="F589" t="s">
        <v>25</v>
      </c>
      <c r="G589" s="9">
        <v>7</v>
      </c>
      <c r="H589" t="s">
        <v>68</v>
      </c>
      <c r="I589">
        <v>1</v>
      </c>
      <c r="J589" s="13">
        <f t="shared" si="9"/>
        <v>7</v>
      </c>
    </row>
    <row r="590" spans="1:10" x14ac:dyDescent="0.2">
      <c r="A590" s="6">
        <v>42699</v>
      </c>
      <c r="B590">
        <v>2011</v>
      </c>
      <c r="C590">
        <v>2535</v>
      </c>
      <c r="D590">
        <v>589</v>
      </c>
      <c r="E590">
        <v>5600</v>
      </c>
      <c r="F590" t="s">
        <v>25</v>
      </c>
      <c r="G590" s="9">
        <v>10</v>
      </c>
      <c r="H590" t="s">
        <v>68</v>
      </c>
      <c r="I590">
        <v>8</v>
      </c>
      <c r="J590" s="13">
        <f t="shared" si="9"/>
        <v>10</v>
      </c>
    </row>
    <row r="591" spans="1:10" x14ac:dyDescent="0.2">
      <c r="A591" s="6">
        <v>42646</v>
      </c>
      <c r="B591">
        <v>2011</v>
      </c>
      <c r="C591">
        <v>2535</v>
      </c>
      <c r="D591">
        <v>590</v>
      </c>
      <c r="E591">
        <v>5750</v>
      </c>
      <c r="F591" t="s">
        <v>25</v>
      </c>
      <c r="G591" s="9">
        <v>10</v>
      </c>
      <c r="H591" t="s">
        <v>68</v>
      </c>
      <c r="I591">
        <v>8</v>
      </c>
      <c r="J591" s="13">
        <f t="shared" si="9"/>
        <v>10</v>
      </c>
    </row>
    <row r="592" spans="1:10" x14ac:dyDescent="0.2">
      <c r="A592" s="6">
        <v>43271</v>
      </c>
      <c r="B592">
        <v>2011</v>
      </c>
      <c r="C592">
        <v>2535</v>
      </c>
      <c r="D592">
        <v>591</v>
      </c>
      <c r="E592">
        <v>12300</v>
      </c>
      <c r="F592" t="s">
        <v>25</v>
      </c>
      <c r="G592" s="9">
        <v>11</v>
      </c>
      <c r="H592" t="s">
        <v>68</v>
      </c>
      <c r="I592">
        <v>8</v>
      </c>
      <c r="J592" s="13">
        <f t="shared" si="9"/>
        <v>11</v>
      </c>
    </row>
    <row r="593" spans="1:10" x14ac:dyDescent="0.2">
      <c r="A593" s="6">
        <v>42979</v>
      </c>
      <c r="B593">
        <v>2011</v>
      </c>
      <c r="C593">
        <v>2535</v>
      </c>
      <c r="D593">
        <v>592</v>
      </c>
      <c r="E593">
        <v>8200</v>
      </c>
      <c r="F593" t="s">
        <v>25</v>
      </c>
      <c r="G593" s="9">
        <v>12</v>
      </c>
      <c r="H593" t="s">
        <v>68</v>
      </c>
      <c r="I593">
        <v>8</v>
      </c>
      <c r="J593" s="13">
        <f t="shared" si="9"/>
        <v>12</v>
      </c>
    </row>
    <row r="594" spans="1:10" x14ac:dyDescent="0.2">
      <c r="A594" s="6">
        <v>42795</v>
      </c>
      <c r="B594">
        <v>2011</v>
      </c>
      <c r="C594">
        <v>2535</v>
      </c>
      <c r="D594">
        <v>593</v>
      </c>
      <c r="E594">
        <v>6500</v>
      </c>
      <c r="F594" t="s">
        <v>25</v>
      </c>
      <c r="G594" s="9">
        <v>3</v>
      </c>
      <c r="H594" t="s">
        <v>68</v>
      </c>
      <c r="I594">
        <v>8</v>
      </c>
      <c r="J594" s="13">
        <f t="shared" si="9"/>
        <v>3</v>
      </c>
    </row>
    <row r="595" spans="1:10" x14ac:dyDescent="0.2">
      <c r="A595" s="6">
        <v>42879</v>
      </c>
      <c r="B595">
        <v>2011</v>
      </c>
      <c r="C595">
        <v>2535</v>
      </c>
      <c r="D595">
        <v>594</v>
      </c>
      <c r="E595">
        <v>9450</v>
      </c>
      <c r="F595" t="s">
        <v>25</v>
      </c>
      <c r="G595" s="9">
        <v>5</v>
      </c>
      <c r="H595" t="s">
        <v>68</v>
      </c>
      <c r="I595">
        <v>8</v>
      </c>
      <c r="J595" s="13">
        <f t="shared" si="9"/>
        <v>5</v>
      </c>
    </row>
    <row r="596" spans="1:10" x14ac:dyDescent="0.2">
      <c r="A596" s="6">
        <v>43523</v>
      </c>
      <c r="B596">
        <v>2011</v>
      </c>
      <c r="C596">
        <v>2535</v>
      </c>
      <c r="D596">
        <v>595</v>
      </c>
      <c r="E596">
        <v>8200</v>
      </c>
      <c r="F596" t="s">
        <v>25</v>
      </c>
      <c r="G596" s="9">
        <v>6</v>
      </c>
      <c r="H596" t="s">
        <v>68</v>
      </c>
      <c r="I596">
        <v>8</v>
      </c>
      <c r="J596" s="13">
        <f t="shared" si="9"/>
        <v>6</v>
      </c>
    </row>
    <row r="597" spans="1:10" x14ac:dyDescent="0.2">
      <c r="A597" s="6">
        <v>43385</v>
      </c>
      <c r="B597">
        <v>2011</v>
      </c>
      <c r="C597">
        <v>2535</v>
      </c>
      <c r="D597">
        <v>596</v>
      </c>
      <c r="E597">
        <v>9500</v>
      </c>
      <c r="F597" t="s">
        <v>25</v>
      </c>
      <c r="G597" s="9">
        <v>6</v>
      </c>
      <c r="H597" t="s">
        <v>68</v>
      </c>
      <c r="I597">
        <v>8</v>
      </c>
      <c r="J597" s="13">
        <f t="shared" si="9"/>
        <v>6</v>
      </c>
    </row>
    <row r="598" spans="1:10" x14ac:dyDescent="0.2">
      <c r="A598" s="6">
        <v>43054</v>
      </c>
      <c r="B598">
        <v>2011</v>
      </c>
      <c r="C598">
        <v>2535</v>
      </c>
      <c r="D598">
        <v>597</v>
      </c>
      <c r="E598">
        <v>8850</v>
      </c>
      <c r="F598" t="s">
        <v>25</v>
      </c>
      <c r="G598" s="9">
        <v>6</v>
      </c>
      <c r="H598" t="s">
        <v>68</v>
      </c>
      <c r="I598">
        <v>8</v>
      </c>
      <c r="J598" s="13">
        <f t="shared" si="9"/>
        <v>6</v>
      </c>
    </row>
    <row r="599" spans="1:10" x14ac:dyDescent="0.2">
      <c r="A599" s="6">
        <v>42657</v>
      </c>
      <c r="B599">
        <v>2011</v>
      </c>
      <c r="C599">
        <v>2535</v>
      </c>
      <c r="D599">
        <v>598</v>
      </c>
      <c r="E599">
        <v>5500</v>
      </c>
      <c r="F599" t="s">
        <v>25</v>
      </c>
      <c r="G599" s="9">
        <v>6</v>
      </c>
      <c r="H599" t="s">
        <v>68</v>
      </c>
      <c r="I599">
        <v>8</v>
      </c>
      <c r="J599" s="13">
        <f t="shared" si="9"/>
        <v>6</v>
      </c>
    </row>
    <row r="600" spans="1:10" x14ac:dyDescent="0.2">
      <c r="A600" s="6">
        <v>42643</v>
      </c>
      <c r="B600">
        <v>2011</v>
      </c>
      <c r="C600">
        <v>2535</v>
      </c>
      <c r="D600">
        <v>599</v>
      </c>
      <c r="E600">
        <v>5850</v>
      </c>
      <c r="F600" t="s">
        <v>25</v>
      </c>
      <c r="G600" s="9">
        <v>6</v>
      </c>
      <c r="H600" t="s">
        <v>68</v>
      </c>
      <c r="I600">
        <v>8</v>
      </c>
      <c r="J600" s="13">
        <f t="shared" si="9"/>
        <v>6</v>
      </c>
    </row>
    <row r="601" spans="1:10" x14ac:dyDescent="0.2">
      <c r="A601" s="6">
        <v>43188</v>
      </c>
      <c r="B601">
        <v>2011</v>
      </c>
      <c r="C601">
        <v>2535</v>
      </c>
      <c r="D601">
        <v>600</v>
      </c>
      <c r="E601">
        <v>9950</v>
      </c>
      <c r="F601" t="s">
        <v>25</v>
      </c>
      <c r="G601" s="9">
        <v>7</v>
      </c>
      <c r="H601" t="s">
        <v>68</v>
      </c>
      <c r="I601">
        <v>8</v>
      </c>
      <c r="J601" s="13">
        <f t="shared" si="9"/>
        <v>7</v>
      </c>
    </row>
    <row r="602" spans="1:10" x14ac:dyDescent="0.2">
      <c r="A602" s="6">
        <v>43383</v>
      </c>
      <c r="B602">
        <v>2014</v>
      </c>
      <c r="C602">
        <v>2546</v>
      </c>
      <c r="D602">
        <v>601</v>
      </c>
      <c r="E602">
        <v>10250</v>
      </c>
      <c r="F602" t="s">
        <v>25</v>
      </c>
      <c r="G602" s="9">
        <v>12</v>
      </c>
      <c r="H602" t="s">
        <v>68</v>
      </c>
      <c r="I602">
        <v>5</v>
      </c>
      <c r="J602" s="13">
        <f t="shared" si="9"/>
        <v>12</v>
      </c>
    </row>
    <row r="603" spans="1:10" x14ac:dyDescent="0.2">
      <c r="A603" s="6">
        <v>43222</v>
      </c>
      <c r="B603">
        <v>2013</v>
      </c>
      <c r="C603">
        <v>2546</v>
      </c>
      <c r="D603">
        <v>602</v>
      </c>
      <c r="E603">
        <v>12200</v>
      </c>
      <c r="F603" t="s">
        <v>25</v>
      </c>
      <c r="G603" s="9">
        <v>12</v>
      </c>
      <c r="H603" t="s">
        <v>68</v>
      </c>
      <c r="I603">
        <v>6</v>
      </c>
      <c r="J603" s="13">
        <f t="shared" si="9"/>
        <v>12</v>
      </c>
    </row>
    <row r="604" spans="1:10" x14ac:dyDescent="0.2">
      <c r="A604" s="6">
        <v>43081</v>
      </c>
      <c r="B604">
        <v>2014</v>
      </c>
      <c r="C604">
        <v>2546</v>
      </c>
      <c r="D604">
        <v>603</v>
      </c>
      <c r="E604">
        <v>9500</v>
      </c>
      <c r="F604" t="s">
        <v>25</v>
      </c>
      <c r="G604" s="9">
        <v>12</v>
      </c>
      <c r="H604" t="s">
        <v>68</v>
      </c>
      <c r="I604">
        <v>5</v>
      </c>
      <c r="J604" s="13">
        <f t="shared" si="9"/>
        <v>12</v>
      </c>
    </row>
    <row r="605" spans="1:10" x14ac:dyDescent="0.2">
      <c r="A605" s="6">
        <v>43054</v>
      </c>
      <c r="B605">
        <v>2012</v>
      </c>
      <c r="C605">
        <v>2546</v>
      </c>
      <c r="D605">
        <v>604</v>
      </c>
      <c r="E605">
        <v>8750</v>
      </c>
      <c r="F605" t="s">
        <v>25</v>
      </c>
      <c r="G605" s="9">
        <v>12</v>
      </c>
      <c r="H605" t="s">
        <v>68</v>
      </c>
      <c r="I605">
        <v>7</v>
      </c>
      <c r="J605" s="13">
        <f t="shared" si="9"/>
        <v>12</v>
      </c>
    </row>
    <row r="606" spans="1:10" x14ac:dyDescent="0.2">
      <c r="A606" s="6">
        <v>42797</v>
      </c>
      <c r="B606">
        <v>2013</v>
      </c>
      <c r="C606">
        <v>2546</v>
      </c>
      <c r="D606">
        <v>605</v>
      </c>
      <c r="E606">
        <v>8250</v>
      </c>
      <c r="F606" t="s">
        <v>25</v>
      </c>
      <c r="G606" s="9">
        <v>12</v>
      </c>
      <c r="H606" t="s">
        <v>68</v>
      </c>
      <c r="I606">
        <v>6</v>
      </c>
      <c r="J606" s="13">
        <f t="shared" si="9"/>
        <v>12</v>
      </c>
    </row>
    <row r="607" spans="1:10" x14ac:dyDescent="0.2">
      <c r="A607" s="6">
        <v>42748</v>
      </c>
      <c r="B607">
        <v>2014</v>
      </c>
      <c r="C607">
        <v>2546</v>
      </c>
      <c r="D607">
        <v>606</v>
      </c>
      <c r="E607">
        <v>7500</v>
      </c>
      <c r="F607" t="s">
        <v>25</v>
      </c>
      <c r="G607" s="9">
        <v>12</v>
      </c>
      <c r="H607" t="s">
        <v>68</v>
      </c>
      <c r="I607">
        <v>5</v>
      </c>
      <c r="J607" s="13">
        <f t="shared" si="9"/>
        <v>12</v>
      </c>
    </row>
    <row r="608" spans="1:10" x14ac:dyDescent="0.2">
      <c r="A608" s="6">
        <v>42688</v>
      </c>
      <c r="B608">
        <v>2012</v>
      </c>
      <c r="C608">
        <v>2546</v>
      </c>
      <c r="D608">
        <v>607</v>
      </c>
      <c r="E608">
        <v>5500</v>
      </c>
      <c r="F608" t="s">
        <v>25</v>
      </c>
      <c r="G608" s="9">
        <v>12</v>
      </c>
      <c r="H608" t="s">
        <v>68</v>
      </c>
      <c r="I608">
        <v>7</v>
      </c>
      <c r="J608" s="13">
        <f t="shared" si="9"/>
        <v>12</v>
      </c>
    </row>
    <row r="609" spans="1:10" x14ac:dyDescent="0.2">
      <c r="A609" s="6">
        <v>42486</v>
      </c>
      <c r="B609">
        <v>2011</v>
      </c>
      <c r="C609">
        <v>2546</v>
      </c>
      <c r="D609">
        <v>608</v>
      </c>
      <c r="E609">
        <v>9500</v>
      </c>
      <c r="F609" t="s">
        <v>25</v>
      </c>
      <c r="G609" s="9">
        <v>12</v>
      </c>
      <c r="H609" t="s">
        <v>68</v>
      </c>
      <c r="I609">
        <v>8</v>
      </c>
      <c r="J609" s="13">
        <f t="shared" si="9"/>
        <v>12</v>
      </c>
    </row>
    <row r="610" spans="1:10" x14ac:dyDescent="0.2">
      <c r="A610" s="6">
        <v>42480</v>
      </c>
      <c r="B610">
        <v>2014</v>
      </c>
      <c r="C610">
        <v>2546</v>
      </c>
      <c r="D610">
        <v>609</v>
      </c>
      <c r="E610">
        <v>7350</v>
      </c>
      <c r="F610" t="s">
        <v>25</v>
      </c>
      <c r="G610" s="9">
        <v>12</v>
      </c>
      <c r="H610" t="s">
        <v>68</v>
      </c>
      <c r="I610">
        <v>5</v>
      </c>
      <c r="J610" s="13">
        <f t="shared" si="9"/>
        <v>12</v>
      </c>
    </row>
    <row r="611" spans="1:10" x14ac:dyDescent="0.2">
      <c r="A611" s="6">
        <v>42905</v>
      </c>
      <c r="B611">
        <v>2011</v>
      </c>
      <c r="C611">
        <v>2546</v>
      </c>
      <c r="D611">
        <v>610</v>
      </c>
      <c r="E611">
        <v>9500</v>
      </c>
      <c r="F611" t="s">
        <v>25</v>
      </c>
      <c r="G611" s="9">
        <v>13</v>
      </c>
      <c r="H611" t="s">
        <v>68</v>
      </c>
      <c r="I611">
        <v>8</v>
      </c>
      <c r="J611" s="13">
        <f t="shared" si="9"/>
        <v>13</v>
      </c>
    </row>
    <row r="612" spans="1:10" x14ac:dyDescent="0.2">
      <c r="A612" s="6">
        <v>43367</v>
      </c>
      <c r="B612">
        <v>2011</v>
      </c>
      <c r="C612">
        <v>2546</v>
      </c>
      <c r="D612">
        <v>611</v>
      </c>
      <c r="E612">
        <v>12000</v>
      </c>
      <c r="F612" t="s">
        <v>25</v>
      </c>
      <c r="G612" s="9">
        <v>18</v>
      </c>
      <c r="H612" t="s">
        <v>68</v>
      </c>
      <c r="I612">
        <v>8</v>
      </c>
      <c r="J612" s="13">
        <f t="shared" si="9"/>
        <v>18</v>
      </c>
    </row>
    <row r="613" spans="1:10" x14ac:dyDescent="0.2">
      <c r="A613" s="6">
        <v>43102</v>
      </c>
      <c r="B613">
        <v>2013</v>
      </c>
      <c r="C613">
        <v>2546</v>
      </c>
      <c r="D613">
        <v>612</v>
      </c>
      <c r="E613">
        <v>10750</v>
      </c>
      <c r="F613" t="s">
        <v>25</v>
      </c>
      <c r="G613" s="9">
        <v>26</v>
      </c>
      <c r="H613" t="s">
        <v>68</v>
      </c>
      <c r="I613">
        <v>6</v>
      </c>
      <c r="J613" s="13">
        <f t="shared" si="9"/>
        <v>26</v>
      </c>
    </row>
    <row r="614" spans="1:10" x14ac:dyDescent="0.2">
      <c r="A614" s="6">
        <v>43495</v>
      </c>
      <c r="B614">
        <v>2013</v>
      </c>
      <c r="C614">
        <v>2546</v>
      </c>
      <c r="D614">
        <v>613</v>
      </c>
      <c r="E614">
        <v>10750</v>
      </c>
      <c r="F614" t="s">
        <v>25</v>
      </c>
      <c r="G614" s="9">
        <v>3</v>
      </c>
      <c r="H614" t="s">
        <v>68</v>
      </c>
      <c r="I614">
        <v>6</v>
      </c>
      <c r="J614" s="13">
        <f t="shared" si="9"/>
        <v>3</v>
      </c>
    </row>
    <row r="615" spans="1:10" x14ac:dyDescent="0.2">
      <c r="A615" s="6">
        <v>42969</v>
      </c>
      <c r="B615">
        <v>2014</v>
      </c>
      <c r="C615">
        <v>2546</v>
      </c>
      <c r="D615">
        <v>614</v>
      </c>
      <c r="E615">
        <v>9500</v>
      </c>
      <c r="F615" t="s">
        <v>25</v>
      </c>
      <c r="G615" s="15">
        <v>35</v>
      </c>
      <c r="H615" t="s">
        <v>26</v>
      </c>
      <c r="I615">
        <v>5</v>
      </c>
      <c r="J615" s="13">
        <f t="shared" si="9"/>
        <v>1</v>
      </c>
    </row>
    <row r="616" spans="1:10" x14ac:dyDescent="0.2">
      <c r="A616" s="6">
        <v>42912</v>
      </c>
      <c r="B616">
        <v>2014</v>
      </c>
      <c r="C616">
        <v>2546</v>
      </c>
      <c r="D616">
        <v>615</v>
      </c>
      <c r="E616">
        <v>8250</v>
      </c>
      <c r="F616" t="s">
        <v>25</v>
      </c>
      <c r="G616" s="9">
        <v>4</v>
      </c>
      <c r="H616" t="s">
        <v>68</v>
      </c>
      <c r="I616">
        <v>5</v>
      </c>
      <c r="J616" s="13">
        <f t="shared" si="9"/>
        <v>4</v>
      </c>
    </row>
    <row r="617" spans="1:10" x14ac:dyDescent="0.2">
      <c r="A617" s="6">
        <v>42544</v>
      </c>
      <c r="B617">
        <v>2014</v>
      </c>
      <c r="C617">
        <v>2546</v>
      </c>
      <c r="D617">
        <v>616</v>
      </c>
      <c r="E617">
        <v>6650</v>
      </c>
      <c r="F617" t="s">
        <v>25</v>
      </c>
      <c r="G617" s="9">
        <v>5</v>
      </c>
      <c r="H617" t="s">
        <v>68</v>
      </c>
      <c r="I617">
        <v>5</v>
      </c>
      <c r="J617" s="13">
        <f t="shared" si="9"/>
        <v>5</v>
      </c>
    </row>
    <row r="618" spans="1:10" x14ac:dyDescent="0.2">
      <c r="A618" s="6">
        <v>42852</v>
      </c>
      <c r="B618">
        <v>2014</v>
      </c>
      <c r="C618">
        <v>2546</v>
      </c>
      <c r="D618">
        <v>617</v>
      </c>
      <c r="E618">
        <v>10000</v>
      </c>
      <c r="F618" t="s">
        <v>25</v>
      </c>
      <c r="G618" s="9">
        <v>6</v>
      </c>
      <c r="H618" t="s">
        <v>68</v>
      </c>
      <c r="I618">
        <v>5</v>
      </c>
      <c r="J618" s="13">
        <f t="shared" si="9"/>
        <v>6</v>
      </c>
    </row>
    <row r="619" spans="1:10" x14ac:dyDescent="0.2">
      <c r="A619" s="6">
        <v>42688</v>
      </c>
      <c r="B619">
        <v>2014</v>
      </c>
      <c r="C619">
        <v>2546</v>
      </c>
      <c r="D619">
        <v>618</v>
      </c>
      <c r="E619">
        <v>6000</v>
      </c>
      <c r="F619" t="s">
        <v>25</v>
      </c>
      <c r="G619" s="9">
        <v>6</v>
      </c>
      <c r="H619" t="s">
        <v>68</v>
      </c>
      <c r="I619">
        <v>5</v>
      </c>
      <c r="J619" s="13">
        <f t="shared" si="9"/>
        <v>6</v>
      </c>
    </row>
    <row r="620" spans="1:10" x14ac:dyDescent="0.2">
      <c r="A620" s="6">
        <v>42524</v>
      </c>
      <c r="B620">
        <v>2013</v>
      </c>
      <c r="C620">
        <v>2546</v>
      </c>
      <c r="D620">
        <v>619</v>
      </c>
      <c r="E620">
        <v>6700</v>
      </c>
      <c r="F620" t="s">
        <v>25</v>
      </c>
      <c r="G620" s="15">
        <v>60</v>
      </c>
      <c r="H620" t="s">
        <v>26</v>
      </c>
      <c r="I620">
        <v>6</v>
      </c>
      <c r="J620" s="13">
        <f t="shared" si="9"/>
        <v>2</v>
      </c>
    </row>
    <row r="621" spans="1:10" x14ac:dyDescent="0.2">
      <c r="A621" s="6">
        <v>43272</v>
      </c>
      <c r="B621">
        <v>2013</v>
      </c>
      <c r="C621">
        <v>2546</v>
      </c>
      <c r="D621">
        <v>620</v>
      </c>
      <c r="E621">
        <v>13250</v>
      </c>
      <c r="F621" t="s">
        <v>25</v>
      </c>
      <c r="G621" s="9">
        <v>7</v>
      </c>
      <c r="H621" t="s">
        <v>68</v>
      </c>
      <c r="I621">
        <v>6</v>
      </c>
      <c r="J621" s="13">
        <f t="shared" si="9"/>
        <v>7</v>
      </c>
    </row>
    <row r="622" spans="1:10" x14ac:dyDescent="0.2">
      <c r="A622" s="6">
        <v>42689</v>
      </c>
      <c r="B622">
        <v>2014</v>
      </c>
      <c r="C622">
        <v>2546</v>
      </c>
      <c r="D622">
        <v>621</v>
      </c>
      <c r="E622">
        <v>6000</v>
      </c>
      <c r="F622" t="s">
        <v>25</v>
      </c>
      <c r="G622" s="9">
        <v>7</v>
      </c>
      <c r="H622" t="s">
        <v>68</v>
      </c>
      <c r="I622">
        <v>5</v>
      </c>
      <c r="J622" s="13">
        <f t="shared" si="9"/>
        <v>7</v>
      </c>
    </row>
    <row r="623" spans="1:10" x14ac:dyDescent="0.2">
      <c r="A623" s="6">
        <v>43634</v>
      </c>
      <c r="B623">
        <v>2014</v>
      </c>
      <c r="C623">
        <v>2546</v>
      </c>
      <c r="D623">
        <v>622</v>
      </c>
      <c r="E623">
        <v>10500</v>
      </c>
      <c r="F623" t="s">
        <v>25</v>
      </c>
      <c r="G623" s="9">
        <v>8</v>
      </c>
      <c r="H623" t="s">
        <v>68</v>
      </c>
      <c r="I623">
        <v>5</v>
      </c>
      <c r="J623" s="13">
        <f t="shared" si="9"/>
        <v>8</v>
      </c>
    </row>
    <row r="624" spans="1:10" x14ac:dyDescent="0.2">
      <c r="A624" s="6">
        <v>43402</v>
      </c>
      <c r="B624">
        <v>2012</v>
      </c>
      <c r="C624">
        <v>2546</v>
      </c>
      <c r="D624">
        <v>623</v>
      </c>
      <c r="E624">
        <v>10000</v>
      </c>
      <c r="F624" t="s">
        <v>25</v>
      </c>
      <c r="G624" s="9">
        <v>8</v>
      </c>
      <c r="H624" t="s">
        <v>68</v>
      </c>
      <c r="I624">
        <v>7</v>
      </c>
      <c r="J624" s="13">
        <f t="shared" si="9"/>
        <v>8</v>
      </c>
    </row>
    <row r="625" spans="1:10" x14ac:dyDescent="0.2">
      <c r="A625" s="6">
        <v>43136</v>
      </c>
      <c r="B625">
        <v>2014</v>
      </c>
      <c r="C625">
        <v>2546</v>
      </c>
      <c r="D625">
        <v>624</v>
      </c>
      <c r="E625">
        <v>10500</v>
      </c>
      <c r="F625" t="s">
        <v>25</v>
      </c>
      <c r="G625" s="9">
        <v>8</v>
      </c>
      <c r="H625" t="s">
        <v>68</v>
      </c>
      <c r="I625">
        <v>5</v>
      </c>
      <c r="J625" s="13">
        <f t="shared" si="9"/>
        <v>8</v>
      </c>
    </row>
    <row r="626" spans="1:10" x14ac:dyDescent="0.2">
      <c r="A626" s="6">
        <v>43024</v>
      </c>
      <c r="B626">
        <v>2014</v>
      </c>
      <c r="C626">
        <v>2546</v>
      </c>
      <c r="D626">
        <v>625</v>
      </c>
      <c r="E626">
        <v>9125</v>
      </c>
      <c r="F626" t="s">
        <v>25</v>
      </c>
      <c r="G626" s="9">
        <v>8</v>
      </c>
      <c r="H626" t="s">
        <v>68</v>
      </c>
      <c r="I626">
        <v>5</v>
      </c>
      <c r="J626" s="13">
        <f t="shared" si="9"/>
        <v>8</v>
      </c>
    </row>
    <row r="627" spans="1:10" x14ac:dyDescent="0.2">
      <c r="A627" s="6">
        <v>42948</v>
      </c>
      <c r="B627">
        <v>2013</v>
      </c>
      <c r="C627">
        <v>2546</v>
      </c>
      <c r="D627">
        <v>626</v>
      </c>
      <c r="E627">
        <v>9000</v>
      </c>
      <c r="F627" t="s">
        <v>25</v>
      </c>
      <c r="G627" s="9">
        <v>8</v>
      </c>
      <c r="H627" t="s">
        <v>68</v>
      </c>
      <c r="I627">
        <v>6</v>
      </c>
      <c r="J627" s="13">
        <f t="shared" si="9"/>
        <v>8</v>
      </c>
    </row>
    <row r="628" spans="1:10" x14ac:dyDescent="0.2">
      <c r="A628" s="6">
        <v>43225</v>
      </c>
      <c r="B628">
        <v>2014</v>
      </c>
      <c r="C628">
        <v>2546</v>
      </c>
      <c r="D628">
        <v>627</v>
      </c>
      <c r="E628">
        <v>12000</v>
      </c>
      <c r="F628" t="s">
        <v>25</v>
      </c>
      <c r="G628" s="9">
        <v>9</v>
      </c>
      <c r="H628" t="s">
        <v>68</v>
      </c>
      <c r="I628">
        <v>5</v>
      </c>
      <c r="J628" s="13">
        <f t="shared" si="9"/>
        <v>9</v>
      </c>
    </row>
    <row r="629" spans="1:10" x14ac:dyDescent="0.2">
      <c r="A629" s="6">
        <v>42571</v>
      </c>
      <c r="B629">
        <v>2012</v>
      </c>
      <c r="C629">
        <v>2546</v>
      </c>
      <c r="D629">
        <v>628</v>
      </c>
      <c r="E629">
        <v>5500</v>
      </c>
      <c r="F629" t="s">
        <v>25</v>
      </c>
      <c r="G629" s="9">
        <v>9</v>
      </c>
      <c r="H629" t="s">
        <v>68</v>
      </c>
      <c r="I629">
        <v>7</v>
      </c>
      <c r="J629" s="13">
        <f t="shared" si="9"/>
        <v>9</v>
      </c>
    </row>
    <row r="630" spans="1:10" x14ac:dyDescent="0.2">
      <c r="A630" s="6">
        <v>42422</v>
      </c>
      <c r="B630">
        <v>2013</v>
      </c>
      <c r="C630">
        <v>2546</v>
      </c>
      <c r="D630">
        <v>629</v>
      </c>
      <c r="E630">
        <v>6900</v>
      </c>
      <c r="F630" t="s">
        <v>25</v>
      </c>
      <c r="G630" s="15">
        <v>90</v>
      </c>
      <c r="H630" t="s">
        <v>26</v>
      </c>
      <c r="I630">
        <v>6</v>
      </c>
      <c r="J630" s="13">
        <f t="shared" si="9"/>
        <v>3</v>
      </c>
    </row>
    <row r="631" spans="1:10" x14ac:dyDescent="0.2">
      <c r="A631" s="6">
        <v>42422</v>
      </c>
      <c r="B631">
        <v>2014</v>
      </c>
      <c r="C631">
        <v>2546</v>
      </c>
      <c r="D631">
        <v>630</v>
      </c>
      <c r="E631">
        <v>6900</v>
      </c>
      <c r="F631" t="s">
        <v>25</v>
      </c>
      <c r="G631" s="15">
        <v>90</v>
      </c>
      <c r="H631" t="s">
        <v>26</v>
      </c>
      <c r="I631">
        <v>5</v>
      </c>
      <c r="J631" s="13">
        <f t="shared" si="9"/>
        <v>3</v>
      </c>
    </row>
    <row r="632" spans="1:10" x14ac:dyDescent="0.2">
      <c r="A632" s="6">
        <v>43024</v>
      </c>
      <c r="B632">
        <v>2017</v>
      </c>
      <c r="C632">
        <v>2700</v>
      </c>
      <c r="D632">
        <v>631</v>
      </c>
      <c r="E632">
        <v>11900</v>
      </c>
      <c r="F632" t="s">
        <v>25</v>
      </c>
      <c r="G632" s="9">
        <v>5</v>
      </c>
      <c r="H632" t="s">
        <v>68</v>
      </c>
      <c r="I632">
        <v>2</v>
      </c>
      <c r="J632" s="13">
        <f t="shared" si="9"/>
        <v>5</v>
      </c>
    </row>
    <row r="633" spans="1:10" x14ac:dyDescent="0.2">
      <c r="A633" s="6">
        <v>43343</v>
      </c>
      <c r="B633">
        <v>2018</v>
      </c>
      <c r="C633">
        <v>2700</v>
      </c>
      <c r="D633">
        <v>632</v>
      </c>
      <c r="E633">
        <v>14000</v>
      </c>
      <c r="F633" t="s">
        <v>25</v>
      </c>
      <c r="G633" s="9">
        <v>6</v>
      </c>
      <c r="H633" t="s">
        <v>68</v>
      </c>
      <c r="I633">
        <v>1</v>
      </c>
      <c r="J633" s="13">
        <f t="shared" si="9"/>
        <v>6</v>
      </c>
    </row>
    <row r="634" spans="1:10" x14ac:dyDescent="0.2">
      <c r="A634" s="6">
        <v>43262</v>
      </c>
      <c r="B634">
        <v>2018</v>
      </c>
      <c r="C634">
        <v>2700</v>
      </c>
      <c r="D634">
        <v>633</v>
      </c>
      <c r="E634">
        <v>14000</v>
      </c>
      <c r="F634" t="s">
        <v>25</v>
      </c>
      <c r="G634" s="9">
        <v>6</v>
      </c>
      <c r="H634" t="s">
        <v>68</v>
      </c>
      <c r="I634">
        <v>1</v>
      </c>
      <c r="J634" s="13">
        <f t="shared" si="9"/>
        <v>6</v>
      </c>
    </row>
    <row r="635" spans="1:10" x14ac:dyDescent="0.2">
      <c r="A635" s="6">
        <v>43367</v>
      </c>
      <c r="B635">
        <v>2017</v>
      </c>
      <c r="C635">
        <v>2708</v>
      </c>
      <c r="D635">
        <v>634</v>
      </c>
      <c r="E635">
        <v>13750</v>
      </c>
      <c r="F635" t="s">
        <v>25</v>
      </c>
      <c r="G635" s="9">
        <v>18</v>
      </c>
      <c r="H635" t="s">
        <v>68</v>
      </c>
      <c r="I635">
        <v>2</v>
      </c>
      <c r="J635" s="13">
        <f t="shared" si="9"/>
        <v>18</v>
      </c>
    </row>
    <row r="636" spans="1:10" x14ac:dyDescent="0.2">
      <c r="A636" s="6">
        <v>43187</v>
      </c>
      <c r="B636">
        <v>2017</v>
      </c>
      <c r="C636">
        <v>2708</v>
      </c>
      <c r="D636">
        <v>635</v>
      </c>
      <c r="E636">
        <v>13350</v>
      </c>
      <c r="F636" t="s">
        <v>25</v>
      </c>
      <c r="G636" s="9">
        <v>6</v>
      </c>
      <c r="H636" t="s">
        <v>68</v>
      </c>
      <c r="I636">
        <v>2</v>
      </c>
      <c r="J636" s="13">
        <f t="shared" si="9"/>
        <v>6</v>
      </c>
    </row>
    <row r="637" spans="1:10" x14ac:dyDescent="0.2">
      <c r="A637" s="6">
        <v>43052</v>
      </c>
      <c r="B637">
        <v>2017</v>
      </c>
      <c r="C637">
        <v>2708</v>
      </c>
      <c r="D637">
        <v>636</v>
      </c>
      <c r="E637">
        <v>11500</v>
      </c>
      <c r="F637" t="s">
        <v>25</v>
      </c>
      <c r="G637" s="9">
        <v>6</v>
      </c>
      <c r="H637" t="s">
        <v>68</v>
      </c>
      <c r="I637">
        <v>2</v>
      </c>
      <c r="J637" s="13">
        <f t="shared" si="9"/>
        <v>6</v>
      </c>
    </row>
    <row r="638" spans="1:10" x14ac:dyDescent="0.2">
      <c r="A638" s="6">
        <v>43213</v>
      </c>
      <c r="B638">
        <v>2017</v>
      </c>
      <c r="C638">
        <v>2708</v>
      </c>
      <c r="D638">
        <v>637</v>
      </c>
      <c r="E638">
        <v>13750</v>
      </c>
      <c r="F638" t="s">
        <v>25</v>
      </c>
      <c r="G638" s="9">
        <v>8</v>
      </c>
      <c r="H638" t="s">
        <v>68</v>
      </c>
      <c r="I638">
        <v>2</v>
      </c>
      <c r="J638" s="13">
        <f t="shared" si="9"/>
        <v>8</v>
      </c>
    </row>
    <row r="639" spans="1:10" x14ac:dyDescent="0.2">
      <c r="A639" s="6">
        <v>42635</v>
      </c>
      <c r="B639">
        <v>2016</v>
      </c>
      <c r="C639">
        <v>2754</v>
      </c>
      <c r="D639">
        <v>638</v>
      </c>
      <c r="E639">
        <v>11900</v>
      </c>
      <c r="F639" t="s">
        <v>25</v>
      </c>
      <c r="G639" s="9">
        <v>3</v>
      </c>
      <c r="H639" t="s">
        <v>69</v>
      </c>
      <c r="I639">
        <v>3</v>
      </c>
      <c r="J639" s="13">
        <f t="shared" si="9"/>
        <v>36</v>
      </c>
    </row>
    <row r="640" spans="1:10" x14ac:dyDescent="0.2">
      <c r="A640" s="6">
        <v>42552</v>
      </c>
      <c r="B640">
        <v>2017</v>
      </c>
      <c r="C640">
        <v>2754</v>
      </c>
      <c r="D640">
        <v>639</v>
      </c>
      <c r="E640">
        <v>11900</v>
      </c>
      <c r="F640" t="s">
        <v>25</v>
      </c>
      <c r="G640" s="9">
        <v>3</v>
      </c>
      <c r="H640" t="s">
        <v>69</v>
      </c>
      <c r="I640">
        <v>2</v>
      </c>
      <c r="J640" s="13">
        <f t="shared" si="9"/>
        <v>36</v>
      </c>
    </row>
    <row r="641" spans="1:10" x14ac:dyDescent="0.2">
      <c r="A641" s="6">
        <v>42552</v>
      </c>
      <c r="B641">
        <v>2016</v>
      </c>
      <c r="C641">
        <v>2754</v>
      </c>
      <c r="D641">
        <v>640</v>
      </c>
      <c r="E641">
        <v>11900</v>
      </c>
      <c r="F641" t="s">
        <v>25</v>
      </c>
      <c r="G641" s="9">
        <v>36</v>
      </c>
      <c r="H641" t="s">
        <v>68</v>
      </c>
      <c r="I641">
        <v>3</v>
      </c>
      <c r="J641" s="13">
        <f t="shared" si="9"/>
        <v>36</v>
      </c>
    </row>
    <row r="642" spans="1:10" x14ac:dyDescent="0.2">
      <c r="A642" s="6">
        <v>43521</v>
      </c>
      <c r="B642">
        <v>2011</v>
      </c>
      <c r="C642">
        <v>2758</v>
      </c>
      <c r="D642">
        <v>641</v>
      </c>
      <c r="E642">
        <v>8500</v>
      </c>
      <c r="F642" t="s">
        <v>25</v>
      </c>
      <c r="G642" s="9">
        <v>12</v>
      </c>
      <c r="H642" t="s">
        <v>68</v>
      </c>
      <c r="I642">
        <v>8</v>
      </c>
      <c r="J642" s="13">
        <f t="shared" ref="J642:J688" si="10">IF(H642="days",ROUND(G642/30,0),IF(H642="years",G642*12,G642))</f>
        <v>12</v>
      </c>
    </row>
    <row r="643" spans="1:10" x14ac:dyDescent="0.2">
      <c r="A643" s="6">
        <v>43374</v>
      </c>
      <c r="B643">
        <v>2011</v>
      </c>
      <c r="C643">
        <v>2758</v>
      </c>
      <c r="D643">
        <v>642</v>
      </c>
      <c r="E643">
        <v>11000</v>
      </c>
      <c r="F643" t="s">
        <v>25</v>
      </c>
      <c r="G643" s="9">
        <v>12</v>
      </c>
      <c r="H643" t="s">
        <v>68</v>
      </c>
      <c r="I643">
        <v>8</v>
      </c>
      <c r="J643" s="13">
        <f t="shared" si="10"/>
        <v>12</v>
      </c>
    </row>
    <row r="644" spans="1:10" x14ac:dyDescent="0.2">
      <c r="A644" s="6">
        <v>42779</v>
      </c>
      <c r="B644">
        <v>2011</v>
      </c>
      <c r="C644">
        <v>2758</v>
      </c>
      <c r="D644">
        <v>643</v>
      </c>
      <c r="E644">
        <v>6000</v>
      </c>
      <c r="F644" t="s">
        <v>25</v>
      </c>
      <c r="G644" s="9">
        <v>12</v>
      </c>
      <c r="H644" t="s">
        <v>68</v>
      </c>
      <c r="I644">
        <v>8</v>
      </c>
      <c r="J644" s="13">
        <f t="shared" si="10"/>
        <v>12</v>
      </c>
    </row>
    <row r="645" spans="1:10" x14ac:dyDescent="0.2">
      <c r="A645" s="6">
        <v>42776</v>
      </c>
      <c r="B645">
        <v>2012</v>
      </c>
      <c r="C645">
        <v>2758</v>
      </c>
      <c r="D645">
        <v>644</v>
      </c>
      <c r="E645">
        <v>6000</v>
      </c>
      <c r="F645" t="s">
        <v>25</v>
      </c>
      <c r="G645" s="9">
        <v>12</v>
      </c>
      <c r="H645" t="s">
        <v>68</v>
      </c>
      <c r="I645">
        <v>7</v>
      </c>
      <c r="J645" s="13">
        <f t="shared" si="10"/>
        <v>12</v>
      </c>
    </row>
    <row r="646" spans="1:10" x14ac:dyDescent="0.2">
      <c r="A646" s="6">
        <v>42583</v>
      </c>
      <c r="B646">
        <v>2011</v>
      </c>
      <c r="C646">
        <v>2758</v>
      </c>
      <c r="D646">
        <v>645</v>
      </c>
      <c r="E646">
        <v>6500</v>
      </c>
      <c r="F646" t="s">
        <v>25</v>
      </c>
      <c r="G646" s="9">
        <v>12</v>
      </c>
      <c r="H646" t="s">
        <v>68</v>
      </c>
      <c r="I646">
        <v>8</v>
      </c>
      <c r="J646" s="13">
        <f t="shared" si="10"/>
        <v>12</v>
      </c>
    </row>
    <row r="647" spans="1:10" x14ac:dyDescent="0.2">
      <c r="A647" s="6">
        <v>42566</v>
      </c>
      <c r="B647">
        <v>2011</v>
      </c>
      <c r="C647">
        <v>2758</v>
      </c>
      <c r="D647">
        <v>646</v>
      </c>
      <c r="E647">
        <v>5800</v>
      </c>
      <c r="F647" t="s">
        <v>25</v>
      </c>
      <c r="G647" s="9">
        <v>3</v>
      </c>
      <c r="H647" t="s">
        <v>68</v>
      </c>
      <c r="I647">
        <v>8</v>
      </c>
      <c r="J647" s="13">
        <f t="shared" si="10"/>
        <v>3</v>
      </c>
    </row>
    <row r="648" spans="1:10" x14ac:dyDescent="0.2">
      <c r="A648" s="6">
        <v>42914</v>
      </c>
      <c r="B648">
        <v>2011</v>
      </c>
      <c r="C648">
        <v>2758</v>
      </c>
      <c r="D648">
        <v>647</v>
      </c>
      <c r="E648">
        <v>8500</v>
      </c>
      <c r="F648" t="s">
        <v>25</v>
      </c>
      <c r="G648" s="9">
        <v>4</v>
      </c>
      <c r="H648" t="s">
        <v>68</v>
      </c>
      <c r="I648">
        <v>8</v>
      </c>
      <c r="J648" s="13">
        <f t="shared" si="10"/>
        <v>4</v>
      </c>
    </row>
    <row r="649" spans="1:10" x14ac:dyDescent="0.2">
      <c r="A649" s="6">
        <v>42816</v>
      </c>
      <c r="B649">
        <v>2011</v>
      </c>
      <c r="C649">
        <v>2758</v>
      </c>
      <c r="D649">
        <v>648</v>
      </c>
      <c r="E649">
        <v>8750</v>
      </c>
      <c r="F649" t="s">
        <v>25</v>
      </c>
      <c r="G649" s="9">
        <v>4</v>
      </c>
      <c r="H649" t="s">
        <v>68</v>
      </c>
      <c r="I649">
        <v>8</v>
      </c>
      <c r="J649" s="13">
        <f t="shared" si="10"/>
        <v>4</v>
      </c>
    </row>
    <row r="650" spans="1:10" x14ac:dyDescent="0.2">
      <c r="A650" s="6">
        <v>42383</v>
      </c>
      <c r="B650">
        <v>2011</v>
      </c>
      <c r="C650">
        <v>2758</v>
      </c>
      <c r="D650">
        <v>649</v>
      </c>
      <c r="E650">
        <v>6350</v>
      </c>
      <c r="F650" t="s">
        <v>25</v>
      </c>
      <c r="G650" s="9">
        <v>4</v>
      </c>
      <c r="H650" t="s">
        <v>68</v>
      </c>
      <c r="I650">
        <v>8</v>
      </c>
      <c r="J650" s="13">
        <f t="shared" si="10"/>
        <v>4</v>
      </c>
    </row>
    <row r="651" spans="1:10" x14ac:dyDescent="0.2">
      <c r="A651" s="6">
        <v>42642</v>
      </c>
      <c r="B651">
        <v>2011</v>
      </c>
      <c r="C651">
        <v>2758</v>
      </c>
      <c r="D651">
        <v>650</v>
      </c>
      <c r="E651">
        <v>6000</v>
      </c>
      <c r="F651" t="s">
        <v>25</v>
      </c>
      <c r="G651" s="9">
        <v>5</v>
      </c>
      <c r="H651" t="s">
        <v>68</v>
      </c>
      <c r="I651">
        <v>8</v>
      </c>
      <c r="J651" s="13">
        <f t="shared" si="10"/>
        <v>5</v>
      </c>
    </row>
    <row r="652" spans="1:10" x14ac:dyDescent="0.2">
      <c r="A652" s="6">
        <v>42495</v>
      </c>
      <c r="B652">
        <v>2011</v>
      </c>
      <c r="C652">
        <v>2758</v>
      </c>
      <c r="D652">
        <v>651</v>
      </c>
      <c r="E652">
        <v>6000</v>
      </c>
      <c r="F652" t="s">
        <v>25</v>
      </c>
      <c r="G652" s="9">
        <v>5</v>
      </c>
      <c r="H652" t="s">
        <v>68</v>
      </c>
      <c r="I652">
        <v>8</v>
      </c>
      <c r="J652" s="13">
        <f t="shared" si="10"/>
        <v>5</v>
      </c>
    </row>
    <row r="653" spans="1:10" x14ac:dyDescent="0.2">
      <c r="A653" s="6">
        <v>43425</v>
      </c>
      <c r="B653">
        <v>2011</v>
      </c>
      <c r="C653">
        <v>2758</v>
      </c>
      <c r="D653">
        <v>652</v>
      </c>
      <c r="E653">
        <v>9500</v>
      </c>
      <c r="F653" t="s">
        <v>25</v>
      </c>
      <c r="G653" s="15">
        <v>50</v>
      </c>
      <c r="H653" t="s">
        <v>26</v>
      </c>
      <c r="I653">
        <v>8</v>
      </c>
      <c r="J653" s="13">
        <f t="shared" si="10"/>
        <v>2</v>
      </c>
    </row>
    <row r="654" spans="1:10" x14ac:dyDescent="0.2">
      <c r="A654" s="6">
        <v>43405</v>
      </c>
      <c r="B654">
        <v>2011</v>
      </c>
      <c r="C654">
        <v>2758</v>
      </c>
      <c r="D654">
        <v>653</v>
      </c>
      <c r="E654">
        <v>10400</v>
      </c>
      <c r="F654" t="s">
        <v>25</v>
      </c>
      <c r="G654" s="9">
        <v>6</v>
      </c>
      <c r="H654" t="s">
        <v>68</v>
      </c>
      <c r="I654">
        <v>8</v>
      </c>
      <c r="J654" s="13">
        <f t="shared" si="10"/>
        <v>6</v>
      </c>
    </row>
    <row r="655" spans="1:10" x14ac:dyDescent="0.2">
      <c r="A655" s="6">
        <v>43234</v>
      </c>
      <c r="B655">
        <v>2011</v>
      </c>
      <c r="C655">
        <v>2758</v>
      </c>
      <c r="D655">
        <v>654</v>
      </c>
      <c r="E655">
        <v>11850</v>
      </c>
      <c r="F655" t="s">
        <v>25</v>
      </c>
      <c r="G655" s="9">
        <v>6</v>
      </c>
      <c r="H655" t="s">
        <v>68</v>
      </c>
      <c r="I655">
        <v>8</v>
      </c>
      <c r="J655" s="13">
        <f t="shared" si="10"/>
        <v>6</v>
      </c>
    </row>
    <row r="656" spans="1:10" x14ac:dyDescent="0.2">
      <c r="A656" s="6">
        <v>43144</v>
      </c>
      <c r="B656">
        <v>2012</v>
      </c>
      <c r="C656">
        <v>2758</v>
      </c>
      <c r="D656">
        <v>655</v>
      </c>
      <c r="E656">
        <v>9250</v>
      </c>
      <c r="F656" t="s">
        <v>25</v>
      </c>
      <c r="G656" s="9">
        <v>6</v>
      </c>
      <c r="H656" t="s">
        <v>68</v>
      </c>
      <c r="I656">
        <v>7</v>
      </c>
      <c r="J656" s="13">
        <f t="shared" si="10"/>
        <v>6</v>
      </c>
    </row>
    <row r="657" spans="1:10" x14ac:dyDescent="0.2">
      <c r="A657" s="6">
        <v>42992</v>
      </c>
      <c r="B657">
        <v>2011</v>
      </c>
      <c r="C657">
        <v>2758</v>
      </c>
      <c r="D657">
        <v>656</v>
      </c>
      <c r="E657">
        <v>8000</v>
      </c>
      <c r="F657" t="s">
        <v>25</v>
      </c>
      <c r="G657" s="9">
        <v>6</v>
      </c>
      <c r="H657" t="s">
        <v>68</v>
      </c>
      <c r="I657">
        <v>8</v>
      </c>
      <c r="J657" s="13">
        <f t="shared" si="10"/>
        <v>6</v>
      </c>
    </row>
    <row r="658" spans="1:10" x14ac:dyDescent="0.2">
      <c r="A658" s="6">
        <v>42657</v>
      </c>
      <c r="B658">
        <v>2011</v>
      </c>
      <c r="C658">
        <v>2758</v>
      </c>
      <c r="D658">
        <v>657</v>
      </c>
      <c r="E658">
        <v>6100</v>
      </c>
      <c r="F658" t="s">
        <v>25</v>
      </c>
      <c r="G658" s="9">
        <v>6</v>
      </c>
      <c r="H658" t="s">
        <v>68</v>
      </c>
      <c r="I658">
        <v>8</v>
      </c>
      <c r="J658" s="13">
        <f t="shared" si="10"/>
        <v>6</v>
      </c>
    </row>
    <row r="659" spans="1:10" x14ac:dyDescent="0.2">
      <c r="A659" s="6">
        <v>42648</v>
      </c>
      <c r="B659">
        <v>2011</v>
      </c>
      <c r="C659">
        <v>2758</v>
      </c>
      <c r="D659">
        <v>658</v>
      </c>
      <c r="E659">
        <v>6250</v>
      </c>
      <c r="F659" t="s">
        <v>25</v>
      </c>
      <c r="G659" s="9">
        <v>6</v>
      </c>
      <c r="H659" t="s">
        <v>68</v>
      </c>
      <c r="I659">
        <v>8</v>
      </c>
      <c r="J659" s="13">
        <f t="shared" si="10"/>
        <v>6</v>
      </c>
    </row>
    <row r="660" spans="1:10" x14ac:dyDescent="0.2">
      <c r="A660" s="6">
        <v>42488</v>
      </c>
      <c r="B660">
        <v>2012</v>
      </c>
      <c r="C660">
        <v>2758</v>
      </c>
      <c r="D660">
        <v>659</v>
      </c>
      <c r="E660">
        <v>6100</v>
      </c>
      <c r="F660" t="s">
        <v>25</v>
      </c>
      <c r="G660" s="9">
        <v>6</v>
      </c>
      <c r="H660" t="s">
        <v>68</v>
      </c>
      <c r="I660">
        <v>7</v>
      </c>
      <c r="J660" s="13">
        <f t="shared" si="10"/>
        <v>6</v>
      </c>
    </row>
    <row r="661" spans="1:10" x14ac:dyDescent="0.2">
      <c r="A661" s="6">
        <v>42474</v>
      </c>
      <c r="B661">
        <v>2011</v>
      </c>
      <c r="C661">
        <v>2758</v>
      </c>
      <c r="D661">
        <v>660</v>
      </c>
      <c r="E661">
        <v>6000</v>
      </c>
      <c r="F661" t="s">
        <v>25</v>
      </c>
      <c r="G661" s="9">
        <v>6</v>
      </c>
      <c r="H661" t="s">
        <v>68</v>
      </c>
      <c r="I661">
        <v>8</v>
      </c>
      <c r="J661" s="13">
        <f t="shared" si="10"/>
        <v>6</v>
      </c>
    </row>
    <row r="662" spans="1:10" x14ac:dyDescent="0.2">
      <c r="A662" s="6">
        <v>43115</v>
      </c>
      <c r="B662">
        <v>2011</v>
      </c>
      <c r="C662">
        <v>2758</v>
      </c>
      <c r="D662">
        <v>661</v>
      </c>
      <c r="E662">
        <v>8900</v>
      </c>
      <c r="F662" t="s">
        <v>25</v>
      </c>
      <c r="G662" s="9">
        <v>7</v>
      </c>
      <c r="H662" t="s">
        <v>68</v>
      </c>
      <c r="I662">
        <v>8</v>
      </c>
      <c r="J662" s="13">
        <f t="shared" si="10"/>
        <v>7</v>
      </c>
    </row>
    <row r="663" spans="1:10" x14ac:dyDescent="0.2">
      <c r="A663" s="6">
        <v>43018</v>
      </c>
      <c r="B663">
        <v>2011</v>
      </c>
      <c r="C663">
        <v>2758</v>
      </c>
      <c r="D663">
        <v>662</v>
      </c>
      <c r="E663">
        <v>9150</v>
      </c>
      <c r="F663" t="s">
        <v>25</v>
      </c>
      <c r="G663" s="9">
        <v>7</v>
      </c>
      <c r="H663" t="s">
        <v>68</v>
      </c>
      <c r="I663">
        <v>8</v>
      </c>
      <c r="J663" s="13">
        <f t="shared" si="10"/>
        <v>7</v>
      </c>
    </row>
    <row r="664" spans="1:10" x14ac:dyDescent="0.2">
      <c r="A664" s="6">
        <v>43178</v>
      </c>
      <c r="B664">
        <v>2011</v>
      </c>
      <c r="C664">
        <v>2758</v>
      </c>
      <c r="D664">
        <v>663</v>
      </c>
      <c r="E664">
        <v>9550</v>
      </c>
      <c r="F664" t="s">
        <v>25</v>
      </c>
      <c r="G664" s="9">
        <v>8</v>
      </c>
      <c r="H664" t="s">
        <v>68</v>
      </c>
      <c r="I664">
        <v>8</v>
      </c>
      <c r="J664" s="13">
        <f t="shared" si="10"/>
        <v>8</v>
      </c>
    </row>
    <row r="665" spans="1:10" x14ac:dyDescent="0.2">
      <c r="A665" s="6">
        <v>43542</v>
      </c>
      <c r="B665">
        <v>2011</v>
      </c>
      <c r="C665">
        <v>2758</v>
      </c>
      <c r="D665">
        <v>664</v>
      </c>
      <c r="E665">
        <v>8500</v>
      </c>
      <c r="F665" t="s">
        <v>25</v>
      </c>
      <c r="G665" s="9">
        <v>9</v>
      </c>
      <c r="H665" t="s">
        <v>68</v>
      </c>
      <c r="I665">
        <v>8</v>
      </c>
      <c r="J665" s="13">
        <f t="shared" si="10"/>
        <v>9</v>
      </c>
    </row>
    <row r="666" spans="1:10" x14ac:dyDescent="0.2">
      <c r="A666" s="6">
        <v>43560</v>
      </c>
      <c r="B666">
        <v>2017</v>
      </c>
      <c r="C666">
        <v>2782</v>
      </c>
      <c r="D666">
        <v>665</v>
      </c>
      <c r="E666">
        <v>12750</v>
      </c>
      <c r="F666" t="s">
        <v>25</v>
      </c>
      <c r="G666" s="9">
        <v>12</v>
      </c>
      <c r="H666" t="s">
        <v>68</v>
      </c>
      <c r="I666">
        <v>2</v>
      </c>
      <c r="J666" s="13">
        <f t="shared" si="10"/>
        <v>12</v>
      </c>
    </row>
    <row r="667" spans="1:10" x14ac:dyDescent="0.2">
      <c r="A667" s="6">
        <v>43423</v>
      </c>
      <c r="B667">
        <v>2017</v>
      </c>
      <c r="C667">
        <v>2782</v>
      </c>
      <c r="D667">
        <v>666</v>
      </c>
      <c r="E667">
        <v>13000</v>
      </c>
      <c r="F667" t="s">
        <v>25</v>
      </c>
      <c r="G667" s="9">
        <v>12</v>
      </c>
      <c r="H667" t="s">
        <v>68</v>
      </c>
      <c r="I667">
        <v>2</v>
      </c>
      <c r="J667" s="13">
        <f t="shared" si="10"/>
        <v>12</v>
      </c>
    </row>
    <row r="668" spans="1:10" x14ac:dyDescent="0.2">
      <c r="A668" s="6">
        <v>43389</v>
      </c>
      <c r="B668">
        <v>2018</v>
      </c>
      <c r="C668">
        <v>2782</v>
      </c>
      <c r="D668">
        <v>667</v>
      </c>
      <c r="E668">
        <v>13750</v>
      </c>
      <c r="F668" t="s">
        <v>25</v>
      </c>
      <c r="G668" s="9">
        <v>12</v>
      </c>
      <c r="H668" t="s">
        <v>68</v>
      </c>
      <c r="I668">
        <v>1</v>
      </c>
      <c r="J668" s="13">
        <f t="shared" si="10"/>
        <v>12</v>
      </c>
    </row>
    <row r="669" spans="1:10" x14ac:dyDescent="0.2">
      <c r="A669" s="6">
        <v>43131</v>
      </c>
      <c r="B669">
        <v>2017</v>
      </c>
      <c r="C669">
        <v>2782</v>
      </c>
      <c r="D669">
        <v>668</v>
      </c>
      <c r="E669">
        <v>12250</v>
      </c>
      <c r="F669" t="s">
        <v>25</v>
      </c>
      <c r="G669" s="9">
        <v>12</v>
      </c>
      <c r="H669" t="s">
        <v>68</v>
      </c>
      <c r="I669">
        <v>2</v>
      </c>
      <c r="J669" s="13">
        <f t="shared" si="10"/>
        <v>12</v>
      </c>
    </row>
    <row r="670" spans="1:10" x14ac:dyDescent="0.2">
      <c r="A670" s="6">
        <v>43266</v>
      </c>
      <c r="B670">
        <v>2018</v>
      </c>
      <c r="C670">
        <v>2782</v>
      </c>
      <c r="D670">
        <v>669</v>
      </c>
      <c r="E670">
        <v>14000</v>
      </c>
      <c r="F670" t="s">
        <v>25</v>
      </c>
      <c r="G670" s="9">
        <v>4</v>
      </c>
      <c r="H670" t="s">
        <v>68</v>
      </c>
      <c r="I670">
        <v>1</v>
      </c>
      <c r="J670" s="13">
        <f t="shared" si="10"/>
        <v>4</v>
      </c>
    </row>
    <row r="671" spans="1:10" x14ac:dyDescent="0.2">
      <c r="A671" s="6">
        <v>43080</v>
      </c>
      <c r="B671">
        <v>2017</v>
      </c>
      <c r="C671">
        <v>2782</v>
      </c>
      <c r="D671">
        <v>670</v>
      </c>
      <c r="E671">
        <v>11500</v>
      </c>
      <c r="F671" t="s">
        <v>25</v>
      </c>
      <c r="G671" s="9">
        <v>5</v>
      </c>
      <c r="H671" t="s">
        <v>68</v>
      </c>
      <c r="I671">
        <v>2</v>
      </c>
      <c r="J671" s="13">
        <f t="shared" si="10"/>
        <v>5</v>
      </c>
    </row>
    <row r="672" spans="1:10" x14ac:dyDescent="0.2">
      <c r="A672" s="6">
        <v>43397</v>
      </c>
      <c r="B672">
        <v>2018</v>
      </c>
      <c r="C672">
        <v>2782</v>
      </c>
      <c r="D672">
        <v>671</v>
      </c>
      <c r="E672">
        <v>13750</v>
      </c>
      <c r="F672" t="s">
        <v>25</v>
      </c>
      <c r="G672" s="9">
        <v>6</v>
      </c>
      <c r="H672" t="s">
        <v>68</v>
      </c>
      <c r="I672">
        <v>1</v>
      </c>
      <c r="J672" s="13">
        <f t="shared" si="10"/>
        <v>6</v>
      </c>
    </row>
    <row r="673" spans="1:10" x14ac:dyDescent="0.2">
      <c r="A673" s="6">
        <v>43083</v>
      </c>
      <c r="B673">
        <v>2018</v>
      </c>
      <c r="C673">
        <v>2782</v>
      </c>
      <c r="D673">
        <v>672</v>
      </c>
      <c r="E673">
        <v>11950</v>
      </c>
      <c r="F673" t="s">
        <v>25</v>
      </c>
      <c r="G673" s="9">
        <v>6</v>
      </c>
      <c r="H673" t="s">
        <v>68</v>
      </c>
      <c r="I673">
        <v>1</v>
      </c>
      <c r="J673" s="13">
        <f t="shared" si="10"/>
        <v>6</v>
      </c>
    </row>
    <row r="674" spans="1:10" x14ac:dyDescent="0.2">
      <c r="A674" s="6">
        <v>43542</v>
      </c>
      <c r="B674">
        <v>2018</v>
      </c>
      <c r="C674">
        <v>2782</v>
      </c>
      <c r="D674">
        <v>673</v>
      </c>
      <c r="E674">
        <v>11900</v>
      </c>
      <c r="F674" t="s">
        <v>25</v>
      </c>
      <c r="G674" s="9">
        <v>7</v>
      </c>
      <c r="H674" t="s">
        <v>68</v>
      </c>
      <c r="I674">
        <v>1</v>
      </c>
      <c r="J674" s="13">
        <f t="shared" si="10"/>
        <v>7</v>
      </c>
    </row>
    <row r="675" spans="1:10" x14ac:dyDescent="0.2">
      <c r="A675" s="6">
        <v>42936</v>
      </c>
      <c r="B675">
        <v>2012</v>
      </c>
      <c r="C675">
        <v>2790</v>
      </c>
      <c r="D675">
        <v>674</v>
      </c>
      <c r="E675">
        <v>9000</v>
      </c>
      <c r="F675" t="s">
        <v>25</v>
      </c>
      <c r="G675" s="9">
        <v>12</v>
      </c>
      <c r="H675" t="s">
        <v>68</v>
      </c>
      <c r="I675">
        <v>7</v>
      </c>
      <c r="J675" s="13">
        <f t="shared" si="10"/>
        <v>12</v>
      </c>
    </row>
    <row r="676" spans="1:10" x14ac:dyDescent="0.2">
      <c r="A676" s="6">
        <v>42578</v>
      </c>
      <c r="B676">
        <v>2012</v>
      </c>
      <c r="C676">
        <v>2790</v>
      </c>
      <c r="D676">
        <v>675</v>
      </c>
      <c r="E676">
        <v>8600</v>
      </c>
      <c r="F676" t="s">
        <v>25</v>
      </c>
      <c r="G676" s="9">
        <v>12</v>
      </c>
      <c r="H676" t="s">
        <v>68</v>
      </c>
      <c r="I676">
        <v>7</v>
      </c>
      <c r="J676" s="13">
        <f t="shared" si="10"/>
        <v>12</v>
      </c>
    </row>
    <row r="677" spans="1:10" x14ac:dyDescent="0.2">
      <c r="A677" s="6">
        <v>42578</v>
      </c>
      <c r="B677">
        <v>2012</v>
      </c>
      <c r="C677">
        <v>2790</v>
      </c>
      <c r="D677">
        <v>676</v>
      </c>
      <c r="E677">
        <v>8600</v>
      </c>
      <c r="F677" t="s">
        <v>25</v>
      </c>
      <c r="G677" s="9">
        <v>12</v>
      </c>
      <c r="H677" t="s">
        <v>68</v>
      </c>
      <c r="I677">
        <v>7</v>
      </c>
      <c r="J677" s="13">
        <f t="shared" si="10"/>
        <v>12</v>
      </c>
    </row>
    <row r="678" spans="1:10" x14ac:dyDescent="0.2">
      <c r="A678" s="6">
        <v>43034</v>
      </c>
      <c r="B678">
        <v>2012</v>
      </c>
      <c r="C678">
        <v>2790</v>
      </c>
      <c r="D678">
        <v>677</v>
      </c>
      <c r="E678">
        <v>9500</v>
      </c>
      <c r="F678" t="s">
        <v>25</v>
      </c>
      <c r="G678" s="9">
        <v>16</v>
      </c>
      <c r="H678" t="s">
        <v>68</v>
      </c>
      <c r="I678">
        <v>7</v>
      </c>
      <c r="J678" s="13">
        <f t="shared" si="10"/>
        <v>16</v>
      </c>
    </row>
    <row r="679" spans="1:10" x14ac:dyDescent="0.2">
      <c r="A679" s="6">
        <v>43523</v>
      </c>
      <c r="B679">
        <v>2012</v>
      </c>
      <c r="C679">
        <v>2790</v>
      </c>
      <c r="D679">
        <v>678</v>
      </c>
      <c r="E679">
        <v>9250</v>
      </c>
      <c r="F679" t="s">
        <v>25</v>
      </c>
      <c r="G679" s="9">
        <v>4</v>
      </c>
      <c r="H679" t="s">
        <v>68</v>
      </c>
      <c r="I679">
        <v>7</v>
      </c>
      <c r="J679" s="13">
        <f t="shared" si="10"/>
        <v>4</v>
      </c>
    </row>
    <row r="680" spans="1:10" x14ac:dyDescent="0.2">
      <c r="A680" s="6">
        <v>43437</v>
      </c>
      <c r="B680">
        <v>2012</v>
      </c>
      <c r="C680">
        <v>2790</v>
      </c>
      <c r="D680">
        <v>679</v>
      </c>
      <c r="E680">
        <v>9600</v>
      </c>
      <c r="F680" t="s">
        <v>25</v>
      </c>
      <c r="G680" s="9">
        <v>4</v>
      </c>
      <c r="H680" t="s">
        <v>68</v>
      </c>
      <c r="I680">
        <v>7</v>
      </c>
      <c r="J680" s="13">
        <f t="shared" si="10"/>
        <v>4</v>
      </c>
    </row>
    <row r="681" spans="1:10" x14ac:dyDescent="0.2">
      <c r="A681" s="6">
        <v>43235</v>
      </c>
      <c r="B681">
        <v>2012</v>
      </c>
      <c r="C681">
        <v>2790</v>
      </c>
      <c r="D681">
        <v>680</v>
      </c>
      <c r="E681">
        <v>12000</v>
      </c>
      <c r="F681" t="s">
        <v>25</v>
      </c>
      <c r="G681" s="9">
        <v>6</v>
      </c>
      <c r="H681" t="s">
        <v>68</v>
      </c>
      <c r="I681">
        <v>7</v>
      </c>
      <c r="J681" s="13">
        <f t="shared" si="10"/>
        <v>6</v>
      </c>
    </row>
    <row r="682" spans="1:10" x14ac:dyDescent="0.2">
      <c r="A682" s="6">
        <v>43075</v>
      </c>
      <c r="B682">
        <v>2012</v>
      </c>
      <c r="C682">
        <v>2790</v>
      </c>
      <c r="D682">
        <v>681</v>
      </c>
      <c r="E682">
        <v>8950</v>
      </c>
      <c r="F682" t="s">
        <v>25</v>
      </c>
      <c r="G682" s="9">
        <v>6</v>
      </c>
      <c r="H682" t="s">
        <v>68</v>
      </c>
      <c r="I682">
        <v>7</v>
      </c>
      <c r="J682" s="13">
        <f t="shared" si="10"/>
        <v>6</v>
      </c>
    </row>
    <row r="683" spans="1:10" x14ac:dyDescent="0.2">
      <c r="A683" s="6">
        <v>43077</v>
      </c>
      <c r="B683">
        <v>2012</v>
      </c>
      <c r="C683">
        <v>2796</v>
      </c>
      <c r="D683">
        <v>682</v>
      </c>
      <c r="E683">
        <v>8500</v>
      </c>
      <c r="F683" t="s">
        <v>25</v>
      </c>
      <c r="G683" s="9">
        <v>12</v>
      </c>
      <c r="H683" t="s">
        <v>68</v>
      </c>
      <c r="I683">
        <v>7</v>
      </c>
      <c r="J683" s="13">
        <f t="shared" si="10"/>
        <v>12</v>
      </c>
    </row>
    <row r="684" spans="1:10" x14ac:dyDescent="0.2">
      <c r="A684" s="6">
        <v>42549</v>
      </c>
      <c r="B684">
        <v>2012</v>
      </c>
      <c r="C684">
        <v>2796</v>
      </c>
      <c r="D684">
        <v>683</v>
      </c>
      <c r="E684">
        <v>6600</v>
      </c>
      <c r="F684" t="s">
        <v>25</v>
      </c>
      <c r="G684" s="9">
        <v>12</v>
      </c>
      <c r="H684" t="s">
        <v>68</v>
      </c>
      <c r="I684">
        <v>7</v>
      </c>
      <c r="J684" s="13">
        <f t="shared" si="10"/>
        <v>12</v>
      </c>
    </row>
    <row r="685" spans="1:10" x14ac:dyDescent="0.2">
      <c r="A685" s="6">
        <v>43446</v>
      </c>
      <c r="B685">
        <v>2012</v>
      </c>
      <c r="C685">
        <v>2796</v>
      </c>
      <c r="D685">
        <v>684</v>
      </c>
      <c r="E685">
        <v>9750</v>
      </c>
      <c r="F685" t="s">
        <v>25</v>
      </c>
      <c r="G685" s="9">
        <v>9</v>
      </c>
      <c r="H685" t="s">
        <v>68</v>
      </c>
      <c r="I685">
        <v>7</v>
      </c>
      <c r="J685" s="13">
        <f t="shared" si="10"/>
        <v>9</v>
      </c>
    </row>
    <row r="686" spans="1:10" x14ac:dyDescent="0.2">
      <c r="A686" s="6">
        <v>42597</v>
      </c>
      <c r="B686">
        <v>2011</v>
      </c>
      <c r="C686">
        <v>2800</v>
      </c>
      <c r="D686">
        <v>685</v>
      </c>
      <c r="E686">
        <v>6900</v>
      </c>
      <c r="F686" t="s">
        <v>25</v>
      </c>
      <c r="G686" s="9">
        <v>8</v>
      </c>
      <c r="H686" t="s">
        <v>68</v>
      </c>
      <c r="I686">
        <v>8</v>
      </c>
      <c r="J686" s="13">
        <f t="shared" si="10"/>
        <v>8</v>
      </c>
    </row>
    <row r="687" spans="1:10" x14ac:dyDescent="0.2">
      <c r="A687" s="6">
        <v>42979</v>
      </c>
      <c r="B687">
        <v>2018</v>
      </c>
      <c r="C687">
        <v>2806</v>
      </c>
      <c r="D687">
        <v>686</v>
      </c>
      <c r="E687">
        <v>14700</v>
      </c>
      <c r="F687" t="s">
        <v>25</v>
      </c>
      <c r="G687" s="9">
        <v>10</v>
      </c>
      <c r="H687" t="s">
        <v>69</v>
      </c>
      <c r="I687">
        <v>1</v>
      </c>
      <c r="J687" s="13">
        <f t="shared" si="10"/>
        <v>120</v>
      </c>
    </row>
    <row r="688" spans="1:10" x14ac:dyDescent="0.2">
      <c r="A688" s="6">
        <v>42979</v>
      </c>
      <c r="B688">
        <v>2018</v>
      </c>
      <c r="C688">
        <v>2806</v>
      </c>
      <c r="D688">
        <v>687</v>
      </c>
      <c r="E688">
        <v>14700</v>
      </c>
      <c r="F688" t="s">
        <v>25</v>
      </c>
      <c r="G688" s="9">
        <v>10</v>
      </c>
      <c r="H688" t="s">
        <v>69</v>
      </c>
      <c r="I688">
        <v>1</v>
      </c>
      <c r="J688" s="13">
        <f t="shared" si="10"/>
        <v>120</v>
      </c>
    </row>
  </sheetData>
  <autoFilter ref="A1:J688">
    <sortState ref="A2:J688">
      <sortCondition ref="C1:C688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1933"/>
  <sheetViews>
    <sheetView topLeftCell="A1918" workbookViewId="0">
      <selection activeCell="D48" sqref="D48"/>
    </sheetView>
  </sheetViews>
  <sheetFormatPr baseColWidth="10" defaultColWidth="11.5" defaultRowHeight="15" x14ac:dyDescent="0.2"/>
  <cols>
    <col min="1" max="2" width="9.6640625" bestFit="1" customWidth="1"/>
    <col min="3" max="3" width="9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7.6640625" bestFit="1" customWidth="1"/>
    <col min="8" max="8" width="15.1640625" bestFit="1" customWidth="1"/>
    <col min="9" max="9" width="8.6640625" bestFit="1" customWidth="1"/>
    <col min="10" max="10" width="21.33203125" bestFit="1" customWidth="1"/>
  </cols>
  <sheetData>
    <row r="1" spans="1:10" x14ac:dyDescent="0.2">
      <c r="A1" s="11" t="s">
        <v>17</v>
      </c>
      <c r="B1" s="11" t="s">
        <v>18</v>
      </c>
      <c r="C1" s="11" t="s">
        <v>19</v>
      </c>
      <c r="D1" s="11" t="s">
        <v>313</v>
      </c>
      <c r="E1" s="11" t="s">
        <v>20</v>
      </c>
      <c r="F1" s="11" t="s">
        <v>21</v>
      </c>
      <c r="G1" s="11" t="s">
        <v>22</v>
      </c>
      <c r="H1" s="11" t="s">
        <v>23</v>
      </c>
      <c r="I1" s="11" t="s">
        <v>24</v>
      </c>
      <c r="J1" s="11" t="s">
        <v>314</v>
      </c>
    </row>
    <row r="2" spans="1:10" x14ac:dyDescent="0.2">
      <c r="A2" s="6">
        <v>42795</v>
      </c>
      <c r="B2">
        <v>2009</v>
      </c>
      <c r="C2">
        <v>1005</v>
      </c>
      <c r="D2">
        <v>1</v>
      </c>
      <c r="E2">
        <v>7000</v>
      </c>
      <c r="F2" t="s">
        <v>25</v>
      </c>
      <c r="G2">
        <v>6</v>
      </c>
      <c r="H2" t="s">
        <v>68</v>
      </c>
      <c r="I2">
        <v>10</v>
      </c>
      <c r="J2" s="10">
        <f t="shared" ref="J2:J65" si="0">IF(H2="days",ROUND(G2/30,0),IF(H2="years",G2*12,G2))</f>
        <v>6</v>
      </c>
    </row>
    <row r="3" spans="1:10" x14ac:dyDescent="0.2">
      <c r="A3" s="6">
        <v>42460</v>
      </c>
      <c r="B3">
        <v>2009</v>
      </c>
      <c r="C3">
        <v>1005</v>
      </c>
      <c r="D3">
        <v>2</v>
      </c>
      <c r="E3">
        <v>7750</v>
      </c>
      <c r="F3" t="s">
        <v>25</v>
      </c>
      <c r="G3">
        <v>3</v>
      </c>
      <c r="H3" t="s">
        <v>68</v>
      </c>
      <c r="I3">
        <v>10</v>
      </c>
      <c r="J3" s="10">
        <f t="shared" si="0"/>
        <v>3</v>
      </c>
    </row>
    <row r="4" spans="1:10" x14ac:dyDescent="0.2">
      <c r="A4" s="6">
        <v>43385</v>
      </c>
      <c r="B4">
        <v>2007</v>
      </c>
      <c r="C4">
        <v>1008</v>
      </c>
      <c r="D4">
        <v>3</v>
      </c>
      <c r="E4">
        <v>6325</v>
      </c>
      <c r="F4" t="s">
        <v>25</v>
      </c>
      <c r="G4">
        <v>6</v>
      </c>
      <c r="H4" t="s">
        <v>68</v>
      </c>
      <c r="I4">
        <v>12</v>
      </c>
      <c r="J4" s="10">
        <f t="shared" si="0"/>
        <v>6</v>
      </c>
    </row>
    <row r="5" spans="1:10" x14ac:dyDescent="0.2">
      <c r="A5" s="6">
        <v>43584</v>
      </c>
      <c r="B5">
        <v>2008</v>
      </c>
      <c r="C5">
        <v>1022</v>
      </c>
      <c r="D5">
        <v>4</v>
      </c>
      <c r="E5">
        <v>6350</v>
      </c>
      <c r="F5" t="s">
        <v>25</v>
      </c>
      <c r="G5">
        <v>7</v>
      </c>
      <c r="H5" t="s">
        <v>68</v>
      </c>
      <c r="I5">
        <v>11</v>
      </c>
      <c r="J5" s="10">
        <f t="shared" si="0"/>
        <v>7</v>
      </c>
    </row>
    <row r="6" spans="1:10" x14ac:dyDescent="0.2">
      <c r="A6" s="6">
        <v>43054</v>
      </c>
      <c r="B6">
        <v>2008</v>
      </c>
      <c r="C6">
        <v>1022</v>
      </c>
      <c r="D6">
        <v>5</v>
      </c>
      <c r="E6">
        <v>6500</v>
      </c>
      <c r="F6" t="s">
        <v>25</v>
      </c>
      <c r="G6">
        <v>6</v>
      </c>
      <c r="H6" t="s">
        <v>68</v>
      </c>
      <c r="I6">
        <v>11</v>
      </c>
      <c r="J6" s="10">
        <f t="shared" si="0"/>
        <v>6</v>
      </c>
    </row>
    <row r="7" spans="1:10" x14ac:dyDescent="0.2">
      <c r="A7" s="6">
        <v>42971</v>
      </c>
      <c r="B7">
        <v>2008</v>
      </c>
      <c r="C7">
        <v>1022</v>
      </c>
      <c r="D7">
        <v>6</v>
      </c>
      <c r="E7">
        <v>6100</v>
      </c>
      <c r="F7" t="s">
        <v>25</v>
      </c>
      <c r="G7">
        <v>12</v>
      </c>
      <c r="H7" t="s">
        <v>68</v>
      </c>
      <c r="I7">
        <v>11</v>
      </c>
      <c r="J7" s="10">
        <f t="shared" si="0"/>
        <v>12</v>
      </c>
    </row>
    <row r="8" spans="1:10" x14ac:dyDescent="0.2">
      <c r="A8" s="6">
        <v>42639</v>
      </c>
      <c r="B8">
        <v>2008</v>
      </c>
      <c r="C8">
        <v>1022</v>
      </c>
      <c r="D8">
        <v>7</v>
      </c>
      <c r="E8">
        <v>6000</v>
      </c>
      <c r="F8" t="s">
        <v>25</v>
      </c>
      <c r="G8">
        <v>13</v>
      </c>
      <c r="H8" t="s">
        <v>68</v>
      </c>
      <c r="I8">
        <v>11</v>
      </c>
      <c r="J8" s="10">
        <f t="shared" si="0"/>
        <v>13</v>
      </c>
    </row>
    <row r="9" spans="1:10" x14ac:dyDescent="0.2">
      <c r="A9" s="6">
        <v>42639</v>
      </c>
      <c r="B9">
        <v>2009</v>
      </c>
      <c r="C9">
        <v>1022</v>
      </c>
      <c r="D9">
        <v>8</v>
      </c>
      <c r="E9">
        <v>6000</v>
      </c>
      <c r="F9" t="s">
        <v>25</v>
      </c>
      <c r="G9">
        <v>13</v>
      </c>
      <c r="H9" t="s">
        <v>68</v>
      </c>
      <c r="I9">
        <v>10</v>
      </c>
      <c r="J9" s="10">
        <f t="shared" si="0"/>
        <v>13</v>
      </c>
    </row>
    <row r="10" spans="1:10" x14ac:dyDescent="0.2">
      <c r="A10" s="6">
        <v>42472</v>
      </c>
      <c r="B10">
        <v>2009</v>
      </c>
      <c r="C10">
        <v>1022</v>
      </c>
      <c r="D10">
        <v>9</v>
      </c>
      <c r="E10">
        <v>7100</v>
      </c>
      <c r="F10" t="s">
        <v>25</v>
      </c>
      <c r="G10">
        <v>6</v>
      </c>
      <c r="H10" t="s">
        <v>68</v>
      </c>
      <c r="I10">
        <v>10</v>
      </c>
      <c r="J10" s="10">
        <f t="shared" si="0"/>
        <v>6</v>
      </c>
    </row>
    <row r="11" spans="1:10" x14ac:dyDescent="0.2">
      <c r="A11" s="6">
        <v>42438</v>
      </c>
      <c r="B11">
        <v>2008</v>
      </c>
      <c r="C11">
        <v>1022</v>
      </c>
      <c r="D11">
        <v>10</v>
      </c>
      <c r="E11">
        <v>7100</v>
      </c>
      <c r="F11" t="s">
        <v>25</v>
      </c>
      <c r="G11">
        <v>12</v>
      </c>
      <c r="H11" t="s">
        <v>68</v>
      </c>
      <c r="I11">
        <v>11</v>
      </c>
      <c r="J11" s="10">
        <f t="shared" si="0"/>
        <v>12</v>
      </c>
    </row>
    <row r="12" spans="1:10" x14ac:dyDescent="0.2">
      <c r="A12" s="6">
        <v>43634</v>
      </c>
      <c r="B12">
        <v>2007</v>
      </c>
      <c r="C12">
        <v>1024</v>
      </c>
      <c r="D12">
        <v>11</v>
      </c>
      <c r="E12">
        <v>7850</v>
      </c>
      <c r="F12" t="s">
        <v>25</v>
      </c>
      <c r="G12">
        <v>6</v>
      </c>
      <c r="H12" t="s">
        <v>68</v>
      </c>
      <c r="I12">
        <v>12</v>
      </c>
      <c r="J12" s="10">
        <f t="shared" si="0"/>
        <v>6</v>
      </c>
    </row>
    <row r="13" spans="1:10" x14ac:dyDescent="0.2">
      <c r="A13" s="6">
        <v>43587</v>
      </c>
      <c r="B13">
        <v>2007</v>
      </c>
      <c r="C13">
        <v>1024</v>
      </c>
      <c r="D13">
        <v>12</v>
      </c>
      <c r="E13">
        <v>7900</v>
      </c>
      <c r="F13" t="s">
        <v>25</v>
      </c>
      <c r="G13">
        <v>5</v>
      </c>
      <c r="H13" t="s">
        <v>68</v>
      </c>
      <c r="I13">
        <v>12</v>
      </c>
      <c r="J13" s="10">
        <f t="shared" si="0"/>
        <v>5</v>
      </c>
    </row>
    <row r="14" spans="1:10" x14ac:dyDescent="0.2">
      <c r="A14" s="6">
        <v>43587</v>
      </c>
      <c r="B14">
        <v>2007</v>
      </c>
      <c r="C14">
        <v>1024</v>
      </c>
      <c r="D14">
        <v>13</v>
      </c>
      <c r="E14">
        <v>7900</v>
      </c>
      <c r="F14" t="s">
        <v>25</v>
      </c>
      <c r="G14">
        <v>5</v>
      </c>
      <c r="H14" t="s">
        <v>68</v>
      </c>
      <c r="I14">
        <v>12</v>
      </c>
      <c r="J14" s="10">
        <f t="shared" si="0"/>
        <v>5</v>
      </c>
    </row>
    <row r="15" spans="1:10" x14ac:dyDescent="0.2">
      <c r="A15" s="6">
        <v>43501</v>
      </c>
      <c r="B15">
        <v>2007</v>
      </c>
      <c r="C15">
        <v>1024</v>
      </c>
      <c r="D15">
        <v>14</v>
      </c>
      <c r="E15">
        <v>7800</v>
      </c>
      <c r="F15" t="s">
        <v>25</v>
      </c>
      <c r="G15">
        <v>5</v>
      </c>
      <c r="H15" t="s">
        <v>68</v>
      </c>
      <c r="I15">
        <v>12</v>
      </c>
      <c r="J15" s="10">
        <f t="shared" si="0"/>
        <v>5</v>
      </c>
    </row>
    <row r="16" spans="1:10" x14ac:dyDescent="0.2">
      <c r="A16" s="6">
        <v>43493</v>
      </c>
      <c r="B16">
        <v>2007</v>
      </c>
      <c r="C16">
        <v>1024</v>
      </c>
      <c r="D16">
        <v>15</v>
      </c>
      <c r="E16">
        <v>7900</v>
      </c>
      <c r="F16" t="s">
        <v>25</v>
      </c>
      <c r="G16">
        <v>4</v>
      </c>
      <c r="H16" t="s">
        <v>68</v>
      </c>
      <c r="I16">
        <v>12</v>
      </c>
      <c r="J16" s="10">
        <f t="shared" si="0"/>
        <v>4</v>
      </c>
    </row>
    <row r="17" spans="1:10" x14ac:dyDescent="0.2">
      <c r="A17" s="6">
        <v>43490</v>
      </c>
      <c r="B17">
        <v>2008</v>
      </c>
      <c r="C17">
        <v>1024</v>
      </c>
      <c r="D17">
        <v>16</v>
      </c>
      <c r="E17">
        <v>7750</v>
      </c>
      <c r="F17" t="s">
        <v>25</v>
      </c>
      <c r="G17">
        <v>6</v>
      </c>
      <c r="H17" t="s">
        <v>68</v>
      </c>
      <c r="I17">
        <v>11</v>
      </c>
      <c r="J17" s="10">
        <f t="shared" si="0"/>
        <v>6</v>
      </c>
    </row>
    <row r="18" spans="1:10" x14ac:dyDescent="0.2">
      <c r="A18" s="6">
        <v>43479</v>
      </c>
      <c r="B18">
        <v>2008</v>
      </c>
      <c r="C18">
        <v>1024</v>
      </c>
      <c r="D18">
        <v>17</v>
      </c>
      <c r="E18">
        <v>8000</v>
      </c>
      <c r="F18" t="s">
        <v>25</v>
      </c>
      <c r="G18">
        <v>42</v>
      </c>
      <c r="H18" t="s">
        <v>26</v>
      </c>
      <c r="I18">
        <v>11</v>
      </c>
      <c r="J18" s="10">
        <f t="shared" si="0"/>
        <v>1</v>
      </c>
    </row>
    <row r="19" spans="1:10" x14ac:dyDescent="0.2">
      <c r="A19" s="6">
        <v>43455</v>
      </c>
      <c r="B19">
        <v>2007</v>
      </c>
      <c r="C19">
        <v>1024</v>
      </c>
      <c r="D19">
        <v>18</v>
      </c>
      <c r="E19">
        <v>7850</v>
      </c>
      <c r="F19" t="s">
        <v>25</v>
      </c>
      <c r="G19">
        <v>6</v>
      </c>
      <c r="H19" t="s">
        <v>68</v>
      </c>
      <c r="I19">
        <v>12</v>
      </c>
      <c r="J19" s="10">
        <f t="shared" si="0"/>
        <v>6</v>
      </c>
    </row>
    <row r="20" spans="1:10" x14ac:dyDescent="0.2">
      <c r="A20" s="6">
        <v>43397</v>
      </c>
      <c r="B20">
        <v>2008</v>
      </c>
      <c r="C20">
        <v>1024</v>
      </c>
      <c r="D20">
        <v>19</v>
      </c>
      <c r="E20">
        <v>8000</v>
      </c>
      <c r="F20" t="s">
        <v>25</v>
      </c>
      <c r="G20">
        <v>3</v>
      </c>
      <c r="H20" t="s">
        <v>68</v>
      </c>
      <c r="I20">
        <v>11</v>
      </c>
      <c r="J20" s="10">
        <f t="shared" si="0"/>
        <v>3</v>
      </c>
    </row>
    <row r="21" spans="1:10" x14ac:dyDescent="0.2">
      <c r="A21" s="6">
        <v>43368</v>
      </c>
      <c r="B21">
        <v>2007</v>
      </c>
      <c r="C21">
        <v>1024</v>
      </c>
      <c r="D21">
        <v>20</v>
      </c>
      <c r="E21">
        <v>8550</v>
      </c>
      <c r="F21" t="s">
        <v>25</v>
      </c>
      <c r="G21">
        <v>6</v>
      </c>
      <c r="H21" t="s">
        <v>68</v>
      </c>
      <c r="I21">
        <v>12</v>
      </c>
      <c r="J21" s="10">
        <f t="shared" si="0"/>
        <v>6</v>
      </c>
    </row>
    <row r="22" spans="1:10" x14ac:dyDescent="0.2">
      <c r="A22" s="6">
        <v>43353</v>
      </c>
      <c r="B22">
        <v>2008</v>
      </c>
      <c r="C22">
        <v>1024</v>
      </c>
      <c r="D22">
        <v>21</v>
      </c>
      <c r="E22">
        <v>8500</v>
      </c>
      <c r="F22" t="s">
        <v>25</v>
      </c>
      <c r="G22">
        <v>6</v>
      </c>
      <c r="H22" t="s">
        <v>68</v>
      </c>
      <c r="I22">
        <v>11</v>
      </c>
      <c r="J22" s="10">
        <f t="shared" si="0"/>
        <v>6</v>
      </c>
    </row>
    <row r="23" spans="1:10" x14ac:dyDescent="0.2">
      <c r="A23" s="6">
        <v>43308</v>
      </c>
      <c r="B23">
        <v>2008</v>
      </c>
      <c r="C23">
        <v>1024</v>
      </c>
      <c r="D23">
        <v>22</v>
      </c>
      <c r="E23">
        <v>8800</v>
      </c>
      <c r="F23" t="s">
        <v>25</v>
      </c>
      <c r="G23">
        <v>8</v>
      </c>
      <c r="H23" t="s">
        <v>68</v>
      </c>
      <c r="I23">
        <v>11</v>
      </c>
      <c r="J23" s="10">
        <f t="shared" si="0"/>
        <v>8</v>
      </c>
    </row>
    <row r="24" spans="1:10" x14ac:dyDescent="0.2">
      <c r="A24" s="6">
        <v>43307</v>
      </c>
      <c r="B24">
        <v>2007</v>
      </c>
      <c r="C24">
        <v>1024</v>
      </c>
      <c r="D24">
        <v>23</v>
      </c>
      <c r="E24">
        <v>8850</v>
      </c>
      <c r="F24" t="s">
        <v>25</v>
      </c>
      <c r="G24">
        <v>8</v>
      </c>
      <c r="H24" t="s">
        <v>68</v>
      </c>
      <c r="I24">
        <v>12</v>
      </c>
      <c r="J24" s="10">
        <f t="shared" si="0"/>
        <v>8</v>
      </c>
    </row>
    <row r="25" spans="1:10" x14ac:dyDescent="0.2">
      <c r="A25" s="6">
        <v>43277</v>
      </c>
      <c r="B25">
        <v>2007</v>
      </c>
      <c r="C25">
        <v>1024</v>
      </c>
      <c r="D25">
        <v>24</v>
      </c>
      <c r="E25">
        <v>9050</v>
      </c>
      <c r="F25" t="s">
        <v>25</v>
      </c>
      <c r="G25">
        <v>6</v>
      </c>
      <c r="H25" t="s">
        <v>68</v>
      </c>
      <c r="I25">
        <v>12</v>
      </c>
      <c r="J25" s="10">
        <f t="shared" si="0"/>
        <v>6</v>
      </c>
    </row>
    <row r="26" spans="1:10" x14ac:dyDescent="0.2">
      <c r="A26" s="6">
        <v>43277</v>
      </c>
      <c r="B26">
        <v>2008</v>
      </c>
      <c r="C26">
        <v>1024</v>
      </c>
      <c r="D26">
        <v>25</v>
      </c>
      <c r="E26">
        <v>8950</v>
      </c>
      <c r="F26" t="s">
        <v>25</v>
      </c>
      <c r="G26">
        <v>6</v>
      </c>
      <c r="H26" t="s">
        <v>68</v>
      </c>
      <c r="I26">
        <v>11</v>
      </c>
      <c r="J26" s="10">
        <f t="shared" si="0"/>
        <v>6</v>
      </c>
    </row>
    <row r="27" spans="1:10" x14ac:dyDescent="0.2">
      <c r="A27" s="6">
        <v>43245</v>
      </c>
      <c r="B27">
        <v>2007</v>
      </c>
      <c r="C27">
        <v>1024</v>
      </c>
      <c r="D27">
        <v>26</v>
      </c>
      <c r="E27">
        <v>9200</v>
      </c>
      <c r="F27" t="s">
        <v>25</v>
      </c>
      <c r="G27">
        <v>30</v>
      </c>
      <c r="H27" t="s">
        <v>26</v>
      </c>
      <c r="I27">
        <v>12</v>
      </c>
      <c r="J27" s="10">
        <f t="shared" si="0"/>
        <v>1</v>
      </c>
    </row>
    <row r="28" spans="1:10" x14ac:dyDescent="0.2">
      <c r="A28" s="6">
        <v>43224</v>
      </c>
      <c r="B28">
        <v>2007</v>
      </c>
      <c r="C28">
        <v>1024</v>
      </c>
      <c r="D28">
        <v>27</v>
      </c>
      <c r="E28">
        <v>9250</v>
      </c>
      <c r="F28" t="s">
        <v>25</v>
      </c>
      <c r="G28">
        <v>4</v>
      </c>
      <c r="H28" t="s">
        <v>68</v>
      </c>
      <c r="I28">
        <v>12</v>
      </c>
      <c r="J28" s="10">
        <f t="shared" si="0"/>
        <v>4</v>
      </c>
    </row>
    <row r="29" spans="1:10" x14ac:dyDescent="0.2">
      <c r="A29" s="6">
        <v>43171</v>
      </c>
      <c r="B29">
        <v>2008</v>
      </c>
      <c r="C29">
        <v>1024</v>
      </c>
      <c r="D29">
        <v>28</v>
      </c>
      <c r="E29">
        <v>8000</v>
      </c>
      <c r="F29" t="s">
        <v>25</v>
      </c>
      <c r="G29">
        <v>6</v>
      </c>
      <c r="H29" t="s">
        <v>68</v>
      </c>
      <c r="I29">
        <v>11</v>
      </c>
      <c r="J29" s="10">
        <f t="shared" si="0"/>
        <v>6</v>
      </c>
    </row>
    <row r="30" spans="1:10" x14ac:dyDescent="0.2">
      <c r="A30" s="6">
        <v>43136</v>
      </c>
      <c r="B30">
        <v>2007</v>
      </c>
      <c r="C30">
        <v>1024</v>
      </c>
      <c r="D30">
        <v>29</v>
      </c>
      <c r="E30">
        <v>8000</v>
      </c>
      <c r="F30" t="s">
        <v>25</v>
      </c>
      <c r="G30">
        <v>5</v>
      </c>
      <c r="H30" t="s">
        <v>68</v>
      </c>
      <c r="I30">
        <v>12</v>
      </c>
      <c r="J30" s="10">
        <f t="shared" si="0"/>
        <v>5</v>
      </c>
    </row>
    <row r="31" spans="1:10" x14ac:dyDescent="0.2">
      <c r="A31" s="6">
        <v>43122</v>
      </c>
      <c r="B31">
        <v>2008</v>
      </c>
      <c r="C31">
        <v>1024</v>
      </c>
      <c r="D31">
        <v>30</v>
      </c>
      <c r="E31">
        <v>7600</v>
      </c>
      <c r="F31" t="s">
        <v>25</v>
      </c>
      <c r="G31">
        <v>6</v>
      </c>
      <c r="H31" t="s">
        <v>68</v>
      </c>
      <c r="I31">
        <v>11</v>
      </c>
      <c r="J31" s="10">
        <f t="shared" si="0"/>
        <v>6</v>
      </c>
    </row>
    <row r="32" spans="1:10" x14ac:dyDescent="0.2">
      <c r="A32" s="6">
        <v>43003</v>
      </c>
      <c r="B32">
        <v>2007</v>
      </c>
      <c r="C32">
        <v>1024</v>
      </c>
      <c r="D32">
        <v>31</v>
      </c>
      <c r="E32">
        <v>7500</v>
      </c>
      <c r="F32" t="s">
        <v>25</v>
      </c>
      <c r="G32">
        <v>7</v>
      </c>
      <c r="H32" t="s">
        <v>68</v>
      </c>
      <c r="I32">
        <v>12</v>
      </c>
      <c r="J32" s="10">
        <f t="shared" si="0"/>
        <v>7</v>
      </c>
    </row>
    <row r="33" spans="1:10" x14ac:dyDescent="0.2">
      <c r="A33" s="6">
        <v>42979</v>
      </c>
      <c r="B33">
        <v>2008</v>
      </c>
      <c r="C33">
        <v>1024</v>
      </c>
      <c r="D33">
        <v>32</v>
      </c>
      <c r="E33">
        <v>7300</v>
      </c>
      <c r="F33" t="s">
        <v>25</v>
      </c>
      <c r="G33">
        <v>6</v>
      </c>
      <c r="H33" t="s">
        <v>68</v>
      </c>
      <c r="I33">
        <v>11</v>
      </c>
      <c r="J33" s="10">
        <f t="shared" si="0"/>
        <v>6</v>
      </c>
    </row>
    <row r="34" spans="1:10" x14ac:dyDescent="0.2">
      <c r="A34" s="6">
        <v>42944</v>
      </c>
      <c r="B34">
        <v>2007</v>
      </c>
      <c r="C34">
        <v>1024</v>
      </c>
      <c r="D34">
        <v>33</v>
      </c>
      <c r="E34">
        <v>7300</v>
      </c>
      <c r="F34" t="s">
        <v>25</v>
      </c>
      <c r="G34">
        <v>5</v>
      </c>
      <c r="H34" t="s">
        <v>68</v>
      </c>
      <c r="I34">
        <v>12</v>
      </c>
      <c r="J34" s="10">
        <f t="shared" si="0"/>
        <v>5</v>
      </c>
    </row>
    <row r="35" spans="1:10" x14ac:dyDescent="0.2">
      <c r="A35" s="6">
        <v>42908</v>
      </c>
      <c r="B35">
        <v>2007</v>
      </c>
      <c r="C35">
        <v>1024</v>
      </c>
      <c r="D35">
        <v>34</v>
      </c>
      <c r="E35">
        <v>7200</v>
      </c>
      <c r="F35" t="s">
        <v>25</v>
      </c>
      <c r="G35">
        <v>6</v>
      </c>
      <c r="H35" t="s">
        <v>68</v>
      </c>
      <c r="I35">
        <v>12</v>
      </c>
      <c r="J35" s="10">
        <f t="shared" si="0"/>
        <v>6</v>
      </c>
    </row>
    <row r="36" spans="1:10" x14ac:dyDescent="0.2">
      <c r="A36" s="6">
        <v>42891</v>
      </c>
      <c r="B36">
        <v>2007</v>
      </c>
      <c r="C36">
        <v>1024</v>
      </c>
      <c r="D36">
        <v>35</v>
      </c>
      <c r="E36">
        <v>7050</v>
      </c>
      <c r="F36" t="s">
        <v>25</v>
      </c>
      <c r="G36">
        <v>6</v>
      </c>
      <c r="H36" t="s">
        <v>68</v>
      </c>
      <c r="I36">
        <v>12</v>
      </c>
      <c r="J36" s="10">
        <f t="shared" si="0"/>
        <v>6</v>
      </c>
    </row>
    <row r="37" spans="1:10" x14ac:dyDescent="0.2">
      <c r="A37" s="6">
        <v>42795</v>
      </c>
      <c r="B37">
        <v>2008</v>
      </c>
      <c r="C37">
        <v>1024</v>
      </c>
      <c r="D37">
        <v>36</v>
      </c>
      <c r="E37">
        <v>7000</v>
      </c>
      <c r="F37" t="s">
        <v>25</v>
      </c>
      <c r="G37">
        <v>6</v>
      </c>
      <c r="H37" t="s">
        <v>68</v>
      </c>
      <c r="I37">
        <v>11</v>
      </c>
      <c r="J37" s="10">
        <f t="shared" si="0"/>
        <v>6</v>
      </c>
    </row>
    <row r="38" spans="1:10" x14ac:dyDescent="0.2">
      <c r="A38" s="6">
        <v>42744</v>
      </c>
      <c r="B38">
        <v>2007</v>
      </c>
      <c r="C38">
        <v>1024</v>
      </c>
      <c r="D38">
        <v>37</v>
      </c>
      <c r="E38">
        <v>7000</v>
      </c>
      <c r="F38" t="s">
        <v>25</v>
      </c>
      <c r="G38">
        <v>8</v>
      </c>
      <c r="H38" t="s">
        <v>68</v>
      </c>
      <c r="I38">
        <v>12</v>
      </c>
      <c r="J38" s="10">
        <f t="shared" si="0"/>
        <v>8</v>
      </c>
    </row>
    <row r="39" spans="1:10" x14ac:dyDescent="0.2">
      <c r="A39" s="6">
        <v>42724</v>
      </c>
      <c r="B39">
        <v>2007</v>
      </c>
      <c r="C39">
        <v>1024</v>
      </c>
      <c r="D39">
        <v>38</v>
      </c>
      <c r="E39">
        <v>7000</v>
      </c>
      <c r="F39" t="s">
        <v>25</v>
      </c>
      <c r="G39">
        <v>6</v>
      </c>
      <c r="H39" t="s">
        <v>68</v>
      </c>
      <c r="I39">
        <v>12</v>
      </c>
      <c r="J39" s="10">
        <f t="shared" si="0"/>
        <v>6</v>
      </c>
    </row>
    <row r="40" spans="1:10" x14ac:dyDescent="0.2">
      <c r="A40" s="6">
        <v>42705</v>
      </c>
      <c r="B40">
        <v>2007</v>
      </c>
      <c r="C40">
        <v>1024</v>
      </c>
      <c r="D40">
        <v>39</v>
      </c>
      <c r="E40">
        <v>7000</v>
      </c>
      <c r="F40" t="s">
        <v>25</v>
      </c>
      <c r="G40">
        <v>2</v>
      </c>
      <c r="H40" t="s">
        <v>68</v>
      </c>
      <c r="I40">
        <v>12</v>
      </c>
      <c r="J40" s="10">
        <f t="shared" si="0"/>
        <v>2</v>
      </c>
    </row>
    <row r="41" spans="1:10" x14ac:dyDescent="0.2">
      <c r="A41" s="6">
        <v>42668</v>
      </c>
      <c r="B41">
        <v>2007</v>
      </c>
      <c r="C41">
        <v>1024</v>
      </c>
      <c r="D41">
        <v>40</v>
      </c>
      <c r="E41">
        <v>7500</v>
      </c>
      <c r="F41" t="s">
        <v>25</v>
      </c>
      <c r="G41">
        <v>5</v>
      </c>
      <c r="H41" t="s">
        <v>68</v>
      </c>
      <c r="I41">
        <v>12</v>
      </c>
      <c r="J41" s="10">
        <f t="shared" si="0"/>
        <v>5</v>
      </c>
    </row>
    <row r="42" spans="1:10" x14ac:dyDescent="0.2">
      <c r="A42" s="6">
        <v>42650</v>
      </c>
      <c r="B42">
        <v>2008</v>
      </c>
      <c r="C42">
        <v>1024</v>
      </c>
      <c r="D42">
        <v>41</v>
      </c>
      <c r="E42">
        <v>7500</v>
      </c>
      <c r="F42" t="s">
        <v>25</v>
      </c>
      <c r="G42">
        <v>6</v>
      </c>
      <c r="H42" t="s">
        <v>68</v>
      </c>
      <c r="I42">
        <v>11</v>
      </c>
      <c r="J42" s="10">
        <f t="shared" si="0"/>
        <v>6</v>
      </c>
    </row>
    <row r="43" spans="1:10" x14ac:dyDescent="0.2">
      <c r="A43" s="6">
        <v>42650</v>
      </c>
      <c r="B43">
        <v>2008</v>
      </c>
      <c r="C43">
        <v>1024</v>
      </c>
      <c r="D43">
        <v>42</v>
      </c>
      <c r="E43">
        <v>7500</v>
      </c>
      <c r="F43" t="s">
        <v>25</v>
      </c>
      <c r="G43">
        <v>6</v>
      </c>
      <c r="H43" t="s">
        <v>68</v>
      </c>
      <c r="I43">
        <v>11</v>
      </c>
      <c r="J43" s="10">
        <f t="shared" si="0"/>
        <v>6</v>
      </c>
    </row>
    <row r="44" spans="1:10" x14ac:dyDescent="0.2">
      <c r="A44" s="6">
        <v>42608</v>
      </c>
      <c r="B44">
        <v>2007</v>
      </c>
      <c r="C44">
        <v>1024</v>
      </c>
      <c r="D44">
        <v>43</v>
      </c>
      <c r="E44">
        <v>7500</v>
      </c>
      <c r="F44" t="s">
        <v>25</v>
      </c>
      <c r="G44">
        <v>6</v>
      </c>
      <c r="H44" t="s">
        <v>68</v>
      </c>
      <c r="I44">
        <v>12</v>
      </c>
      <c r="J44" s="10">
        <f t="shared" si="0"/>
        <v>6</v>
      </c>
    </row>
    <row r="45" spans="1:10" x14ac:dyDescent="0.2">
      <c r="A45" s="6">
        <v>42580</v>
      </c>
      <c r="B45">
        <v>2008</v>
      </c>
      <c r="C45">
        <v>1024</v>
      </c>
      <c r="D45">
        <v>44</v>
      </c>
      <c r="E45">
        <v>7000</v>
      </c>
      <c r="F45" t="s">
        <v>25</v>
      </c>
      <c r="G45">
        <v>56</v>
      </c>
      <c r="H45" t="s">
        <v>26</v>
      </c>
      <c r="I45">
        <v>11</v>
      </c>
      <c r="J45" s="10">
        <f t="shared" si="0"/>
        <v>2</v>
      </c>
    </row>
    <row r="46" spans="1:10" x14ac:dyDescent="0.2">
      <c r="A46" s="6">
        <v>42488</v>
      </c>
      <c r="B46">
        <v>2007</v>
      </c>
      <c r="C46">
        <v>1024</v>
      </c>
      <c r="D46">
        <v>45</v>
      </c>
      <c r="E46">
        <v>7500</v>
      </c>
      <c r="F46" t="s">
        <v>25</v>
      </c>
      <c r="G46">
        <v>12</v>
      </c>
      <c r="H46" t="s">
        <v>68</v>
      </c>
      <c r="I46">
        <v>12</v>
      </c>
      <c r="J46" s="10">
        <f t="shared" si="0"/>
        <v>12</v>
      </c>
    </row>
    <row r="47" spans="1:10" x14ac:dyDescent="0.2">
      <c r="A47" s="6">
        <v>42446</v>
      </c>
      <c r="B47">
        <v>2007</v>
      </c>
      <c r="C47">
        <v>1024</v>
      </c>
      <c r="D47">
        <v>46</v>
      </c>
      <c r="E47">
        <v>7500</v>
      </c>
      <c r="F47" t="s">
        <v>25</v>
      </c>
      <c r="G47">
        <v>8</v>
      </c>
      <c r="H47" t="s">
        <v>68</v>
      </c>
      <c r="I47">
        <v>12</v>
      </c>
      <c r="J47" s="10">
        <f t="shared" si="0"/>
        <v>8</v>
      </c>
    </row>
    <row r="48" spans="1:10" x14ac:dyDescent="0.2">
      <c r="A48" s="6">
        <v>42432</v>
      </c>
      <c r="B48">
        <v>2008</v>
      </c>
      <c r="C48">
        <v>1024</v>
      </c>
      <c r="D48">
        <v>47</v>
      </c>
      <c r="E48">
        <v>7500</v>
      </c>
      <c r="F48" t="s">
        <v>25</v>
      </c>
      <c r="G48">
        <v>90</v>
      </c>
      <c r="H48" t="s">
        <v>26</v>
      </c>
      <c r="I48">
        <v>11</v>
      </c>
      <c r="J48" s="10">
        <f t="shared" si="0"/>
        <v>3</v>
      </c>
    </row>
    <row r="49" spans="1:10" x14ac:dyDescent="0.2">
      <c r="A49" s="6">
        <v>42423</v>
      </c>
      <c r="B49">
        <v>2007</v>
      </c>
      <c r="C49">
        <v>1024</v>
      </c>
      <c r="D49">
        <v>48</v>
      </c>
      <c r="E49">
        <v>7600</v>
      </c>
      <c r="F49" t="s">
        <v>25</v>
      </c>
      <c r="G49">
        <v>5</v>
      </c>
      <c r="H49" t="s">
        <v>68</v>
      </c>
      <c r="I49">
        <v>12</v>
      </c>
      <c r="J49" s="10">
        <f t="shared" si="0"/>
        <v>5</v>
      </c>
    </row>
    <row r="50" spans="1:10" x14ac:dyDescent="0.2">
      <c r="A50" s="6">
        <v>42408</v>
      </c>
      <c r="B50">
        <v>2008</v>
      </c>
      <c r="C50">
        <v>1024</v>
      </c>
      <c r="D50">
        <v>49</v>
      </c>
      <c r="E50">
        <v>7500</v>
      </c>
      <c r="F50" t="s">
        <v>25</v>
      </c>
      <c r="G50">
        <v>7</v>
      </c>
      <c r="H50" t="s">
        <v>68</v>
      </c>
      <c r="I50">
        <v>11</v>
      </c>
      <c r="J50" s="10">
        <f t="shared" si="0"/>
        <v>7</v>
      </c>
    </row>
    <row r="51" spans="1:10" x14ac:dyDescent="0.2">
      <c r="A51" s="6">
        <v>42398</v>
      </c>
      <c r="B51">
        <v>2007</v>
      </c>
      <c r="C51">
        <v>1024</v>
      </c>
      <c r="D51">
        <v>50</v>
      </c>
      <c r="E51">
        <v>7600</v>
      </c>
      <c r="F51" t="s">
        <v>25</v>
      </c>
      <c r="G51">
        <v>5</v>
      </c>
      <c r="H51" t="s">
        <v>68</v>
      </c>
      <c r="I51">
        <v>12</v>
      </c>
      <c r="J51" s="10">
        <f t="shared" si="0"/>
        <v>5</v>
      </c>
    </row>
    <row r="52" spans="1:10" x14ac:dyDescent="0.2">
      <c r="A52" s="6">
        <v>42383</v>
      </c>
      <c r="B52">
        <v>2007</v>
      </c>
      <c r="C52">
        <v>1024</v>
      </c>
      <c r="D52">
        <v>51</v>
      </c>
      <c r="E52">
        <v>7750</v>
      </c>
      <c r="F52" t="s">
        <v>25</v>
      </c>
      <c r="G52">
        <v>42</v>
      </c>
      <c r="H52" t="s">
        <v>26</v>
      </c>
      <c r="I52">
        <v>12</v>
      </c>
      <c r="J52" s="10">
        <f t="shared" si="0"/>
        <v>1</v>
      </c>
    </row>
    <row r="53" spans="1:10" x14ac:dyDescent="0.2">
      <c r="A53" s="6">
        <v>43592</v>
      </c>
      <c r="B53">
        <v>2009</v>
      </c>
      <c r="C53">
        <v>1025</v>
      </c>
      <c r="D53">
        <v>52</v>
      </c>
      <c r="E53">
        <v>6950</v>
      </c>
      <c r="F53" t="s">
        <v>25</v>
      </c>
      <c r="G53">
        <v>13</v>
      </c>
      <c r="H53" t="s">
        <v>68</v>
      </c>
      <c r="I53">
        <v>10</v>
      </c>
      <c r="J53" s="10">
        <f t="shared" si="0"/>
        <v>13</v>
      </c>
    </row>
    <row r="54" spans="1:10" x14ac:dyDescent="0.2">
      <c r="A54" s="6">
        <v>42830</v>
      </c>
      <c r="B54">
        <v>2008</v>
      </c>
      <c r="C54">
        <v>1028</v>
      </c>
      <c r="D54">
        <v>53</v>
      </c>
      <c r="E54">
        <v>6400</v>
      </c>
      <c r="F54" t="s">
        <v>25</v>
      </c>
      <c r="G54">
        <v>13</v>
      </c>
      <c r="H54" t="s">
        <v>68</v>
      </c>
      <c r="I54">
        <v>11</v>
      </c>
      <c r="J54" s="10">
        <f t="shared" si="0"/>
        <v>13</v>
      </c>
    </row>
    <row r="55" spans="1:10" x14ac:dyDescent="0.2">
      <c r="A55" s="6">
        <v>43374</v>
      </c>
      <c r="B55">
        <v>2007</v>
      </c>
      <c r="C55">
        <v>1032</v>
      </c>
      <c r="D55">
        <v>54</v>
      </c>
      <c r="E55">
        <v>8500</v>
      </c>
      <c r="F55" t="s">
        <v>25</v>
      </c>
      <c r="G55">
        <v>7</v>
      </c>
      <c r="H55" t="s">
        <v>68</v>
      </c>
      <c r="I55">
        <v>12</v>
      </c>
      <c r="J55" s="10">
        <f t="shared" si="0"/>
        <v>7</v>
      </c>
    </row>
    <row r="56" spans="1:10" x14ac:dyDescent="0.2">
      <c r="A56" s="6">
        <v>43266</v>
      </c>
      <c r="B56">
        <v>2007</v>
      </c>
      <c r="C56">
        <v>1032</v>
      </c>
      <c r="D56">
        <v>55</v>
      </c>
      <c r="E56">
        <v>9300</v>
      </c>
      <c r="F56" t="s">
        <v>25</v>
      </c>
      <c r="G56">
        <v>6</v>
      </c>
      <c r="H56" t="s">
        <v>68</v>
      </c>
      <c r="I56">
        <v>12</v>
      </c>
      <c r="J56" s="10">
        <f t="shared" si="0"/>
        <v>6</v>
      </c>
    </row>
    <row r="57" spans="1:10" x14ac:dyDescent="0.2">
      <c r="A57" s="6">
        <v>43214</v>
      </c>
      <c r="B57">
        <v>2007</v>
      </c>
      <c r="C57">
        <v>1032</v>
      </c>
      <c r="D57">
        <v>56</v>
      </c>
      <c r="E57">
        <v>9500</v>
      </c>
      <c r="F57" t="s">
        <v>25</v>
      </c>
      <c r="G57">
        <v>14</v>
      </c>
      <c r="H57" t="s">
        <v>68</v>
      </c>
      <c r="I57">
        <v>12</v>
      </c>
      <c r="J57" s="10">
        <f t="shared" si="0"/>
        <v>14</v>
      </c>
    </row>
    <row r="58" spans="1:10" x14ac:dyDescent="0.2">
      <c r="A58" s="6">
        <v>43172</v>
      </c>
      <c r="B58">
        <v>2007</v>
      </c>
      <c r="C58">
        <v>1032</v>
      </c>
      <c r="D58">
        <v>57</v>
      </c>
      <c r="E58">
        <v>8500</v>
      </c>
      <c r="F58" t="s">
        <v>25</v>
      </c>
      <c r="G58">
        <v>10</v>
      </c>
      <c r="H58" t="s">
        <v>68</v>
      </c>
      <c r="I58">
        <v>12</v>
      </c>
      <c r="J58" s="10">
        <f t="shared" si="0"/>
        <v>10</v>
      </c>
    </row>
    <row r="59" spans="1:10" x14ac:dyDescent="0.2">
      <c r="A59" s="6">
        <v>43164</v>
      </c>
      <c r="B59">
        <v>2007</v>
      </c>
      <c r="C59">
        <v>1032</v>
      </c>
      <c r="D59">
        <v>58</v>
      </c>
      <c r="E59">
        <v>8750</v>
      </c>
      <c r="F59" t="s">
        <v>25</v>
      </c>
      <c r="G59">
        <v>3</v>
      </c>
      <c r="H59" t="s">
        <v>68</v>
      </c>
      <c r="I59">
        <v>12</v>
      </c>
      <c r="J59" s="10">
        <f t="shared" si="0"/>
        <v>3</v>
      </c>
    </row>
    <row r="60" spans="1:10" x14ac:dyDescent="0.2">
      <c r="A60" s="6">
        <v>42887</v>
      </c>
      <c r="B60">
        <v>2007</v>
      </c>
      <c r="C60">
        <v>1032</v>
      </c>
      <c r="D60">
        <v>59</v>
      </c>
      <c r="E60">
        <v>6800</v>
      </c>
      <c r="F60" t="s">
        <v>25</v>
      </c>
      <c r="G60">
        <v>9</v>
      </c>
      <c r="H60" t="s">
        <v>68</v>
      </c>
      <c r="I60">
        <v>12</v>
      </c>
      <c r="J60" s="10">
        <f t="shared" si="0"/>
        <v>9</v>
      </c>
    </row>
    <row r="61" spans="1:10" x14ac:dyDescent="0.2">
      <c r="A61" s="6">
        <v>42682</v>
      </c>
      <c r="B61">
        <v>2007</v>
      </c>
      <c r="C61">
        <v>1032</v>
      </c>
      <c r="D61">
        <v>60</v>
      </c>
      <c r="E61">
        <v>6550</v>
      </c>
      <c r="F61" t="s">
        <v>25</v>
      </c>
      <c r="G61">
        <v>6</v>
      </c>
      <c r="H61" t="s">
        <v>68</v>
      </c>
      <c r="I61">
        <v>12</v>
      </c>
      <c r="J61" s="10">
        <f t="shared" si="0"/>
        <v>6</v>
      </c>
    </row>
    <row r="62" spans="1:10" x14ac:dyDescent="0.2">
      <c r="A62" s="6">
        <v>43501</v>
      </c>
      <c r="B62">
        <v>2010</v>
      </c>
      <c r="C62">
        <v>1036</v>
      </c>
      <c r="D62">
        <v>61</v>
      </c>
      <c r="E62">
        <v>6850</v>
      </c>
      <c r="F62" t="s">
        <v>25</v>
      </c>
      <c r="G62">
        <v>9</v>
      </c>
      <c r="H62" t="s">
        <v>68</v>
      </c>
      <c r="I62">
        <v>9</v>
      </c>
      <c r="J62" s="10">
        <f t="shared" si="0"/>
        <v>9</v>
      </c>
    </row>
    <row r="63" spans="1:10" x14ac:dyDescent="0.2">
      <c r="A63" s="6">
        <v>43479</v>
      </c>
      <c r="B63">
        <v>2009</v>
      </c>
      <c r="C63">
        <v>1036</v>
      </c>
      <c r="D63">
        <v>62</v>
      </c>
      <c r="E63">
        <v>6300</v>
      </c>
      <c r="F63" t="s">
        <v>25</v>
      </c>
      <c r="G63">
        <v>5</v>
      </c>
      <c r="H63" t="s">
        <v>68</v>
      </c>
      <c r="I63">
        <v>10</v>
      </c>
      <c r="J63" s="10">
        <f t="shared" si="0"/>
        <v>5</v>
      </c>
    </row>
    <row r="64" spans="1:10" x14ac:dyDescent="0.2">
      <c r="A64" s="6">
        <v>43469</v>
      </c>
      <c r="B64">
        <v>2010</v>
      </c>
      <c r="C64">
        <v>1036</v>
      </c>
      <c r="D64">
        <v>63</v>
      </c>
      <c r="E64">
        <v>7000</v>
      </c>
      <c r="F64" t="s">
        <v>25</v>
      </c>
      <c r="G64">
        <v>6</v>
      </c>
      <c r="H64" t="s">
        <v>68</v>
      </c>
      <c r="I64">
        <v>9</v>
      </c>
      <c r="J64" s="10">
        <f t="shared" si="0"/>
        <v>6</v>
      </c>
    </row>
    <row r="65" spans="1:10" x14ac:dyDescent="0.2">
      <c r="A65" s="6">
        <v>43391</v>
      </c>
      <c r="B65">
        <v>2010</v>
      </c>
      <c r="C65">
        <v>1036</v>
      </c>
      <c r="D65">
        <v>64</v>
      </c>
      <c r="E65">
        <v>6750</v>
      </c>
      <c r="F65" t="s">
        <v>25</v>
      </c>
      <c r="G65">
        <v>8</v>
      </c>
      <c r="H65" t="s">
        <v>68</v>
      </c>
      <c r="I65">
        <v>9</v>
      </c>
      <c r="J65" s="10">
        <f t="shared" si="0"/>
        <v>8</v>
      </c>
    </row>
    <row r="66" spans="1:10" x14ac:dyDescent="0.2">
      <c r="A66" s="6">
        <v>43374</v>
      </c>
      <c r="B66">
        <v>2010</v>
      </c>
      <c r="C66">
        <v>1036</v>
      </c>
      <c r="D66">
        <v>65</v>
      </c>
      <c r="E66">
        <v>8000</v>
      </c>
      <c r="F66" t="s">
        <v>25</v>
      </c>
      <c r="G66">
        <v>6</v>
      </c>
      <c r="H66" t="s">
        <v>68</v>
      </c>
      <c r="I66">
        <v>9</v>
      </c>
      <c r="J66" s="10">
        <f t="shared" ref="J66:J129" si="1">IF(H66="days",ROUND(G66/30,0),IF(H66="years",G66*12,G66))</f>
        <v>6</v>
      </c>
    </row>
    <row r="67" spans="1:10" x14ac:dyDescent="0.2">
      <c r="A67" s="6">
        <v>43266</v>
      </c>
      <c r="B67">
        <v>2009</v>
      </c>
      <c r="C67">
        <v>1036</v>
      </c>
      <c r="D67">
        <v>66</v>
      </c>
      <c r="E67">
        <v>8000</v>
      </c>
      <c r="F67" t="s">
        <v>25</v>
      </c>
      <c r="G67">
        <v>5</v>
      </c>
      <c r="H67" t="s">
        <v>68</v>
      </c>
      <c r="I67">
        <v>10</v>
      </c>
      <c r="J67" s="10">
        <f t="shared" si="1"/>
        <v>5</v>
      </c>
    </row>
    <row r="68" spans="1:10" x14ac:dyDescent="0.2">
      <c r="A68" s="6">
        <v>43266</v>
      </c>
      <c r="B68">
        <v>2008</v>
      </c>
      <c r="C68">
        <v>1036</v>
      </c>
      <c r="D68">
        <v>67</v>
      </c>
      <c r="E68">
        <v>9500</v>
      </c>
      <c r="F68" t="s">
        <v>25</v>
      </c>
      <c r="G68">
        <v>8</v>
      </c>
      <c r="H68" t="s">
        <v>68</v>
      </c>
      <c r="I68">
        <v>11</v>
      </c>
      <c r="J68" s="10">
        <f t="shared" si="1"/>
        <v>8</v>
      </c>
    </row>
    <row r="69" spans="1:10" x14ac:dyDescent="0.2">
      <c r="A69" s="6">
        <v>43257</v>
      </c>
      <c r="B69">
        <v>2008</v>
      </c>
      <c r="C69">
        <v>1036</v>
      </c>
      <c r="D69">
        <v>68</v>
      </c>
      <c r="E69">
        <v>8000</v>
      </c>
      <c r="F69" t="s">
        <v>25</v>
      </c>
      <c r="G69">
        <v>8</v>
      </c>
      <c r="H69" t="s">
        <v>68</v>
      </c>
      <c r="I69">
        <v>11</v>
      </c>
      <c r="J69" s="10">
        <f t="shared" si="1"/>
        <v>8</v>
      </c>
    </row>
    <row r="70" spans="1:10" x14ac:dyDescent="0.2">
      <c r="A70" s="6">
        <v>43136</v>
      </c>
      <c r="B70">
        <v>2008</v>
      </c>
      <c r="C70">
        <v>1036</v>
      </c>
      <c r="D70">
        <v>69</v>
      </c>
      <c r="E70">
        <v>7500</v>
      </c>
      <c r="F70" t="s">
        <v>25</v>
      </c>
      <c r="G70">
        <v>2</v>
      </c>
      <c r="H70" t="s">
        <v>68</v>
      </c>
      <c r="I70">
        <v>11</v>
      </c>
      <c r="J70" s="10">
        <f t="shared" si="1"/>
        <v>2</v>
      </c>
    </row>
    <row r="71" spans="1:10" x14ac:dyDescent="0.2">
      <c r="A71" s="6">
        <v>43031</v>
      </c>
      <c r="B71">
        <v>2009</v>
      </c>
      <c r="C71">
        <v>1036</v>
      </c>
      <c r="D71">
        <v>70</v>
      </c>
      <c r="E71">
        <v>7000</v>
      </c>
      <c r="F71" t="s">
        <v>25</v>
      </c>
      <c r="G71">
        <v>12</v>
      </c>
      <c r="H71" t="s">
        <v>68</v>
      </c>
      <c r="I71">
        <v>10</v>
      </c>
      <c r="J71" s="10">
        <f t="shared" si="1"/>
        <v>12</v>
      </c>
    </row>
    <row r="72" spans="1:10" x14ac:dyDescent="0.2">
      <c r="A72" s="6">
        <v>42898</v>
      </c>
      <c r="B72">
        <v>2010</v>
      </c>
      <c r="C72">
        <v>1036</v>
      </c>
      <c r="D72">
        <v>71</v>
      </c>
      <c r="E72">
        <v>6800</v>
      </c>
      <c r="F72" t="s">
        <v>25</v>
      </c>
      <c r="G72">
        <v>5</v>
      </c>
      <c r="H72" t="s">
        <v>68</v>
      </c>
      <c r="I72">
        <v>9</v>
      </c>
      <c r="J72" s="10">
        <f t="shared" si="1"/>
        <v>5</v>
      </c>
    </row>
    <row r="73" spans="1:10" x14ac:dyDescent="0.2">
      <c r="A73" s="6">
        <v>42878</v>
      </c>
      <c r="B73">
        <v>2010</v>
      </c>
      <c r="C73">
        <v>1036</v>
      </c>
      <c r="D73">
        <v>72</v>
      </c>
      <c r="E73">
        <v>6800</v>
      </c>
      <c r="F73" t="s">
        <v>25</v>
      </c>
      <c r="G73">
        <v>4</v>
      </c>
      <c r="H73" t="s">
        <v>68</v>
      </c>
      <c r="I73">
        <v>9</v>
      </c>
      <c r="J73" s="10">
        <f t="shared" si="1"/>
        <v>4</v>
      </c>
    </row>
    <row r="74" spans="1:10" x14ac:dyDescent="0.2">
      <c r="A74" s="6">
        <v>42856</v>
      </c>
      <c r="B74">
        <v>2009</v>
      </c>
      <c r="C74">
        <v>1036</v>
      </c>
      <c r="D74">
        <v>73</v>
      </c>
      <c r="E74">
        <v>6500</v>
      </c>
      <c r="F74" t="s">
        <v>25</v>
      </c>
      <c r="G74">
        <v>6</v>
      </c>
      <c r="H74" t="s">
        <v>68</v>
      </c>
      <c r="I74">
        <v>10</v>
      </c>
      <c r="J74" s="10">
        <f t="shared" si="1"/>
        <v>6</v>
      </c>
    </row>
    <row r="75" spans="1:10" x14ac:dyDescent="0.2">
      <c r="A75" s="6">
        <v>42845</v>
      </c>
      <c r="B75">
        <v>2009</v>
      </c>
      <c r="C75">
        <v>1036</v>
      </c>
      <c r="D75">
        <v>74</v>
      </c>
      <c r="E75">
        <v>6750</v>
      </c>
      <c r="F75" t="s">
        <v>25</v>
      </c>
      <c r="G75">
        <v>12</v>
      </c>
      <c r="H75" t="s">
        <v>68</v>
      </c>
      <c r="I75">
        <v>10</v>
      </c>
      <c r="J75" s="10">
        <f t="shared" si="1"/>
        <v>12</v>
      </c>
    </row>
    <row r="76" spans="1:10" x14ac:dyDescent="0.2">
      <c r="A76" s="6">
        <v>42769</v>
      </c>
      <c r="B76">
        <v>2009</v>
      </c>
      <c r="C76">
        <v>1036</v>
      </c>
      <c r="D76">
        <v>75</v>
      </c>
      <c r="E76">
        <v>6750</v>
      </c>
      <c r="F76" t="s">
        <v>25</v>
      </c>
      <c r="G76">
        <v>5</v>
      </c>
      <c r="H76" t="s">
        <v>68</v>
      </c>
      <c r="I76">
        <v>10</v>
      </c>
      <c r="J76" s="10">
        <f t="shared" si="1"/>
        <v>5</v>
      </c>
    </row>
    <row r="77" spans="1:10" x14ac:dyDescent="0.2">
      <c r="A77" s="6">
        <v>42675</v>
      </c>
      <c r="B77">
        <v>2009</v>
      </c>
      <c r="C77">
        <v>1036</v>
      </c>
      <c r="D77">
        <v>76</v>
      </c>
      <c r="E77">
        <v>6400</v>
      </c>
      <c r="F77" t="s">
        <v>25</v>
      </c>
      <c r="G77">
        <v>5</v>
      </c>
      <c r="H77" t="s">
        <v>68</v>
      </c>
      <c r="I77">
        <v>10</v>
      </c>
      <c r="J77" s="10">
        <f t="shared" si="1"/>
        <v>5</v>
      </c>
    </row>
    <row r="78" spans="1:10" x14ac:dyDescent="0.2">
      <c r="A78" s="6">
        <v>42663</v>
      </c>
      <c r="B78">
        <v>2009</v>
      </c>
      <c r="C78">
        <v>1036</v>
      </c>
      <c r="D78">
        <v>77</v>
      </c>
      <c r="E78">
        <v>6400</v>
      </c>
      <c r="F78" t="s">
        <v>25</v>
      </c>
      <c r="G78">
        <v>7</v>
      </c>
      <c r="H78" t="s">
        <v>68</v>
      </c>
      <c r="I78">
        <v>10</v>
      </c>
      <c r="J78" s="10">
        <f t="shared" si="1"/>
        <v>7</v>
      </c>
    </row>
    <row r="79" spans="1:10" x14ac:dyDescent="0.2">
      <c r="A79" s="6">
        <v>42650</v>
      </c>
      <c r="B79">
        <v>2009</v>
      </c>
      <c r="C79">
        <v>1036</v>
      </c>
      <c r="D79">
        <v>78</v>
      </c>
      <c r="E79">
        <v>6200</v>
      </c>
      <c r="F79" t="s">
        <v>25</v>
      </c>
      <c r="G79">
        <v>42</v>
      </c>
      <c r="H79" t="s">
        <v>26</v>
      </c>
      <c r="I79">
        <v>10</v>
      </c>
      <c r="J79" s="10">
        <f t="shared" si="1"/>
        <v>1</v>
      </c>
    </row>
    <row r="80" spans="1:10" x14ac:dyDescent="0.2">
      <c r="A80" s="6">
        <v>42643</v>
      </c>
      <c r="B80">
        <v>2008</v>
      </c>
      <c r="C80">
        <v>1036</v>
      </c>
      <c r="D80">
        <v>79</v>
      </c>
      <c r="E80">
        <v>6250</v>
      </c>
      <c r="F80" t="s">
        <v>25</v>
      </c>
      <c r="G80">
        <v>8</v>
      </c>
      <c r="H80" t="s">
        <v>68</v>
      </c>
      <c r="I80">
        <v>11</v>
      </c>
      <c r="J80" s="10">
        <f t="shared" si="1"/>
        <v>8</v>
      </c>
    </row>
    <row r="81" spans="1:10" x14ac:dyDescent="0.2">
      <c r="A81" s="6">
        <v>42488</v>
      </c>
      <c r="B81">
        <v>2009</v>
      </c>
      <c r="C81">
        <v>1036</v>
      </c>
      <c r="D81">
        <v>80</v>
      </c>
      <c r="E81">
        <v>7900</v>
      </c>
      <c r="F81" t="s">
        <v>25</v>
      </c>
      <c r="G81">
        <v>6</v>
      </c>
      <c r="H81" t="s">
        <v>68</v>
      </c>
      <c r="I81">
        <v>10</v>
      </c>
      <c r="J81" s="10">
        <f t="shared" si="1"/>
        <v>6</v>
      </c>
    </row>
    <row r="82" spans="1:10" x14ac:dyDescent="0.2">
      <c r="A82" s="6">
        <v>42480</v>
      </c>
      <c r="B82">
        <v>2010</v>
      </c>
      <c r="C82">
        <v>1036</v>
      </c>
      <c r="D82">
        <v>81</v>
      </c>
      <c r="E82">
        <v>8600</v>
      </c>
      <c r="F82" t="s">
        <v>25</v>
      </c>
      <c r="G82">
        <v>13</v>
      </c>
      <c r="H82" t="s">
        <v>68</v>
      </c>
      <c r="I82">
        <v>9</v>
      </c>
      <c r="J82" s="10">
        <f t="shared" si="1"/>
        <v>13</v>
      </c>
    </row>
    <row r="83" spans="1:10" x14ac:dyDescent="0.2">
      <c r="A83" s="6">
        <v>42420</v>
      </c>
      <c r="B83">
        <v>2007</v>
      </c>
      <c r="C83">
        <v>1036</v>
      </c>
      <c r="D83">
        <v>82</v>
      </c>
      <c r="E83">
        <v>7600</v>
      </c>
      <c r="F83" t="s">
        <v>25</v>
      </c>
      <c r="G83">
        <v>18</v>
      </c>
      <c r="H83" t="s">
        <v>68</v>
      </c>
      <c r="I83">
        <v>12</v>
      </c>
      <c r="J83" s="10">
        <f t="shared" si="1"/>
        <v>18</v>
      </c>
    </row>
    <row r="84" spans="1:10" x14ac:dyDescent="0.2">
      <c r="A84" s="6">
        <v>42420</v>
      </c>
      <c r="B84">
        <v>2010</v>
      </c>
      <c r="C84">
        <v>1036</v>
      </c>
      <c r="D84">
        <v>83</v>
      </c>
      <c r="E84">
        <v>7600</v>
      </c>
      <c r="F84" t="s">
        <v>25</v>
      </c>
      <c r="G84">
        <v>18</v>
      </c>
      <c r="H84" t="s">
        <v>68</v>
      </c>
      <c r="I84">
        <v>9</v>
      </c>
      <c r="J84" s="10">
        <f t="shared" si="1"/>
        <v>18</v>
      </c>
    </row>
    <row r="85" spans="1:10" x14ac:dyDescent="0.2">
      <c r="A85" s="6">
        <v>43388</v>
      </c>
      <c r="B85">
        <v>2009</v>
      </c>
      <c r="C85">
        <v>1037</v>
      </c>
      <c r="D85">
        <v>84</v>
      </c>
      <c r="E85">
        <v>8650</v>
      </c>
      <c r="F85" t="s">
        <v>25</v>
      </c>
      <c r="G85">
        <v>2</v>
      </c>
      <c r="H85" t="s">
        <v>68</v>
      </c>
      <c r="I85">
        <v>10</v>
      </c>
      <c r="J85" s="10">
        <f t="shared" si="1"/>
        <v>2</v>
      </c>
    </row>
    <row r="86" spans="1:10" x14ac:dyDescent="0.2">
      <c r="A86" s="6">
        <v>43355</v>
      </c>
      <c r="B86">
        <v>2009</v>
      </c>
      <c r="C86">
        <v>1037</v>
      </c>
      <c r="D86">
        <v>85</v>
      </c>
      <c r="E86">
        <v>9750</v>
      </c>
      <c r="F86" t="s">
        <v>25</v>
      </c>
      <c r="G86">
        <v>15</v>
      </c>
      <c r="H86" t="s">
        <v>68</v>
      </c>
      <c r="I86">
        <v>10</v>
      </c>
      <c r="J86" s="10">
        <f t="shared" si="1"/>
        <v>15</v>
      </c>
    </row>
    <row r="87" spans="1:10" x14ac:dyDescent="0.2">
      <c r="A87" s="6">
        <v>43028</v>
      </c>
      <c r="B87">
        <v>2009</v>
      </c>
      <c r="C87">
        <v>1037</v>
      </c>
      <c r="D87">
        <v>86</v>
      </c>
      <c r="E87">
        <v>7300</v>
      </c>
      <c r="F87" t="s">
        <v>25</v>
      </c>
      <c r="G87">
        <v>6</v>
      </c>
      <c r="H87" t="s">
        <v>68</v>
      </c>
      <c r="I87">
        <v>10</v>
      </c>
      <c r="J87" s="10">
        <f t="shared" si="1"/>
        <v>6</v>
      </c>
    </row>
    <row r="88" spans="1:10" x14ac:dyDescent="0.2">
      <c r="A88" s="6">
        <v>42614</v>
      </c>
      <c r="B88">
        <v>2009</v>
      </c>
      <c r="C88">
        <v>1037</v>
      </c>
      <c r="D88">
        <v>87</v>
      </c>
      <c r="E88">
        <v>7950</v>
      </c>
      <c r="F88" t="s">
        <v>25</v>
      </c>
      <c r="G88">
        <v>9</v>
      </c>
      <c r="H88" t="s">
        <v>68</v>
      </c>
      <c r="I88">
        <v>10</v>
      </c>
      <c r="J88" s="10">
        <f t="shared" si="1"/>
        <v>9</v>
      </c>
    </row>
    <row r="89" spans="1:10" x14ac:dyDescent="0.2">
      <c r="A89" s="6">
        <v>42461</v>
      </c>
      <c r="B89">
        <v>2009</v>
      </c>
      <c r="C89">
        <v>1037</v>
      </c>
      <c r="D89">
        <v>88</v>
      </c>
      <c r="E89">
        <v>7500</v>
      </c>
      <c r="F89" t="s">
        <v>25</v>
      </c>
      <c r="G89">
        <v>3</v>
      </c>
      <c r="H89" t="s">
        <v>68</v>
      </c>
      <c r="I89">
        <v>10</v>
      </c>
      <c r="J89" s="10">
        <f t="shared" si="1"/>
        <v>3</v>
      </c>
    </row>
    <row r="90" spans="1:10" x14ac:dyDescent="0.2">
      <c r="A90" s="6">
        <v>43052</v>
      </c>
      <c r="B90">
        <v>2006</v>
      </c>
      <c r="C90">
        <v>1043</v>
      </c>
      <c r="D90">
        <v>89</v>
      </c>
      <c r="E90">
        <v>7450</v>
      </c>
      <c r="F90" t="s">
        <v>25</v>
      </c>
      <c r="G90">
        <v>5</v>
      </c>
      <c r="H90" t="s">
        <v>68</v>
      </c>
      <c r="I90">
        <v>13</v>
      </c>
      <c r="J90" s="10">
        <f t="shared" si="1"/>
        <v>5</v>
      </c>
    </row>
    <row r="91" spans="1:10" x14ac:dyDescent="0.2">
      <c r="A91" s="6">
        <v>42644</v>
      </c>
      <c r="B91">
        <v>2006</v>
      </c>
      <c r="C91">
        <v>1043</v>
      </c>
      <c r="D91">
        <v>90</v>
      </c>
      <c r="E91">
        <v>7500</v>
      </c>
      <c r="F91" t="s">
        <v>25</v>
      </c>
      <c r="G91">
        <v>8</v>
      </c>
      <c r="H91" t="s">
        <v>68</v>
      </c>
      <c r="I91">
        <v>13</v>
      </c>
      <c r="J91" s="10">
        <f t="shared" si="1"/>
        <v>8</v>
      </c>
    </row>
    <row r="92" spans="1:10" x14ac:dyDescent="0.2">
      <c r="A92" s="6">
        <v>42564</v>
      </c>
      <c r="B92">
        <v>2006</v>
      </c>
      <c r="C92">
        <v>1043</v>
      </c>
      <c r="D92">
        <v>91</v>
      </c>
      <c r="E92">
        <v>7500</v>
      </c>
      <c r="F92" t="s">
        <v>25</v>
      </c>
      <c r="G92">
        <v>4</v>
      </c>
      <c r="H92" t="s">
        <v>68</v>
      </c>
      <c r="I92">
        <v>13</v>
      </c>
      <c r="J92" s="10">
        <f t="shared" si="1"/>
        <v>4</v>
      </c>
    </row>
    <row r="93" spans="1:10" x14ac:dyDescent="0.2">
      <c r="A93" s="6">
        <v>43501</v>
      </c>
      <c r="B93">
        <v>2008</v>
      </c>
      <c r="C93">
        <v>1049</v>
      </c>
      <c r="D93">
        <v>92</v>
      </c>
      <c r="E93">
        <v>7850</v>
      </c>
      <c r="F93" t="s">
        <v>25</v>
      </c>
      <c r="G93">
        <v>5</v>
      </c>
      <c r="H93" t="s">
        <v>68</v>
      </c>
      <c r="I93">
        <v>11</v>
      </c>
      <c r="J93" s="10">
        <f t="shared" si="1"/>
        <v>5</v>
      </c>
    </row>
    <row r="94" spans="1:10" x14ac:dyDescent="0.2">
      <c r="A94" s="6">
        <v>43486</v>
      </c>
      <c r="B94">
        <v>2008</v>
      </c>
      <c r="C94">
        <v>1049</v>
      </c>
      <c r="D94">
        <v>93</v>
      </c>
      <c r="E94">
        <v>7800</v>
      </c>
      <c r="F94" t="s">
        <v>25</v>
      </c>
      <c r="G94">
        <v>100</v>
      </c>
      <c r="H94" t="s">
        <v>26</v>
      </c>
      <c r="I94">
        <v>11</v>
      </c>
      <c r="J94" s="10">
        <f t="shared" si="1"/>
        <v>3</v>
      </c>
    </row>
    <row r="95" spans="1:10" x14ac:dyDescent="0.2">
      <c r="A95" s="6">
        <v>43472</v>
      </c>
      <c r="B95">
        <v>2007</v>
      </c>
      <c r="C95">
        <v>1049</v>
      </c>
      <c r="D95">
        <v>94</v>
      </c>
      <c r="E95">
        <v>7750</v>
      </c>
      <c r="F95" t="s">
        <v>25</v>
      </c>
      <c r="G95">
        <v>40</v>
      </c>
      <c r="H95" t="s">
        <v>26</v>
      </c>
      <c r="I95">
        <v>12</v>
      </c>
      <c r="J95" s="10">
        <f t="shared" si="1"/>
        <v>1</v>
      </c>
    </row>
    <row r="96" spans="1:10" x14ac:dyDescent="0.2">
      <c r="A96" s="6">
        <v>43465</v>
      </c>
      <c r="B96">
        <v>2007</v>
      </c>
      <c r="C96">
        <v>1049</v>
      </c>
      <c r="D96">
        <v>95</v>
      </c>
      <c r="E96">
        <v>7900</v>
      </c>
      <c r="F96" t="s">
        <v>25</v>
      </c>
      <c r="G96">
        <v>45</v>
      </c>
      <c r="H96" t="s">
        <v>26</v>
      </c>
      <c r="I96">
        <v>12</v>
      </c>
      <c r="J96" s="10">
        <f t="shared" si="1"/>
        <v>2</v>
      </c>
    </row>
    <row r="97" spans="1:10" x14ac:dyDescent="0.2">
      <c r="A97" s="6">
        <v>43340</v>
      </c>
      <c r="B97">
        <v>2007</v>
      </c>
      <c r="C97">
        <v>1049</v>
      </c>
      <c r="D97">
        <v>96</v>
      </c>
      <c r="E97">
        <v>8500</v>
      </c>
      <c r="F97" t="s">
        <v>25</v>
      </c>
      <c r="G97">
        <v>4</v>
      </c>
      <c r="H97" t="s">
        <v>68</v>
      </c>
      <c r="I97">
        <v>12</v>
      </c>
      <c r="J97" s="10">
        <f t="shared" si="1"/>
        <v>4</v>
      </c>
    </row>
    <row r="98" spans="1:10" x14ac:dyDescent="0.2">
      <c r="A98" s="6">
        <v>43312</v>
      </c>
      <c r="B98">
        <v>2008</v>
      </c>
      <c r="C98">
        <v>1049</v>
      </c>
      <c r="D98">
        <v>97</v>
      </c>
      <c r="E98">
        <v>8800</v>
      </c>
      <c r="F98" t="s">
        <v>25</v>
      </c>
      <c r="G98">
        <v>8</v>
      </c>
      <c r="H98" t="s">
        <v>68</v>
      </c>
      <c r="I98">
        <v>11</v>
      </c>
      <c r="J98" s="10">
        <f t="shared" si="1"/>
        <v>8</v>
      </c>
    </row>
    <row r="99" spans="1:10" x14ac:dyDescent="0.2">
      <c r="A99" s="6">
        <v>43307</v>
      </c>
      <c r="B99">
        <v>2008</v>
      </c>
      <c r="C99">
        <v>1049</v>
      </c>
      <c r="D99">
        <v>98</v>
      </c>
      <c r="E99">
        <v>8800</v>
      </c>
      <c r="F99" t="s">
        <v>25</v>
      </c>
      <c r="G99">
        <v>5</v>
      </c>
      <c r="H99" t="s">
        <v>68</v>
      </c>
      <c r="I99">
        <v>11</v>
      </c>
      <c r="J99" s="10">
        <f t="shared" si="1"/>
        <v>5</v>
      </c>
    </row>
    <row r="100" spans="1:10" x14ac:dyDescent="0.2">
      <c r="A100" s="6">
        <v>43182</v>
      </c>
      <c r="B100">
        <v>2007</v>
      </c>
      <c r="C100">
        <v>1049</v>
      </c>
      <c r="D100">
        <v>99</v>
      </c>
      <c r="E100">
        <v>8650</v>
      </c>
      <c r="F100" t="s">
        <v>25</v>
      </c>
      <c r="G100">
        <v>6</v>
      </c>
      <c r="H100" t="s">
        <v>68</v>
      </c>
      <c r="I100">
        <v>12</v>
      </c>
      <c r="J100" s="10">
        <f t="shared" si="1"/>
        <v>6</v>
      </c>
    </row>
    <row r="101" spans="1:10" x14ac:dyDescent="0.2">
      <c r="A101" s="6">
        <v>43179</v>
      </c>
      <c r="B101">
        <v>2007</v>
      </c>
      <c r="C101">
        <v>1049</v>
      </c>
      <c r="D101">
        <v>100</v>
      </c>
      <c r="E101">
        <v>8550</v>
      </c>
      <c r="F101" t="s">
        <v>25</v>
      </c>
      <c r="G101">
        <v>6</v>
      </c>
      <c r="H101" t="s">
        <v>68</v>
      </c>
      <c r="I101">
        <v>12</v>
      </c>
      <c r="J101" s="10">
        <f t="shared" si="1"/>
        <v>6</v>
      </c>
    </row>
    <row r="102" spans="1:10" x14ac:dyDescent="0.2">
      <c r="A102" s="6">
        <v>43144</v>
      </c>
      <c r="B102">
        <v>2008</v>
      </c>
      <c r="C102">
        <v>1049</v>
      </c>
      <c r="D102">
        <v>101</v>
      </c>
      <c r="E102">
        <v>8000</v>
      </c>
      <c r="F102" t="s">
        <v>25</v>
      </c>
      <c r="G102">
        <v>5</v>
      </c>
      <c r="H102" t="s">
        <v>68</v>
      </c>
      <c r="I102">
        <v>11</v>
      </c>
      <c r="J102" s="10">
        <f t="shared" si="1"/>
        <v>5</v>
      </c>
    </row>
    <row r="103" spans="1:10" x14ac:dyDescent="0.2">
      <c r="A103" s="6">
        <v>43075</v>
      </c>
      <c r="B103">
        <v>2008</v>
      </c>
      <c r="C103">
        <v>1049</v>
      </c>
      <c r="D103">
        <v>102</v>
      </c>
      <c r="E103">
        <v>7500</v>
      </c>
      <c r="F103" t="s">
        <v>25</v>
      </c>
      <c r="G103">
        <v>5</v>
      </c>
      <c r="H103" t="s">
        <v>68</v>
      </c>
      <c r="I103">
        <v>11</v>
      </c>
      <c r="J103" s="10">
        <f t="shared" si="1"/>
        <v>5</v>
      </c>
    </row>
    <row r="104" spans="1:10" x14ac:dyDescent="0.2">
      <c r="A104" s="6">
        <v>43067</v>
      </c>
      <c r="B104">
        <v>2008</v>
      </c>
      <c r="C104">
        <v>1049</v>
      </c>
      <c r="D104">
        <v>103</v>
      </c>
      <c r="E104">
        <v>7500</v>
      </c>
      <c r="F104" t="s">
        <v>25</v>
      </c>
      <c r="G104">
        <v>5</v>
      </c>
      <c r="H104" t="s">
        <v>68</v>
      </c>
      <c r="I104">
        <v>11</v>
      </c>
      <c r="J104" s="10">
        <f t="shared" si="1"/>
        <v>5</v>
      </c>
    </row>
    <row r="105" spans="1:10" x14ac:dyDescent="0.2">
      <c r="A105" s="6">
        <v>43063</v>
      </c>
      <c r="B105">
        <v>2008</v>
      </c>
      <c r="C105">
        <v>1049</v>
      </c>
      <c r="D105">
        <v>104</v>
      </c>
      <c r="E105">
        <v>7500</v>
      </c>
      <c r="F105" t="s">
        <v>25</v>
      </c>
      <c r="G105">
        <v>5</v>
      </c>
      <c r="H105" t="s">
        <v>68</v>
      </c>
      <c r="I105">
        <v>11</v>
      </c>
      <c r="J105" s="10">
        <f t="shared" si="1"/>
        <v>5</v>
      </c>
    </row>
    <row r="106" spans="1:10" x14ac:dyDescent="0.2">
      <c r="A106" s="6">
        <v>42993</v>
      </c>
      <c r="B106">
        <v>2007</v>
      </c>
      <c r="C106">
        <v>1049</v>
      </c>
      <c r="D106">
        <v>105</v>
      </c>
      <c r="E106">
        <v>7500</v>
      </c>
      <c r="F106" t="s">
        <v>25</v>
      </c>
      <c r="G106">
        <v>6</v>
      </c>
      <c r="H106" t="s">
        <v>68</v>
      </c>
      <c r="I106">
        <v>12</v>
      </c>
      <c r="J106" s="10">
        <f t="shared" si="1"/>
        <v>6</v>
      </c>
    </row>
    <row r="107" spans="1:10" x14ac:dyDescent="0.2">
      <c r="A107" s="6">
        <v>42956</v>
      </c>
      <c r="B107">
        <v>2007</v>
      </c>
      <c r="C107">
        <v>1049</v>
      </c>
      <c r="D107">
        <v>106</v>
      </c>
      <c r="E107">
        <v>7300</v>
      </c>
      <c r="F107" t="s">
        <v>25</v>
      </c>
      <c r="G107">
        <v>8</v>
      </c>
      <c r="H107" t="s">
        <v>68</v>
      </c>
      <c r="I107">
        <v>12</v>
      </c>
      <c r="J107" s="10">
        <f t="shared" si="1"/>
        <v>8</v>
      </c>
    </row>
    <row r="108" spans="1:10" x14ac:dyDescent="0.2">
      <c r="A108" s="6">
        <v>42795</v>
      </c>
      <c r="B108">
        <v>2008</v>
      </c>
      <c r="C108">
        <v>1049</v>
      </c>
      <c r="D108">
        <v>107</v>
      </c>
      <c r="E108">
        <v>7400</v>
      </c>
      <c r="F108" t="s">
        <v>25</v>
      </c>
      <c r="G108">
        <v>5</v>
      </c>
      <c r="H108" t="s">
        <v>68</v>
      </c>
      <c r="I108">
        <v>11</v>
      </c>
      <c r="J108" s="10">
        <f t="shared" si="1"/>
        <v>5</v>
      </c>
    </row>
    <row r="109" spans="1:10" x14ac:dyDescent="0.2">
      <c r="A109" s="6">
        <v>42736</v>
      </c>
      <c r="B109">
        <v>2008</v>
      </c>
      <c r="C109">
        <v>1049</v>
      </c>
      <c r="D109">
        <v>108</v>
      </c>
      <c r="E109">
        <v>7000</v>
      </c>
      <c r="F109" t="s">
        <v>25</v>
      </c>
      <c r="G109">
        <v>7</v>
      </c>
      <c r="H109" t="s">
        <v>68</v>
      </c>
      <c r="I109">
        <v>11</v>
      </c>
      <c r="J109" s="10">
        <f t="shared" si="1"/>
        <v>7</v>
      </c>
    </row>
    <row r="110" spans="1:10" x14ac:dyDescent="0.2">
      <c r="A110" s="6">
        <v>42719</v>
      </c>
      <c r="B110">
        <v>2008</v>
      </c>
      <c r="C110">
        <v>1049</v>
      </c>
      <c r="D110">
        <v>109</v>
      </c>
      <c r="E110">
        <v>7000</v>
      </c>
      <c r="F110" t="s">
        <v>25</v>
      </c>
      <c r="G110">
        <v>8</v>
      </c>
      <c r="H110" t="s">
        <v>68</v>
      </c>
      <c r="I110">
        <v>11</v>
      </c>
      <c r="J110" s="10">
        <f t="shared" si="1"/>
        <v>8</v>
      </c>
    </row>
    <row r="111" spans="1:10" x14ac:dyDescent="0.2">
      <c r="A111" s="6">
        <v>42705</v>
      </c>
      <c r="B111">
        <v>2007</v>
      </c>
      <c r="C111">
        <v>1049</v>
      </c>
      <c r="D111">
        <v>110</v>
      </c>
      <c r="E111">
        <v>7000</v>
      </c>
      <c r="F111" t="s">
        <v>25</v>
      </c>
      <c r="G111">
        <v>3</v>
      </c>
      <c r="H111" t="s">
        <v>68</v>
      </c>
      <c r="I111">
        <v>12</v>
      </c>
      <c r="J111" s="10">
        <f t="shared" si="1"/>
        <v>3</v>
      </c>
    </row>
    <row r="112" spans="1:10" x14ac:dyDescent="0.2">
      <c r="A112" s="6">
        <v>42705</v>
      </c>
      <c r="B112">
        <v>2008</v>
      </c>
      <c r="C112">
        <v>1049</v>
      </c>
      <c r="D112">
        <v>111</v>
      </c>
      <c r="E112">
        <v>7000</v>
      </c>
      <c r="F112" t="s">
        <v>25</v>
      </c>
      <c r="G112">
        <v>3</v>
      </c>
      <c r="H112" t="s">
        <v>68</v>
      </c>
      <c r="I112">
        <v>11</v>
      </c>
      <c r="J112" s="10">
        <f t="shared" si="1"/>
        <v>3</v>
      </c>
    </row>
    <row r="113" spans="1:10" x14ac:dyDescent="0.2">
      <c r="A113" s="6">
        <v>42688</v>
      </c>
      <c r="B113">
        <v>2008</v>
      </c>
      <c r="C113">
        <v>1049</v>
      </c>
      <c r="D113">
        <v>112</v>
      </c>
      <c r="E113">
        <v>7400</v>
      </c>
      <c r="F113" t="s">
        <v>25</v>
      </c>
      <c r="G113">
        <v>4</v>
      </c>
      <c r="H113" t="s">
        <v>68</v>
      </c>
      <c r="I113">
        <v>11</v>
      </c>
      <c r="J113" s="10">
        <f t="shared" si="1"/>
        <v>4</v>
      </c>
    </row>
    <row r="114" spans="1:10" x14ac:dyDescent="0.2">
      <c r="A114" s="6">
        <v>42646</v>
      </c>
      <c r="B114">
        <v>2008</v>
      </c>
      <c r="C114">
        <v>1049</v>
      </c>
      <c r="D114">
        <v>113</v>
      </c>
      <c r="E114">
        <v>7500</v>
      </c>
      <c r="F114" t="s">
        <v>25</v>
      </c>
      <c r="G114">
        <v>100</v>
      </c>
      <c r="H114" t="s">
        <v>26</v>
      </c>
      <c r="I114">
        <v>11</v>
      </c>
      <c r="J114" s="10">
        <f t="shared" si="1"/>
        <v>3</v>
      </c>
    </row>
    <row r="115" spans="1:10" x14ac:dyDescent="0.2">
      <c r="A115" s="6">
        <v>42643</v>
      </c>
      <c r="B115">
        <v>2007</v>
      </c>
      <c r="C115">
        <v>1049</v>
      </c>
      <c r="D115">
        <v>114</v>
      </c>
      <c r="E115">
        <v>7450</v>
      </c>
      <c r="F115" t="s">
        <v>25</v>
      </c>
      <c r="G115">
        <v>5</v>
      </c>
      <c r="H115" t="s">
        <v>68</v>
      </c>
      <c r="I115">
        <v>12</v>
      </c>
      <c r="J115" s="10">
        <f t="shared" si="1"/>
        <v>5</v>
      </c>
    </row>
    <row r="116" spans="1:10" x14ac:dyDescent="0.2">
      <c r="A116" s="6">
        <v>42618</v>
      </c>
      <c r="B116">
        <v>2008</v>
      </c>
      <c r="C116">
        <v>1049</v>
      </c>
      <c r="D116">
        <v>115</v>
      </c>
      <c r="E116">
        <v>7500</v>
      </c>
      <c r="F116" t="s">
        <v>25</v>
      </c>
      <c r="G116">
        <v>3</v>
      </c>
      <c r="H116" t="s">
        <v>68</v>
      </c>
      <c r="I116">
        <v>11</v>
      </c>
      <c r="J116" s="10">
        <f t="shared" si="1"/>
        <v>3</v>
      </c>
    </row>
    <row r="117" spans="1:10" x14ac:dyDescent="0.2">
      <c r="A117" s="6">
        <v>42482</v>
      </c>
      <c r="B117">
        <v>2007</v>
      </c>
      <c r="C117">
        <v>1049</v>
      </c>
      <c r="D117">
        <v>116</v>
      </c>
      <c r="E117">
        <v>7500</v>
      </c>
      <c r="F117" t="s">
        <v>25</v>
      </c>
      <c r="G117">
        <v>10</v>
      </c>
      <c r="H117" t="s">
        <v>68</v>
      </c>
      <c r="I117">
        <v>12</v>
      </c>
      <c r="J117" s="10">
        <f t="shared" si="1"/>
        <v>10</v>
      </c>
    </row>
    <row r="118" spans="1:10" x14ac:dyDescent="0.2">
      <c r="A118" s="6">
        <v>42423</v>
      </c>
      <c r="B118">
        <v>2008</v>
      </c>
      <c r="C118">
        <v>1049</v>
      </c>
      <c r="D118">
        <v>117</v>
      </c>
      <c r="E118">
        <v>7600</v>
      </c>
      <c r="F118" t="s">
        <v>25</v>
      </c>
      <c r="G118">
        <v>9</v>
      </c>
      <c r="H118" t="s">
        <v>68</v>
      </c>
      <c r="I118">
        <v>11</v>
      </c>
      <c r="J118" s="10">
        <f t="shared" si="1"/>
        <v>9</v>
      </c>
    </row>
    <row r="119" spans="1:10" x14ac:dyDescent="0.2">
      <c r="A119" s="6">
        <v>43559</v>
      </c>
      <c r="B119">
        <v>2006</v>
      </c>
      <c r="C119">
        <v>1050</v>
      </c>
      <c r="D119">
        <v>118</v>
      </c>
      <c r="E119">
        <v>6750</v>
      </c>
      <c r="F119" t="s">
        <v>25</v>
      </c>
      <c r="G119">
        <v>6</v>
      </c>
      <c r="H119" t="s">
        <v>68</v>
      </c>
      <c r="I119">
        <v>13</v>
      </c>
      <c r="J119" s="10">
        <f t="shared" si="1"/>
        <v>6</v>
      </c>
    </row>
    <row r="120" spans="1:10" x14ac:dyDescent="0.2">
      <c r="A120" s="6">
        <v>43468</v>
      </c>
      <c r="B120">
        <v>2006</v>
      </c>
      <c r="C120">
        <v>1050</v>
      </c>
      <c r="D120">
        <v>119</v>
      </c>
      <c r="E120">
        <v>7000</v>
      </c>
      <c r="F120" t="s">
        <v>25</v>
      </c>
      <c r="G120">
        <v>6</v>
      </c>
      <c r="H120" t="s">
        <v>68</v>
      </c>
      <c r="I120">
        <v>13</v>
      </c>
      <c r="J120" s="10">
        <f t="shared" si="1"/>
        <v>6</v>
      </c>
    </row>
    <row r="121" spans="1:10" x14ac:dyDescent="0.2">
      <c r="A121" s="6">
        <v>43143</v>
      </c>
      <c r="B121">
        <v>2006</v>
      </c>
      <c r="C121">
        <v>1050</v>
      </c>
      <c r="D121">
        <v>120</v>
      </c>
      <c r="E121">
        <v>7200</v>
      </c>
      <c r="F121" t="s">
        <v>25</v>
      </c>
      <c r="G121">
        <v>8</v>
      </c>
      <c r="H121" t="s">
        <v>68</v>
      </c>
      <c r="I121">
        <v>13</v>
      </c>
      <c r="J121" s="10">
        <f t="shared" si="1"/>
        <v>8</v>
      </c>
    </row>
    <row r="122" spans="1:10" x14ac:dyDescent="0.2">
      <c r="A122" s="6">
        <v>43045</v>
      </c>
      <c r="B122">
        <v>2006</v>
      </c>
      <c r="C122">
        <v>1050</v>
      </c>
      <c r="D122">
        <v>121</v>
      </c>
      <c r="E122">
        <v>6500</v>
      </c>
      <c r="F122" t="s">
        <v>25</v>
      </c>
      <c r="G122">
        <v>6</v>
      </c>
      <c r="H122" t="s">
        <v>68</v>
      </c>
      <c r="I122">
        <v>13</v>
      </c>
      <c r="J122" s="10">
        <f t="shared" si="1"/>
        <v>6</v>
      </c>
    </row>
    <row r="123" spans="1:10" x14ac:dyDescent="0.2">
      <c r="A123" s="6">
        <v>42773</v>
      </c>
      <c r="B123">
        <v>2006</v>
      </c>
      <c r="C123">
        <v>1050</v>
      </c>
      <c r="D123">
        <v>122</v>
      </c>
      <c r="E123">
        <v>6500</v>
      </c>
      <c r="F123" t="s">
        <v>25</v>
      </c>
      <c r="G123">
        <v>6</v>
      </c>
      <c r="H123" t="s">
        <v>68</v>
      </c>
      <c r="I123">
        <v>13</v>
      </c>
      <c r="J123" s="10">
        <f t="shared" si="1"/>
        <v>6</v>
      </c>
    </row>
    <row r="124" spans="1:10" x14ac:dyDescent="0.2">
      <c r="A124" s="6">
        <v>42688</v>
      </c>
      <c r="B124">
        <v>2006</v>
      </c>
      <c r="C124">
        <v>1050</v>
      </c>
      <c r="D124">
        <v>123</v>
      </c>
      <c r="E124">
        <v>6250</v>
      </c>
      <c r="F124" t="s">
        <v>25</v>
      </c>
      <c r="G124">
        <v>6</v>
      </c>
      <c r="H124" t="s">
        <v>68</v>
      </c>
      <c r="I124">
        <v>13</v>
      </c>
      <c r="J124" s="10">
        <f t="shared" si="1"/>
        <v>6</v>
      </c>
    </row>
    <row r="125" spans="1:10" x14ac:dyDescent="0.2">
      <c r="A125" s="6">
        <v>43186</v>
      </c>
      <c r="B125">
        <v>2007</v>
      </c>
      <c r="C125">
        <v>1054</v>
      </c>
      <c r="D125">
        <v>124</v>
      </c>
      <c r="E125">
        <v>7600</v>
      </c>
      <c r="F125" t="s">
        <v>25</v>
      </c>
      <c r="G125">
        <v>6</v>
      </c>
      <c r="H125" t="s">
        <v>68</v>
      </c>
      <c r="I125">
        <v>12</v>
      </c>
      <c r="J125" s="10">
        <f t="shared" si="1"/>
        <v>6</v>
      </c>
    </row>
    <row r="126" spans="1:10" x14ac:dyDescent="0.2">
      <c r="A126" s="6">
        <v>43581</v>
      </c>
      <c r="B126">
        <v>2009</v>
      </c>
      <c r="C126">
        <v>1060</v>
      </c>
      <c r="D126">
        <v>125</v>
      </c>
      <c r="E126">
        <v>6750</v>
      </c>
      <c r="F126" t="s">
        <v>25</v>
      </c>
      <c r="G126">
        <v>6</v>
      </c>
      <c r="H126" t="s">
        <v>68</v>
      </c>
      <c r="I126">
        <v>10</v>
      </c>
      <c r="J126" s="10">
        <f t="shared" si="1"/>
        <v>6</v>
      </c>
    </row>
    <row r="127" spans="1:10" x14ac:dyDescent="0.2">
      <c r="A127" s="6">
        <v>43509</v>
      </c>
      <c r="B127">
        <v>2009</v>
      </c>
      <c r="C127">
        <v>1060</v>
      </c>
      <c r="D127">
        <v>126</v>
      </c>
      <c r="E127">
        <v>6600</v>
      </c>
      <c r="F127" t="s">
        <v>25</v>
      </c>
      <c r="G127">
        <v>5</v>
      </c>
      <c r="H127" t="s">
        <v>68</v>
      </c>
      <c r="I127">
        <v>10</v>
      </c>
      <c r="J127" s="10">
        <f t="shared" si="1"/>
        <v>5</v>
      </c>
    </row>
    <row r="128" spans="1:10" x14ac:dyDescent="0.2">
      <c r="A128" s="6">
        <v>43403</v>
      </c>
      <c r="B128">
        <v>2010</v>
      </c>
      <c r="C128">
        <v>1060</v>
      </c>
      <c r="D128">
        <v>127</v>
      </c>
      <c r="E128">
        <v>7350</v>
      </c>
      <c r="F128" t="s">
        <v>25</v>
      </c>
      <c r="G128">
        <v>8</v>
      </c>
      <c r="H128" t="s">
        <v>68</v>
      </c>
      <c r="I128">
        <v>9</v>
      </c>
      <c r="J128" s="10">
        <f t="shared" si="1"/>
        <v>8</v>
      </c>
    </row>
    <row r="129" spans="1:10" x14ac:dyDescent="0.2">
      <c r="A129" s="6">
        <v>43364</v>
      </c>
      <c r="B129">
        <v>2009</v>
      </c>
      <c r="C129">
        <v>1060</v>
      </c>
      <c r="D129">
        <v>128</v>
      </c>
      <c r="E129">
        <v>7650</v>
      </c>
      <c r="F129" t="s">
        <v>25</v>
      </c>
      <c r="G129">
        <v>6</v>
      </c>
      <c r="H129" t="s">
        <v>68</v>
      </c>
      <c r="I129">
        <v>10</v>
      </c>
      <c r="J129" s="10">
        <f t="shared" si="1"/>
        <v>6</v>
      </c>
    </row>
    <row r="130" spans="1:10" x14ac:dyDescent="0.2">
      <c r="A130" s="6">
        <v>43182</v>
      </c>
      <c r="B130">
        <v>2009</v>
      </c>
      <c r="C130">
        <v>1060</v>
      </c>
      <c r="D130">
        <v>129</v>
      </c>
      <c r="E130">
        <v>7500</v>
      </c>
      <c r="F130" t="s">
        <v>25</v>
      </c>
      <c r="G130">
        <v>7</v>
      </c>
      <c r="H130" t="s">
        <v>68</v>
      </c>
      <c r="I130">
        <v>10</v>
      </c>
      <c r="J130" s="10">
        <f t="shared" ref="J130:J193" si="2">IF(H130="days",ROUND(G130/30,0),IF(H130="years",G130*12,G130))</f>
        <v>7</v>
      </c>
    </row>
    <row r="131" spans="1:10" x14ac:dyDescent="0.2">
      <c r="A131" s="6">
        <v>43167</v>
      </c>
      <c r="B131">
        <v>2010</v>
      </c>
      <c r="C131">
        <v>1060</v>
      </c>
      <c r="D131">
        <v>130</v>
      </c>
      <c r="E131">
        <v>7000</v>
      </c>
      <c r="F131" t="s">
        <v>25</v>
      </c>
      <c r="G131">
        <v>7</v>
      </c>
      <c r="H131" t="s">
        <v>68</v>
      </c>
      <c r="I131">
        <v>9</v>
      </c>
      <c r="J131" s="10">
        <f t="shared" si="2"/>
        <v>7</v>
      </c>
    </row>
    <row r="132" spans="1:10" x14ac:dyDescent="0.2">
      <c r="A132" s="6">
        <v>42887</v>
      </c>
      <c r="B132">
        <v>2010</v>
      </c>
      <c r="C132">
        <v>1060</v>
      </c>
      <c r="D132">
        <v>131</v>
      </c>
      <c r="E132">
        <v>6500</v>
      </c>
      <c r="F132" t="s">
        <v>25</v>
      </c>
      <c r="G132">
        <v>9</v>
      </c>
      <c r="H132" t="s">
        <v>68</v>
      </c>
      <c r="I132">
        <v>9</v>
      </c>
      <c r="J132" s="10">
        <f t="shared" si="2"/>
        <v>9</v>
      </c>
    </row>
    <row r="133" spans="1:10" x14ac:dyDescent="0.2">
      <c r="A133" s="6">
        <v>42826</v>
      </c>
      <c r="B133">
        <v>2010</v>
      </c>
      <c r="C133">
        <v>1060</v>
      </c>
      <c r="D133">
        <v>132</v>
      </c>
      <c r="E133">
        <v>6500</v>
      </c>
      <c r="F133" t="s">
        <v>25</v>
      </c>
      <c r="G133">
        <v>6</v>
      </c>
      <c r="H133" t="s">
        <v>68</v>
      </c>
      <c r="I133">
        <v>9</v>
      </c>
      <c r="J133" s="10">
        <f t="shared" si="2"/>
        <v>6</v>
      </c>
    </row>
    <row r="134" spans="1:10" x14ac:dyDescent="0.2">
      <c r="A134" s="6">
        <v>42606</v>
      </c>
      <c r="B134">
        <v>2009</v>
      </c>
      <c r="C134">
        <v>1060</v>
      </c>
      <c r="D134">
        <v>133</v>
      </c>
      <c r="E134">
        <v>6750</v>
      </c>
      <c r="F134" t="s">
        <v>25</v>
      </c>
      <c r="G134">
        <v>5</v>
      </c>
      <c r="H134" t="s">
        <v>68</v>
      </c>
      <c r="I134">
        <v>10</v>
      </c>
      <c r="J134" s="10">
        <f t="shared" si="2"/>
        <v>5</v>
      </c>
    </row>
    <row r="135" spans="1:10" x14ac:dyDescent="0.2">
      <c r="A135" s="6">
        <v>42510</v>
      </c>
      <c r="B135">
        <v>2009</v>
      </c>
      <c r="C135">
        <v>1060</v>
      </c>
      <c r="D135">
        <v>134</v>
      </c>
      <c r="E135">
        <v>6600</v>
      </c>
      <c r="F135" t="s">
        <v>25</v>
      </c>
      <c r="G135">
        <v>3</v>
      </c>
      <c r="H135" t="s">
        <v>68</v>
      </c>
      <c r="I135">
        <v>10</v>
      </c>
      <c r="J135" s="10">
        <f t="shared" si="2"/>
        <v>3</v>
      </c>
    </row>
    <row r="136" spans="1:10" x14ac:dyDescent="0.2">
      <c r="A136" s="6">
        <v>42425</v>
      </c>
      <c r="B136">
        <v>2009</v>
      </c>
      <c r="C136">
        <v>1060</v>
      </c>
      <c r="D136">
        <v>135</v>
      </c>
      <c r="E136">
        <v>7000</v>
      </c>
      <c r="F136" t="s">
        <v>25</v>
      </c>
      <c r="G136">
        <v>8</v>
      </c>
      <c r="H136" t="s">
        <v>68</v>
      </c>
      <c r="I136">
        <v>10</v>
      </c>
      <c r="J136" s="10">
        <f t="shared" si="2"/>
        <v>8</v>
      </c>
    </row>
    <row r="137" spans="1:10" x14ac:dyDescent="0.2">
      <c r="A137" s="6">
        <v>43598</v>
      </c>
      <c r="B137">
        <v>2006</v>
      </c>
      <c r="C137">
        <v>1061</v>
      </c>
      <c r="D137">
        <v>136</v>
      </c>
      <c r="E137">
        <v>7500</v>
      </c>
      <c r="F137" t="s">
        <v>25</v>
      </c>
      <c r="G137">
        <v>6</v>
      </c>
      <c r="H137" t="s">
        <v>68</v>
      </c>
      <c r="I137">
        <v>13</v>
      </c>
      <c r="J137" s="10">
        <f t="shared" si="2"/>
        <v>6</v>
      </c>
    </row>
    <row r="138" spans="1:10" x14ac:dyDescent="0.2">
      <c r="A138" s="6">
        <v>43598</v>
      </c>
      <c r="B138">
        <v>2007</v>
      </c>
      <c r="C138">
        <v>1061</v>
      </c>
      <c r="D138">
        <v>137</v>
      </c>
      <c r="E138">
        <v>7500</v>
      </c>
      <c r="F138" t="s">
        <v>25</v>
      </c>
      <c r="G138">
        <v>5</v>
      </c>
      <c r="H138" t="s">
        <v>68</v>
      </c>
      <c r="I138">
        <v>12</v>
      </c>
      <c r="J138" s="10">
        <f t="shared" si="2"/>
        <v>5</v>
      </c>
    </row>
    <row r="139" spans="1:10" x14ac:dyDescent="0.2">
      <c r="A139" s="6">
        <v>43559</v>
      </c>
      <c r="B139">
        <v>2007</v>
      </c>
      <c r="C139">
        <v>1061</v>
      </c>
      <c r="D139">
        <v>138</v>
      </c>
      <c r="E139">
        <v>7500</v>
      </c>
      <c r="F139" t="s">
        <v>25</v>
      </c>
      <c r="G139">
        <v>8</v>
      </c>
      <c r="H139" t="s">
        <v>68</v>
      </c>
      <c r="I139">
        <v>12</v>
      </c>
      <c r="J139" s="10">
        <f t="shared" si="2"/>
        <v>8</v>
      </c>
    </row>
    <row r="140" spans="1:10" x14ac:dyDescent="0.2">
      <c r="A140" s="6">
        <v>43537</v>
      </c>
      <c r="B140">
        <v>2007</v>
      </c>
      <c r="C140">
        <v>1061</v>
      </c>
      <c r="D140">
        <v>139</v>
      </c>
      <c r="E140">
        <v>7500</v>
      </c>
      <c r="F140" t="s">
        <v>25</v>
      </c>
      <c r="G140">
        <v>2</v>
      </c>
      <c r="H140" t="s">
        <v>68</v>
      </c>
      <c r="I140">
        <v>12</v>
      </c>
      <c r="J140" s="10">
        <f t="shared" si="2"/>
        <v>2</v>
      </c>
    </row>
    <row r="141" spans="1:10" x14ac:dyDescent="0.2">
      <c r="A141" s="6">
        <v>43501</v>
      </c>
      <c r="B141">
        <v>2007</v>
      </c>
      <c r="C141">
        <v>1061</v>
      </c>
      <c r="D141">
        <v>140</v>
      </c>
      <c r="E141">
        <v>7000</v>
      </c>
      <c r="F141" t="s">
        <v>25</v>
      </c>
      <c r="G141">
        <v>9</v>
      </c>
      <c r="H141" t="s">
        <v>68</v>
      </c>
      <c r="I141">
        <v>12</v>
      </c>
      <c r="J141" s="10">
        <f t="shared" si="2"/>
        <v>9</v>
      </c>
    </row>
    <row r="142" spans="1:10" x14ac:dyDescent="0.2">
      <c r="A142" s="6">
        <v>43405</v>
      </c>
      <c r="B142">
        <v>2006</v>
      </c>
      <c r="C142">
        <v>1061</v>
      </c>
      <c r="D142">
        <v>141</v>
      </c>
      <c r="E142">
        <v>8200</v>
      </c>
      <c r="F142" t="s">
        <v>25</v>
      </c>
      <c r="G142">
        <v>11</v>
      </c>
      <c r="H142" t="s">
        <v>68</v>
      </c>
      <c r="I142">
        <v>13</v>
      </c>
      <c r="J142" s="10">
        <f t="shared" si="2"/>
        <v>11</v>
      </c>
    </row>
    <row r="143" spans="1:10" x14ac:dyDescent="0.2">
      <c r="A143" s="6">
        <v>43405</v>
      </c>
      <c r="B143">
        <v>2007</v>
      </c>
      <c r="C143">
        <v>1061</v>
      </c>
      <c r="D143">
        <v>142</v>
      </c>
      <c r="E143">
        <v>8000</v>
      </c>
      <c r="F143" t="s">
        <v>25</v>
      </c>
      <c r="G143">
        <v>4</v>
      </c>
      <c r="H143" t="s">
        <v>68</v>
      </c>
      <c r="I143">
        <v>12</v>
      </c>
      <c r="J143" s="10">
        <f t="shared" si="2"/>
        <v>4</v>
      </c>
    </row>
    <row r="144" spans="1:10" x14ac:dyDescent="0.2">
      <c r="A144" s="6">
        <v>43355</v>
      </c>
      <c r="B144">
        <v>2007</v>
      </c>
      <c r="C144">
        <v>1061</v>
      </c>
      <c r="D144">
        <v>143</v>
      </c>
      <c r="E144">
        <v>8500</v>
      </c>
      <c r="F144" t="s">
        <v>25</v>
      </c>
      <c r="G144">
        <v>3</v>
      </c>
      <c r="H144" t="s">
        <v>68</v>
      </c>
      <c r="I144">
        <v>12</v>
      </c>
      <c r="J144" s="10">
        <f t="shared" si="2"/>
        <v>3</v>
      </c>
    </row>
    <row r="145" spans="1:10" x14ac:dyDescent="0.2">
      <c r="A145" s="6">
        <v>43327</v>
      </c>
      <c r="B145">
        <v>2006</v>
      </c>
      <c r="C145">
        <v>1061</v>
      </c>
      <c r="D145">
        <v>144</v>
      </c>
      <c r="E145">
        <v>8900</v>
      </c>
      <c r="F145" t="s">
        <v>25</v>
      </c>
      <c r="G145">
        <v>9</v>
      </c>
      <c r="H145" t="s">
        <v>68</v>
      </c>
      <c r="I145">
        <v>13</v>
      </c>
      <c r="J145" s="10">
        <f t="shared" si="2"/>
        <v>9</v>
      </c>
    </row>
    <row r="146" spans="1:10" x14ac:dyDescent="0.2">
      <c r="A146" s="6">
        <v>43327</v>
      </c>
      <c r="B146">
        <v>2007</v>
      </c>
      <c r="C146">
        <v>1061</v>
      </c>
      <c r="D146">
        <v>145</v>
      </c>
      <c r="E146">
        <v>7850</v>
      </c>
      <c r="F146" t="s">
        <v>25</v>
      </c>
      <c r="G146">
        <v>9</v>
      </c>
      <c r="H146" t="s">
        <v>68</v>
      </c>
      <c r="I146">
        <v>12</v>
      </c>
      <c r="J146" s="10">
        <f t="shared" si="2"/>
        <v>9</v>
      </c>
    </row>
    <row r="147" spans="1:10" x14ac:dyDescent="0.2">
      <c r="A147" s="6">
        <v>43301</v>
      </c>
      <c r="B147">
        <v>2006</v>
      </c>
      <c r="C147">
        <v>1061</v>
      </c>
      <c r="D147">
        <v>146</v>
      </c>
      <c r="E147">
        <v>8500</v>
      </c>
      <c r="F147" t="s">
        <v>25</v>
      </c>
      <c r="G147">
        <v>4</v>
      </c>
      <c r="H147" t="s">
        <v>68</v>
      </c>
      <c r="I147">
        <v>13</v>
      </c>
      <c r="J147" s="10">
        <f t="shared" si="2"/>
        <v>4</v>
      </c>
    </row>
    <row r="148" spans="1:10" x14ac:dyDescent="0.2">
      <c r="A148" s="6">
        <v>43245</v>
      </c>
      <c r="B148">
        <v>2007</v>
      </c>
      <c r="C148">
        <v>1061</v>
      </c>
      <c r="D148">
        <v>147</v>
      </c>
      <c r="E148">
        <v>9400</v>
      </c>
      <c r="F148" t="s">
        <v>25</v>
      </c>
      <c r="G148">
        <v>4</v>
      </c>
      <c r="H148" t="s">
        <v>68</v>
      </c>
      <c r="I148">
        <v>12</v>
      </c>
      <c r="J148" s="10">
        <f t="shared" si="2"/>
        <v>4</v>
      </c>
    </row>
    <row r="149" spans="1:10" x14ac:dyDescent="0.2">
      <c r="A149" s="6">
        <v>43224</v>
      </c>
      <c r="B149">
        <v>2007</v>
      </c>
      <c r="C149">
        <v>1061</v>
      </c>
      <c r="D149">
        <v>148</v>
      </c>
      <c r="E149">
        <v>9000</v>
      </c>
      <c r="F149" t="s">
        <v>25</v>
      </c>
      <c r="G149">
        <v>6</v>
      </c>
      <c r="H149" t="s">
        <v>68</v>
      </c>
      <c r="I149">
        <v>12</v>
      </c>
      <c r="J149" s="10">
        <f t="shared" si="2"/>
        <v>6</v>
      </c>
    </row>
    <row r="150" spans="1:10" x14ac:dyDescent="0.2">
      <c r="A150" s="6">
        <v>43221</v>
      </c>
      <c r="B150">
        <v>2006</v>
      </c>
      <c r="C150">
        <v>1061</v>
      </c>
      <c r="D150">
        <v>149</v>
      </c>
      <c r="E150">
        <v>9300</v>
      </c>
      <c r="F150" t="s">
        <v>25</v>
      </c>
      <c r="G150">
        <v>6</v>
      </c>
      <c r="H150" t="s">
        <v>68</v>
      </c>
      <c r="I150">
        <v>13</v>
      </c>
      <c r="J150" s="10">
        <f t="shared" si="2"/>
        <v>6</v>
      </c>
    </row>
    <row r="151" spans="1:10" x14ac:dyDescent="0.2">
      <c r="A151" s="6">
        <v>43215</v>
      </c>
      <c r="B151">
        <v>2008</v>
      </c>
      <c r="C151">
        <v>1061</v>
      </c>
      <c r="D151">
        <v>150</v>
      </c>
      <c r="E151">
        <v>10250</v>
      </c>
      <c r="F151" t="s">
        <v>25</v>
      </c>
      <c r="G151">
        <v>12</v>
      </c>
      <c r="H151" t="s">
        <v>68</v>
      </c>
      <c r="I151">
        <v>11</v>
      </c>
      <c r="J151" s="10">
        <f t="shared" si="2"/>
        <v>12</v>
      </c>
    </row>
    <row r="152" spans="1:10" x14ac:dyDescent="0.2">
      <c r="A152" s="6">
        <v>43206</v>
      </c>
      <c r="B152">
        <v>2007</v>
      </c>
      <c r="C152">
        <v>1061</v>
      </c>
      <c r="D152">
        <v>151</v>
      </c>
      <c r="E152">
        <v>8800</v>
      </c>
      <c r="F152" t="s">
        <v>25</v>
      </c>
      <c r="G152">
        <v>7</v>
      </c>
      <c r="H152" t="s">
        <v>68</v>
      </c>
      <c r="I152">
        <v>12</v>
      </c>
      <c r="J152" s="10">
        <f t="shared" si="2"/>
        <v>7</v>
      </c>
    </row>
    <row r="153" spans="1:10" x14ac:dyDescent="0.2">
      <c r="A153" s="6">
        <v>43205</v>
      </c>
      <c r="B153">
        <v>2006</v>
      </c>
      <c r="C153">
        <v>1061</v>
      </c>
      <c r="D153">
        <v>152</v>
      </c>
      <c r="E153">
        <v>9150</v>
      </c>
      <c r="F153" t="s">
        <v>25</v>
      </c>
      <c r="G153">
        <v>2</v>
      </c>
      <c r="H153" t="s">
        <v>68</v>
      </c>
      <c r="I153">
        <v>13</v>
      </c>
      <c r="J153" s="10">
        <f t="shared" si="2"/>
        <v>2</v>
      </c>
    </row>
    <row r="154" spans="1:10" x14ac:dyDescent="0.2">
      <c r="A154" s="6">
        <v>43202</v>
      </c>
      <c r="B154">
        <v>2008</v>
      </c>
      <c r="C154">
        <v>1061</v>
      </c>
      <c r="D154">
        <v>153</v>
      </c>
      <c r="E154">
        <v>10250</v>
      </c>
      <c r="F154" t="s">
        <v>25</v>
      </c>
      <c r="G154">
        <v>12</v>
      </c>
      <c r="H154" t="s">
        <v>68</v>
      </c>
      <c r="I154">
        <v>11</v>
      </c>
      <c r="J154" s="10">
        <f t="shared" si="2"/>
        <v>12</v>
      </c>
    </row>
    <row r="155" spans="1:10" x14ac:dyDescent="0.2">
      <c r="A155" s="6">
        <v>43202</v>
      </c>
      <c r="B155">
        <v>2007</v>
      </c>
      <c r="C155">
        <v>1061</v>
      </c>
      <c r="D155">
        <v>154</v>
      </c>
      <c r="E155">
        <v>8950</v>
      </c>
      <c r="F155" t="s">
        <v>25</v>
      </c>
      <c r="G155">
        <v>7</v>
      </c>
      <c r="H155" t="s">
        <v>68</v>
      </c>
      <c r="I155">
        <v>12</v>
      </c>
      <c r="J155" s="10">
        <f t="shared" si="2"/>
        <v>7</v>
      </c>
    </row>
    <row r="156" spans="1:10" x14ac:dyDescent="0.2">
      <c r="A156" s="6">
        <v>43179</v>
      </c>
      <c r="B156">
        <v>2006</v>
      </c>
      <c r="C156">
        <v>1061</v>
      </c>
      <c r="D156">
        <v>155</v>
      </c>
      <c r="E156">
        <v>8500</v>
      </c>
      <c r="F156" t="s">
        <v>25</v>
      </c>
      <c r="G156">
        <v>5</v>
      </c>
      <c r="H156" t="s">
        <v>68</v>
      </c>
      <c r="I156">
        <v>13</v>
      </c>
      <c r="J156" s="10">
        <f t="shared" si="2"/>
        <v>5</v>
      </c>
    </row>
    <row r="157" spans="1:10" x14ac:dyDescent="0.2">
      <c r="A157" s="6">
        <v>43059</v>
      </c>
      <c r="B157">
        <v>2006</v>
      </c>
      <c r="C157">
        <v>1061</v>
      </c>
      <c r="D157">
        <v>156</v>
      </c>
      <c r="E157">
        <v>7400</v>
      </c>
      <c r="F157" t="s">
        <v>25</v>
      </c>
      <c r="G157">
        <v>5</v>
      </c>
      <c r="H157" t="s">
        <v>68</v>
      </c>
      <c r="I157">
        <v>13</v>
      </c>
      <c r="J157" s="10">
        <f t="shared" si="2"/>
        <v>5</v>
      </c>
    </row>
    <row r="158" spans="1:10" x14ac:dyDescent="0.2">
      <c r="A158" s="6">
        <v>43054</v>
      </c>
      <c r="B158">
        <v>2006</v>
      </c>
      <c r="C158">
        <v>1061</v>
      </c>
      <c r="D158">
        <v>157</v>
      </c>
      <c r="E158">
        <v>7450</v>
      </c>
      <c r="F158" t="s">
        <v>25</v>
      </c>
      <c r="G158">
        <v>120</v>
      </c>
      <c r="H158" t="s">
        <v>26</v>
      </c>
      <c r="I158">
        <v>13</v>
      </c>
      <c r="J158" s="10">
        <f t="shared" si="2"/>
        <v>4</v>
      </c>
    </row>
    <row r="159" spans="1:10" x14ac:dyDescent="0.2">
      <c r="A159" s="6">
        <v>43049</v>
      </c>
      <c r="B159">
        <v>2007</v>
      </c>
      <c r="C159">
        <v>1061</v>
      </c>
      <c r="D159">
        <v>158</v>
      </c>
      <c r="E159">
        <v>8100</v>
      </c>
      <c r="F159" t="s">
        <v>25</v>
      </c>
      <c r="G159">
        <v>5</v>
      </c>
      <c r="H159" t="s">
        <v>68</v>
      </c>
      <c r="I159">
        <v>12</v>
      </c>
      <c r="J159" s="10">
        <f t="shared" si="2"/>
        <v>5</v>
      </c>
    </row>
    <row r="160" spans="1:10" x14ac:dyDescent="0.2">
      <c r="A160" s="6">
        <v>43017</v>
      </c>
      <c r="B160">
        <v>2007</v>
      </c>
      <c r="C160">
        <v>1061</v>
      </c>
      <c r="D160">
        <v>159</v>
      </c>
      <c r="E160">
        <v>6950</v>
      </c>
      <c r="F160" t="s">
        <v>25</v>
      </c>
      <c r="G160">
        <v>5</v>
      </c>
      <c r="H160" t="s">
        <v>68</v>
      </c>
      <c r="I160">
        <v>12</v>
      </c>
      <c r="J160" s="10">
        <f t="shared" si="2"/>
        <v>5</v>
      </c>
    </row>
    <row r="161" spans="1:10" x14ac:dyDescent="0.2">
      <c r="A161" s="6">
        <v>43005</v>
      </c>
      <c r="B161">
        <v>2006</v>
      </c>
      <c r="C161">
        <v>1061</v>
      </c>
      <c r="D161">
        <v>160</v>
      </c>
      <c r="E161">
        <v>6850</v>
      </c>
      <c r="F161" t="s">
        <v>25</v>
      </c>
      <c r="G161">
        <v>3</v>
      </c>
      <c r="H161" t="s">
        <v>68</v>
      </c>
      <c r="I161">
        <v>13</v>
      </c>
      <c r="J161" s="10">
        <f t="shared" si="2"/>
        <v>3</v>
      </c>
    </row>
    <row r="162" spans="1:10" x14ac:dyDescent="0.2">
      <c r="A162" s="6">
        <v>42977</v>
      </c>
      <c r="B162">
        <v>2007</v>
      </c>
      <c r="C162">
        <v>1061</v>
      </c>
      <c r="D162">
        <v>161</v>
      </c>
      <c r="E162">
        <v>7000</v>
      </c>
      <c r="F162" t="s">
        <v>25</v>
      </c>
      <c r="G162">
        <v>8</v>
      </c>
      <c r="H162" t="s">
        <v>68</v>
      </c>
      <c r="I162">
        <v>12</v>
      </c>
      <c r="J162" s="10">
        <f t="shared" si="2"/>
        <v>8</v>
      </c>
    </row>
    <row r="163" spans="1:10" x14ac:dyDescent="0.2">
      <c r="A163" s="6">
        <v>42962</v>
      </c>
      <c r="B163">
        <v>2008</v>
      </c>
      <c r="C163">
        <v>1061</v>
      </c>
      <c r="D163">
        <v>162</v>
      </c>
      <c r="E163">
        <v>6800</v>
      </c>
      <c r="F163" t="s">
        <v>25</v>
      </c>
      <c r="G163">
        <v>8</v>
      </c>
      <c r="H163" t="s">
        <v>68</v>
      </c>
      <c r="I163">
        <v>11</v>
      </c>
      <c r="J163" s="10">
        <f t="shared" si="2"/>
        <v>8</v>
      </c>
    </row>
    <row r="164" spans="1:10" x14ac:dyDescent="0.2">
      <c r="A164" s="6">
        <v>42920</v>
      </c>
      <c r="B164">
        <v>2007</v>
      </c>
      <c r="C164">
        <v>1061</v>
      </c>
      <c r="D164">
        <v>163</v>
      </c>
      <c r="E164">
        <v>6950</v>
      </c>
      <c r="F164" t="s">
        <v>25</v>
      </c>
      <c r="G164">
        <v>1</v>
      </c>
      <c r="H164" t="s">
        <v>68</v>
      </c>
      <c r="I164">
        <v>12</v>
      </c>
      <c r="J164" s="10">
        <f t="shared" si="2"/>
        <v>1</v>
      </c>
    </row>
    <row r="165" spans="1:10" x14ac:dyDescent="0.2">
      <c r="A165" s="6">
        <v>42887</v>
      </c>
      <c r="B165">
        <v>2006</v>
      </c>
      <c r="C165">
        <v>1061</v>
      </c>
      <c r="D165">
        <v>164</v>
      </c>
      <c r="E165">
        <v>7250</v>
      </c>
      <c r="F165" t="s">
        <v>25</v>
      </c>
      <c r="G165">
        <v>4</v>
      </c>
      <c r="H165" t="s">
        <v>68</v>
      </c>
      <c r="I165">
        <v>13</v>
      </c>
      <c r="J165" s="10">
        <f t="shared" si="2"/>
        <v>4</v>
      </c>
    </row>
    <row r="166" spans="1:10" x14ac:dyDescent="0.2">
      <c r="A166" s="6">
        <v>42884</v>
      </c>
      <c r="B166">
        <v>2006</v>
      </c>
      <c r="C166">
        <v>1061</v>
      </c>
      <c r="D166">
        <v>165</v>
      </c>
      <c r="E166">
        <v>7250</v>
      </c>
      <c r="F166" t="s">
        <v>25</v>
      </c>
      <c r="G166">
        <v>4</v>
      </c>
      <c r="H166" t="s">
        <v>68</v>
      </c>
      <c r="I166">
        <v>13</v>
      </c>
      <c r="J166" s="10">
        <f t="shared" si="2"/>
        <v>4</v>
      </c>
    </row>
    <row r="167" spans="1:10" x14ac:dyDescent="0.2">
      <c r="A167" s="6">
        <v>42860</v>
      </c>
      <c r="B167">
        <v>2007</v>
      </c>
      <c r="C167">
        <v>1061</v>
      </c>
      <c r="D167">
        <v>166</v>
      </c>
      <c r="E167">
        <v>7150</v>
      </c>
      <c r="F167" t="s">
        <v>25</v>
      </c>
      <c r="G167">
        <v>6</v>
      </c>
      <c r="H167" t="s">
        <v>68</v>
      </c>
      <c r="I167">
        <v>12</v>
      </c>
      <c r="J167" s="10">
        <f t="shared" si="2"/>
        <v>6</v>
      </c>
    </row>
    <row r="168" spans="1:10" x14ac:dyDescent="0.2">
      <c r="A168" s="6">
        <v>42838</v>
      </c>
      <c r="B168">
        <v>2007</v>
      </c>
      <c r="C168">
        <v>1061</v>
      </c>
      <c r="D168">
        <v>167</v>
      </c>
      <c r="E168">
        <v>7300</v>
      </c>
      <c r="F168" t="s">
        <v>25</v>
      </c>
      <c r="G168">
        <v>6</v>
      </c>
      <c r="H168" t="s">
        <v>68</v>
      </c>
      <c r="I168">
        <v>12</v>
      </c>
      <c r="J168" s="10">
        <f t="shared" si="2"/>
        <v>6</v>
      </c>
    </row>
    <row r="169" spans="1:10" x14ac:dyDescent="0.2">
      <c r="A169" s="6">
        <v>42828</v>
      </c>
      <c r="B169">
        <v>2008</v>
      </c>
      <c r="C169">
        <v>1061</v>
      </c>
      <c r="D169">
        <v>168</v>
      </c>
      <c r="E169">
        <v>6950</v>
      </c>
      <c r="F169" t="s">
        <v>25</v>
      </c>
      <c r="G169">
        <v>5</v>
      </c>
      <c r="H169" t="s">
        <v>68</v>
      </c>
      <c r="I169">
        <v>11</v>
      </c>
      <c r="J169" s="10">
        <f t="shared" si="2"/>
        <v>5</v>
      </c>
    </row>
    <row r="170" spans="1:10" x14ac:dyDescent="0.2">
      <c r="A170" s="6">
        <v>42795</v>
      </c>
      <c r="B170">
        <v>2007</v>
      </c>
      <c r="C170">
        <v>1061</v>
      </c>
      <c r="D170">
        <v>169</v>
      </c>
      <c r="E170">
        <v>7300</v>
      </c>
      <c r="F170" t="s">
        <v>25</v>
      </c>
      <c r="G170">
        <v>3</v>
      </c>
      <c r="H170" t="s">
        <v>68</v>
      </c>
      <c r="I170">
        <v>12</v>
      </c>
      <c r="J170" s="10">
        <f t="shared" si="2"/>
        <v>3</v>
      </c>
    </row>
    <row r="171" spans="1:10" x14ac:dyDescent="0.2">
      <c r="A171" s="6">
        <v>42795</v>
      </c>
      <c r="B171">
        <v>2007</v>
      </c>
      <c r="C171">
        <v>1061</v>
      </c>
      <c r="D171">
        <v>170</v>
      </c>
      <c r="E171">
        <v>7200</v>
      </c>
      <c r="F171" t="s">
        <v>25</v>
      </c>
      <c r="G171">
        <v>12</v>
      </c>
      <c r="H171" t="s">
        <v>68</v>
      </c>
      <c r="I171">
        <v>12</v>
      </c>
      <c r="J171" s="10">
        <f t="shared" si="2"/>
        <v>12</v>
      </c>
    </row>
    <row r="172" spans="1:10" x14ac:dyDescent="0.2">
      <c r="A172" s="6">
        <v>42786</v>
      </c>
      <c r="B172">
        <v>2006</v>
      </c>
      <c r="C172">
        <v>1061</v>
      </c>
      <c r="D172">
        <v>171</v>
      </c>
      <c r="E172">
        <v>7200</v>
      </c>
      <c r="F172" t="s">
        <v>25</v>
      </c>
      <c r="G172">
        <v>6</v>
      </c>
      <c r="H172" t="s">
        <v>68</v>
      </c>
      <c r="I172">
        <v>13</v>
      </c>
      <c r="J172" s="10">
        <f t="shared" si="2"/>
        <v>6</v>
      </c>
    </row>
    <row r="173" spans="1:10" x14ac:dyDescent="0.2">
      <c r="A173" s="6">
        <v>42752</v>
      </c>
      <c r="B173">
        <v>2006</v>
      </c>
      <c r="C173">
        <v>1061</v>
      </c>
      <c r="D173">
        <v>172</v>
      </c>
      <c r="E173">
        <v>6250</v>
      </c>
      <c r="F173" t="s">
        <v>25</v>
      </c>
      <c r="G173">
        <v>3.5</v>
      </c>
      <c r="H173" t="s">
        <v>68</v>
      </c>
      <c r="I173">
        <v>13</v>
      </c>
      <c r="J173" s="10">
        <f t="shared" si="2"/>
        <v>3.5</v>
      </c>
    </row>
    <row r="174" spans="1:10" x14ac:dyDescent="0.2">
      <c r="A174" s="6">
        <v>42747</v>
      </c>
      <c r="B174">
        <v>2007</v>
      </c>
      <c r="C174">
        <v>1061</v>
      </c>
      <c r="D174">
        <v>173</v>
      </c>
      <c r="E174">
        <v>7300</v>
      </c>
      <c r="F174" t="s">
        <v>25</v>
      </c>
      <c r="G174">
        <v>12</v>
      </c>
      <c r="H174" t="s">
        <v>68</v>
      </c>
      <c r="I174">
        <v>12</v>
      </c>
      <c r="J174" s="10">
        <f t="shared" si="2"/>
        <v>12</v>
      </c>
    </row>
    <row r="175" spans="1:10" x14ac:dyDescent="0.2">
      <c r="A175" s="6">
        <v>42657</v>
      </c>
      <c r="B175">
        <v>2007</v>
      </c>
      <c r="C175">
        <v>1061</v>
      </c>
      <c r="D175">
        <v>174</v>
      </c>
      <c r="E175">
        <v>7300</v>
      </c>
      <c r="F175" t="s">
        <v>25</v>
      </c>
      <c r="G175">
        <v>5</v>
      </c>
      <c r="H175" t="s">
        <v>68</v>
      </c>
      <c r="I175">
        <v>12</v>
      </c>
      <c r="J175" s="10">
        <f t="shared" si="2"/>
        <v>5</v>
      </c>
    </row>
    <row r="176" spans="1:10" x14ac:dyDescent="0.2">
      <c r="A176" s="6">
        <v>42633</v>
      </c>
      <c r="B176">
        <v>2006</v>
      </c>
      <c r="C176">
        <v>1061</v>
      </c>
      <c r="D176">
        <v>175</v>
      </c>
      <c r="E176">
        <v>7000</v>
      </c>
      <c r="F176" t="s">
        <v>25</v>
      </c>
      <c r="G176">
        <v>6</v>
      </c>
      <c r="H176" t="s">
        <v>68</v>
      </c>
      <c r="I176">
        <v>13</v>
      </c>
      <c r="J176" s="10">
        <f t="shared" si="2"/>
        <v>6</v>
      </c>
    </row>
    <row r="177" spans="1:10" x14ac:dyDescent="0.2">
      <c r="A177" s="6">
        <v>42559</v>
      </c>
      <c r="B177">
        <v>2007</v>
      </c>
      <c r="C177">
        <v>1061</v>
      </c>
      <c r="D177">
        <v>176</v>
      </c>
      <c r="E177">
        <v>7700</v>
      </c>
      <c r="F177" t="s">
        <v>25</v>
      </c>
      <c r="G177">
        <v>8</v>
      </c>
      <c r="H177" t="s">
        <v>68</v>
      </c>
      <c r="I177">
        <v>12</v>
      </c>
      <c r="J177" s="10">
        <f t="shared" si="2"/>
        <v>8</v>
      </c>
    </row>
    <row r="178" spans="1:10" x14ac:dyDescent="0.2">
      <c r="A178" s="6">
        <v>42520</v>
      </c>
      <c r="B178">
        <v>2008</v>
      </c>
      <c r="C178">
        <v>1061</v>
      </c>
      <c r="D178">
        <v>177</v>
      </c>
      <c r="E178">
        <v>8150</v>
      </c>
      <c r="F178" t="s">
        <v>25</v>
      </c>
      <c r="G178">
        <v>11</v>
      </c>
      <c r="H178" t="s">
        <v>68</v>
      </c>
      <c r="I178">
        <v>11</v>
      </c>
      <c r="J178" s="10">
        <f t="shared" si="2"/>
        <v>11</v>
      </c>
    </row>
    <row r="179" spans="1:10" x14ac:dyDescent="0.2">
      <c r="A179" s="6">
        <v>42515</v>
      </c>
      <c r="B179">
        <v>2007</v>
      </c>
      <c r="C179">
        <v>1061</v>
      </c>
      <c r="D179">
        <v>178</v>
      </c>
      <c r="E179">
        <v>7500</v>
      </c>
      <c r="F179" t="s">
        <v>25</v>
      </c>
      <c r="G179">
        <v>4</v>
      </c>
      <c r="H179" t="s">
        <v>68</v>
      </c>
      <c r="I179">
        <v>12</v>
      </c>
      <c r="J179" s="10">
        <f t="shared" si="2"/>
        <v>4</v>
      </c>
    </row>
    <row r="180" spans="1:10" x14ac:dyDescent="0.2">
      <c r="A180" s="6">
        <v>42500</v>
      </c>
      <c r="B180">
        <v>2006</v>
      </c>
      <c r="C180">
        <v>1061</v>
      </c>
      <c r="D180">
        <v>179</v>
      </c>
      <c r="E180">
        <v>7600</v>
      </c>
      <c r="F180" t="s">
        <v>25</v>
      </c>
      <c r="G180">
        <v>4</v>
      </c>
      <c r="H180" t="s">
        <v>68</v>
      </c>
      <c r="I180">
        <v>13</v>
      </c>
      <c r="J180" s="10">
        <f t="shared" si="2"/>
        <v>4</v>
      </c>
    </row>
    <row r="181" spans="1:10" x14ac:dyDescent="0.2">
      <c r="A181" s="6">
        <v>42494</v>
      </c>
      <c r="B181">
        <v>2006</v>
      </c>
      <c r="C181">
        <v>1061</v>
      </c>
      <c r="D181">
        <v>180</v>
      </c>
      <c r="E181">
        <v>7600</v>
      </c>
      <c r="F181" t="s">
        <v>25</v>
      </c>
      <c r="G181">
        <v>5</v>
      </c>
      <c r="H181" t="s">
        <v>68</v>
      </c>
      <c r="I181">
        <v>13</v>
      </c>
      <c r="J181" s="10">
        <f t="shared" si="2"/>
        <v>5</v>
      </c>
    </row>
    <row r="182" spans="1:10" x14ac:dyDescent="0.2">
      <c r="A182" s="6">
        <v>42480</v>
      </c>
      <c r="B182">
        <v>2006</v>
      </c>
      <c r="C182">
        <v>1061</v>
      </c>
      <c r="D182">
        <v>181</v>
      </c>
      <c r="E182">
        <v>8100</v>
      </c>
      <c r="F182" t="s">
        <v>25</v>
      </c>
      <c r="G182">
        <v>4</v>
      </c>
      <c r="H182" t="s">
        <v>68</v>
      </c>
      <c r="I182">
        <v>13</v>
      </c>
      <c r="J182" s="10">
        <f t="shared" si="2"/>
        <v>4</v>
      </c>
    </row>
    <row r="183" spans="1:10" x14ac:dyDescent="0.2">
      <c r="A183" s="6">
        <v>42478</v>
      </c>
      <c r="B183">
        <v>2007</v>
      </c>
      <c r="C183">
        <v>1061</v>
      </c>
      <c r="D183">
        <v>182</v>
      </c>
      <c r="E183">
        <v>8400</v>
      </c>
      <c r="F183" t="s">
        <v>25</v>
      </c>
      <c r="G183">
        <v>5</v>
      </c>
      <c r="H183" t="s">
        <v>68</v>
      </c>
      <c r="I183">
        <v>12</v>
      </c>
      <c r="J183" s="10">
        <f t="shared" si="2"/>
        <v>5</v>
      </c>
    </row>
    <row r="184" spans="1:10" x14ac:dyDescent="0.2">
      <c r="A184" s="6">
        <v>42459</v>
      </c>
      <c r="B184">
        <v>2007</v>
      </c>
      <c r="C184">
        <v>1061</v>
      </c>
      <c r="D184">
        <v>183</v>
      </c>
      <c r="E184">
        <v>8000</v>
      </c>
      <c r="F184" t="s">
        <v>25</v>
      </c>
      <c r="G184">
        <v>4</v>
      </c>
      <c r="H184" t="s">
        <v>68</v>
      </c>
      <c r="I184">
        <v>12</v>
      </c>
      <c r="J184" s="10">
        <f t="shared" si="2"/>
        <v>4</v>
      </c>
    </row>
    <row r="185" spans="1:10" x14ac:dyDescent="0.2">
      <c r="A185" s="6">
        <v>42459</v>
      </c>
      <c r="B185">
        <v>2007</v>
      </c>
      <c r="C185">
        <v>1061</v>
      </c>
      <c r="D185">
        <v>184</v>
      </c>
      <c r="E185">
        <v>7700</v>
      </c>
      <c r="F185" t="s">
        <v>25</v>
      </c>
      <c r="G185">
        <v>3</v>
      </c>
      <c r="H185" t="s">
        <v>68</v>
      </c>
      <c r="I185">
        <v>12</v>
      </c>
      <c r="J185" s="10">
        <f t="shared" si="2"/>
        <v>3</v>
      </c>
    </row>
    <row r="186" spans="1:10" x14ac:dyDescent="0.2">
      <c r="A186" s="6">
        <v>42459</v>
      </c>
      <c r="B186">
        <v>2006</v>
      </c>
      <c r="C186">
        <v>1061</v>
      </c>
      <c r="D186">
        <v>185</v>
      </c>
      <c r="E186">
        <v>7800</v>
      </c>
      <c r="F186" t="s">
        <v>25</v>
      </c>
      <c r="G186">
        <v>3</v>
      </c>
      <c r="H186" t="s">
        <v>68</v>
      </c>
      <c r="I186">
        <v>13</v>
      </c>
      <c r="J186" s="10">
        <f t="shared" si="2"/>
        <v>3</v>
      </c>
    </row>
    <row r="187" spans="1:10" x14ac:dyDescent="0.2">
      <c r="A187" s="6">
        <v>42446</v>
      </c>
      <c r="B187">
        <v>2008</v>
      </c>
      <c r="C187">
        <v>1061</v>
      </c>
      <c r="D187">
        <v>186</v>
      </c>
      <c r="E187">
        <v>8550</v>
      </c>
      <c r="F187" t="s">
        <v>25</v>
      </c>
      <c r="G187">
        <v>6</v>
      </c>
      <c r="H187" t="s">
        <v>68</v>
      </c>
      <c r="I187">
        <v>11</v>
      </c>
      <c r="J187" s="10">
        <f t="shared" si="2"/>
        <v>6</v>
      </c>
    </row>
    <row r="188" spans="1:10" x14ac:dyDescent="0.2">
      <c r="A188" s="6">
        <v>42420</v>
      </c>
      <c r="B188">
        <v>2006</v>
      </c>
      <c r="C188">
        <v>1061</v>
      </c>
      <c r="D188">
        <v>187</v>
      </c>
      <c r="E188">
        <v>7200</v>
      </c>
      <c r="F188" t="s">
        <v>25</v>
      </c>
      <c r="G188">
        <v>6</v>
      </c>
      <c r="H188" t="s">
        <v>68</v>
      </c>
      <c r="I188">
        <v>13</v>
      </c>
      <c r="J188" s="10">
        <f t="shared" si="2"/>
        <v>6</v>
      </c>
    </row>
    <row r="189" spans="1:10" x14ac:dyDescent="0.2">
      <c r="A189" s="6">
        <v>42415</v>
      </c>
      <c r="B189">
        <v>2007</v>
      </c>
      <c r="C189">
        <v>1061</v>
      </c>
      <c r="D189">
        <v>188</v>
      </c>
      <c r="E189">
        <v>8100</v>
      </c>
      <c r="F189" t="s">
        <v>25</v>
      </c>
      <c r="G189">
        <v>7</v>
      </c>
      <c r="H189" t="s">
        <v>68</v>
      </c>
      <c r="I189">
        <v>12</v>
      </c>
      <c r="J189" s="10">
        <f t="shared" si="2"/>
        <v>7</v>
      </c>
    </row>
    <row r="190" spans="1:10" x14ac:dyDescent="0.2">
      <c r="A190" s="6">
        <v>43367</v>
      </c>
      <c r="B190">
        <v>2006</v>
      </c>
      <c r="C190">
        <v>1080</v>
      </c>
      <c r="D190">
        <v>189</v>
      </c>
      <c r="E190">
        <v>6750</v>
      </c>
      <c r="F190" t="s">
        <v>25</v>
      </c>
      <c r="G190">
        <v>10</v>
      </c>
      <c r="H190" t="s">
        <v>68</v>
      </c>
      <c r="I190">
        <v>13</v>
      </c>
      <c r="J190" s="10">
        <f t="shared" si="2"/>
        <v>10</v>
      </c>
    </row>
    <row r="191" spans="1:10" x14ac:dyDescent="0.2">
      <c r="A191" s="6">
        <v>43196</v>
      </c>
      <c r="B191">
        <v>2006</v>
      </c>
      <c r="C191">
        <v>1080</v>
      </c>
      <c r="D191">
        <v>190</v>
      </c>
      <c r="E191">
        <v>8300</v>
      </c>
      <c r="F191" t="s">
        <v>25</v>
      </c>
      <c r="G191">
        <v>6</v>
      </c>
      <c r="H191" t="s">
        <v>68</v>
      </c>
      <c r="I191">
        <v>13</v>
      </c>
      <c r="J191" s="10">
        <f t="shared" si="2"/>
        <v>6</v>
      </c>
    </row>
    <row r="192" spans="1:10" x14ac:dyDescent="0.2">
      <c r="A192" s="6">
        <v>42984</v>
      </c>
      <c r="B192">
        <v>2006</v>
      </c>
      <c r="C192">
        <v>1080</v>
      </c>
      <c r="D192">
        <v>191</v>
      </c>
      <c r="E192">
        <v>6250</v>
      </c>
      <c r="F192" t="s">
        <v>25</v>
      </c>
      <c r="G192">
        <v>6</v>
      </c>
      <c r="H192" t="s">
        <v>68</v>
      </c>
      <c r="I192">
        <v>13</v>
      </c>
      <c r="J192" s="10">
        <f t="shared" si="2"/>
        <v>6</v>
      </c>
    </row>
    <row r="193" spans="1:10" x14ac:dyDescent="0.2">
      <c r="A193" s="6">
        <v>42787</v>
      </c>
      <c r="B193">
        <v>2006</v>
      </c>
      <c r="C193">
        <v>1080</v>
      </c>
      <c r="D193">
        <v>192</v>
      </c>
      <c r="E193">
        <v>6000</v>
      </c>
      <c r="F193" t="s">
        <v>25</v>
      </c>
      <c r="G193">
        <v>7</v>
      </c>
      <c r="H193" t="s">
        <v>68</v>
      </c>
      <c r="I193">
        <v>13</v>
      </c>
      <c r="J193" s="10">
        <f t="shared" si="2"/>
        <v>7</v>
      </c>
    </row>
    <row r="194" spans="1:10" x14ac:dyDescent="0.2">
      <c r="A194" s="6">
        <v>42587</v>
      </c>
      <c r="B194">
        <v>2006</v>
      </c>
      <c r="C194">
        <v>1080</v>
      </c>
      <c r="D194">
        <v>193</v>
      </c>
      <c r="E194">
        <v>7400</v>
      </c>
      <c r="F194" t="s">
        <v>25</v>
      </c>
      <c r="G194">
        <v>7</v>
      </c>
      <c r="H194" t="s">
        <v>68</v>
      </c>
      <c r="I194">
        <v>13</v>
      </c>
      <c r="J194" s="10">
        <f t="shared" ref="J194:J257" si="3">IF(H194="days",ROUND(G194/30,0),IF(H194="years",G194*12,G194))</f>
        <v>7</v>
      </c>
    </row>
    <row r="195" spans="1:10" x14ac:dyDescent="0.2">
      <c r="A195" s="6">
        <v>42411</v>
      </c>
      <c r="B195">
        <v>2006</v>
      </c>
      <c r="C195">
        <v>1080</v>
      </c>
      <c r="D195">
        <v>194</v>
      </c>
      <c r="E195">
        <v>6950</v>
      </c>
      <c r="F195" t="s">
        <v>25</v>
      </c>
      <c r="G195">
        <v>9</v>
      </c>
      <c r="H195" t="s">
        <v>68</v>
      </c>
      <c r="I195">
        <v>13</v>
      </c>
      <c r="J195" s="10">
        <f t="shared" si="3"/>
        <v>9</v>
      </c>
    </row>
    <row r="196" spans="1:10" x14ac:dyDescent="0.2">
      <c r="A196" s="6">
        <v>43327</v>
      </c>
      <c r="B196">
        <v>2010</v>
      </c>
      <c r="C196">
        <v>1085</v>
      </c>
      <c r="D196">
        <v>195</v>
      </c>
      <c r="E196">
        <v>8100</v>
      </c>
      <c r="F196" t="s">
        <v>25</v>
      </c>
      <c r="G196">
        <v>8</v>
      </c>
      <c r="H196" t="s">
        <v>68</v>
      </c>
      <c r="I196">
        <v>9</v>
      </c>
      <c r="J196" s="10">
        <f t="shared" si="3"/>
        <v>8</v>
      </c>
    </row>
    <row r="197" spans="1:10" x14ac:dyDescent="0.2">
      <c r="A197" s="6">
        <v>42905</v>
      </c>
      <c r="B197">
        <v>2010</v>
      </c>
      <c r="C197">
        <v>1085</v>
      </c>
      <c r="D197">
        <v>196</v>
      </c>
      <c r="E197">
        <v>7800</v>
      </c>
      <c r="F197" t="s">
        <v>25</v>
      </c>
      <c r="G197">
        <v>30</v>
      </c>
      <c r="H197" t="s">
        <v>26</v>
      </c>
      <c r="I197">
        <v>9</v>
      </c>
      <c r="J197" s="10">
        <f t="shared" si="3"/>
        <v>1</v>
      </c>
    </row>
    <row r="198" spans="1:10" x14ac:dyDescent="0.2">
      <c r="A198" s="6">
        <v>42472</v>
      </c>
      <c r="B198">
        <v>2010</v>
      </c>
      <c r="C198">
        <v>1085</v>
      </c>
      <c r="D198">
        <v>197</v>
      </c>
      <c r="E198">
        <v>7900</v>
      </c>
      <c r="F198" t="s">
        <v>25</v>
      </c>
      <c r="G198">
        <v>12</v>
      </c>
      <c r="H198" t="s">
        <v>68</v>
      </c>
      <c r="I198">
        <v>9</v>
      </c>
      <c r="J198" s="10">
        <f t="shared" si="3"/>
        <v>12</v>
      </c>
    </row>
    <row r="199" spans="1:10" x14ac:dyDescent="0.2">
      <c r="A199" s="6">
        <v>43621</v>
      </c>
      <c r="B199">
        <v>2007</v>
      </c>
      <c r="C199">
        <v>1098</v>
      </c>
      <c r="D199">
        <v>198</v>
      </c>
      <c r="E199">
        <v>6200</v>
      </c>
      <c r="F199" t="s">
        <v>25</v>
      </c>
      <c r="G199">
        <v>4</v>
      </c>
      <c r="H199" t="s">
        <v>68</v>
      </c>
      <c r="I199">
        <v>12</v>
      </c>
      <c r="J199" s="10">
        <f t="shared" si="3"/>
        <v>4</v>
      </c>
    </row>
    <row r="200" spans="1:10" x14ac:dyDescent="0.2">
      <c r="A200" s="6">
        <v>43361</v>
      </c>
      <c r="B200">
        <v>2007</v>
      </c>
      <c r="C200">
        <v>1098</v>
      </c>
      <c r="D200">
        <v>199</v>
      </c>
      <c r="E200">
        <v>6250</v>
      </c>
      <c r="F200" t="s">
        <v>25</v>
      </c>
      <c r="G200">
        <v>13</v>
      </c>
      <c r="H200" t="s">
        <v>68</v>
      </c>
      <c r="I200">
        <v>12</v>
      </c>
      <c r="J200" s="10">
        <f t="shared" si="3"/>
        <v>13</v>
      </c>
    </row>
    <row r="201" spans="1:10" x14ac:dyDescent="0.2">
      <c r="A201" s="6">
        <v>42972</v>
      </c>
      <c r="B201">
        <v>2007</v>
      </c>
      <c r="C201">
        <v>1098</v>
      </c>
      <c r="D201">
        <v>200</v>
      </c>
      <c r="E201">
        <v>6150</v>
      </c>
      <c r="F201" t="s">
        <v>25</v>
      </c>
      <c r="G201">
        <v>12</v>
      </c>
      <c r="H201" t="s">
        <v>68</v>
      </c>
      <c r="I201">
        <v>12</v>
      </c>
      <c r="J201" s="10">
        <f t="shared" si="3"/>
        <v>12</v>
      </c>
    </row>
    <row r="202" spans="1:10" x14ac:dyDescent="0.2">
      <c r="A202" s="6">
        <v>43609</v>
      </c>
      <c r="B202">
        <v>2007</v>
      </c>
      <c r="C202">
        <v>1100</v>
      </c>
      <c r="D202">
        <v>201</v>
      </c>
      <c r="E202">
        <v>7100</v>
      </c>
      <c r="F202" t="s">
        <v>25</v>
      </c>
      <c r="G202">
        <v>6</v>
      </c>
      <c r="H202" t="s">
        <v>68</v>
      </c>
      <c r="I202">
        <v>12</v>
      </c>
      <c r="J202" s="10">
        <f t="shared" si="3"/>
        <v>6</v>
      </c>
    </row>
    <row r="203" spans="1:10" x14ac:dyDescent="0.2">
      <c r="A203" s="6">
        <v>43579</v>
      </c>
      <c r="B203">
        <v>2007</v>
      </c>
      <c r="C203">
        <v>1100</v>
      </c>
      <c r="D203">
        <v>202</v>
      </c>
      <c r="E203">
        <v>7000</v>
      </c>
      <c r="F203" t="s">
        <v>25</v>
      </c>
      <c r="G203">
        <v>12</v>
      </c>
      <c r="H203" t="s">
        <v>68</v>
      </c>
      <c r="I203">
        <v>12</v>
      </c>
      <c r="J203" s="10">
        <f t="shared" si="3"/>
        <v>12</v>
      </c>
    </row>
    <row r="204" spans="1:10" x14ac:dyDescent="0.2">
      <c r="A204" s="6">
        <v>43494</v>
      </c>
      <c r="B204">
        <v>2008</v>
      </c>
      <c r="C204">
        <v>1100</v>
      </c>
      <c r="D204">
        <v>203</v>
      </c>
      <c r="E204">
        <v>6300</v>
      </c>
      <c r="F204" t="s">
        <v>25</v>
      </c>
      <c r="G204">
        <v>12</v>
      </c>
      <c r="H204" t="s">
        <v>68</v>
      </c>
      <c r="I204">
        <v>11</v>
      </c>
      <c r="J204" s="10">
        <f t="shared" si="3"/>
        <v>12</v>
      </c>
    </row>
    <row r="205" spans="1:10" x14ac:dyDescent="0.2">
      <c r="A205" s="6">
        <v>43374</v>
      </c>
      <c r="B205">
        <v>2007</v>
      </c>
      <c r="C205">
        <v>1100</v>
      </c>
      <c r="D205">
        <v>204</v>
      </c>
      <c r="E205">
        <v>6600</v>
      </c>
      <c r="F205" t="s">
        <v>25</v>
      </c>
      <c r="G205">
        <v>7</v>
      </c>
      <c r="H205" t="s">
        <v>68</v>
      </c>
      <c r="I205">
        <v>12</v>
      </c>
      <c r="J205" s="10">
        <f t="shared" si="3"/>
        <v>7</v>
      </c>
    </row>
    <row r="206" spans="1:10" x14ac:dyDescent="0.2">
      <c r="A206" s="6">
        <v>43290</v>
      </c>
      <c r="B206">
        <v>2008</v>
      </c>
      <c r="C206">
        <v>1100</v>
      </c>
      <c r="D206">
        <v>205</v>
      </c>
      <c r="E206">
        <v>7250</v>
      </c>
      <c r="F206" t="s">
        <v>25</v>
      </c>
      <c r="G206">
        <v>8</v>
      </c>
      <c r="H206" t="s">
        <v>68</v>
      </c>
      <c r="I206">
        <v>11</v>
      </c>
      <c r="J206" s="10">
        <f t="shared" si="3"/>
        <v>8</v>
      </c>
    </row>
    <row r="207" spans="1:10" x14ac:dyDescent="0.2">
      <c r="A207" s="6">
        <v>43122</v>
      </c>
      <c r="B207">
        <v>2008</v>
      </c>
      <c r="C207">
        <v>1100</v>
      </c>
      <c r="D207">
        <v>206</v>
      </c>
      <c r="E207">
        <v>7200</v>
      </c>
      <c r="F207" t="s">
        <v>25</v>
      </c>
      <c r="G207">
        <v>42</v>
      </c>
      <c r="H207" t="s">
        <v>26</v>
      </c>
      <c r="I207">
        <v>11</v>
      </c>
      <c r="J207" s="10">
        <f t="shared" si="3"/>
        <v>1</v>
      </c>
    </row>
    <row r="208" spans="1:10" x14ac:dyDescent="0.2">
      <c r="A208" s="6">
        <v>43070</v>
      </c>
      <c r="B208">
        <v>2007</v>
      </c>
      <c r="C208">
        <v>1100</v>
      </c>
      <c r="D208">
        <v>207</v>
      </c>
      <c r="E208">
        <v>7500</v>
      </c>
      <c r="F208" t="s">
        <v>25</v>
      </c>
      <c r="G208">
        <v>12</v>
      </c>
      <c r="H208" t="s">
        <v>68</v>
      </c>
      <c r="I208">
        <v>12</v>
      </c>
      <c r="J208" s="10">
        <f t="shared" si="3"/>
        <v>12</v>
      </c>
    </row>
    <row r="209" spans="1:10" x14ac:dyDescent="0.2">
      <c r="A209" s="6">
        <v>43021</v>
      </c>
      <c r="B209">
        <v>2007</v>
      </c>
      <c r="C209">
        <v>1100</v>
      </c>
      <c r="D209">
        <v>208</v>
      </c>
      <c r="E209">
        <v>6600</v>
      </c>
      <c r="F209" t="s">
        <v>25</v>
      </c>
      <c r="G209">
        <v>12</v>
      </c>
      <c r="H209" t="s">
        <v>68</v>
      </c>
      <c r="I209">
        <v>12</v>
      </c>
      <c r="J209" s="10">
        <f t="shared" si="3"/>
        <v>12</v>
      </c>
    </row>
    <row r="210" spans="1:10" x14ac:dyDescent="0.2">
      <c r="A210" s="6">
        <v>42826</v>
      </c>
      <c r="B210">
        <v>2008</v>
      </c>
      <c r="C210">
        <v>1100</v>
      </c>
      <c r="D210">
        <v>209</v>
      </c>
      <c r="E210">
        <v>5900</v>
      </c>
      <c r="F210" t="s">
        <v>25</v>
      </c>
      <c r="G210">
        <v>7</v>
      </c>
      <c r="H210" t="s">
        <v>68</v>
      </c>
      <c r="I210">
        <v>11</v>
      </c>
      <c r="J210" s="10">
        <f t="shared" si="3"/>
        <v>7</v>
      </c>
    </row>
    <row r="211" spans="1:10" x14ac:dyDescent="0.2">
      <c r="A211" s="6">
        <v>42779</v>
      </c>
      <c r="B211">
        <v>2008</v>
      </c>
      <c r="C211">
        <v>1100</v>
      </c>
      <c r="D211">
        <v>210</v>
      </c>
      <c r="E211">
        <v>7000</v>
      </c>
      <c r="F211" t="s">
        <v>25</v>
      </c>
      <c r="G211">
        <v>30</v>
      </c>
      <c r="H211" t="s">
        <v>26</v>
      </c>
      <c r="I211">
        <v>11</v>
      </c>
      <c r="J211" s="10">
        <f t="shared" si="3"/>
        <v>1</v>
      </c>
    </row>
    <row r="212" spans="1:10" x14ac:dyDescent="0.2">
      <c r="A212" s="6">
        <v>42643</v>
      </c>
      <c r="B212">
        <v>2008</v>
      </c>
      <c r="C212">
        <v>1100</v>
      </c>
      <c r="D212">
        <v>211</v>
      </c>
      <c r="E212">
        <v>6850</v>
      </c>
      <c r="F212" t="s">
        <v>25</v>
      </c>
      <c r="G212">
        <v>6</v>
      </c>
      <c r="H212" t="s">
        <v>68</v>
      </c>
      <c r="I212">
        <v>11</v>
      </c>
      <c r="J212" s="10">
        <f t="shared" si="3"/>
        <v>6</v>
      </c>
    </row>
    <row r="213" spans="1:10" x14ac:dyDescent="0.2">
      <c r="A213" s="6">
        <v>42607</v>
      </c>
      <c r="B213">
        <v>2008</v>
      </c>
      <c r="C213">
        <v>1100</v>
      </c>
      <c r="D213">
        <v>212</v>
      </c>
      <c r="E213">
        <v>7600</v>
      </c>
      <c r="F213" t="s">
        <v>25</v>
      </c>
      <c r="G213">
        <v>6</v>
      </c>
      <c r="H213" t="s">
        <v>68</v>
      </c>
      <c r="I213">
        <v>11</v>
      </c>
      <c r="J213" s="10">
        <f t="shared" si="3"/>
        <v>6</v>
      </c>
    </row>
    <row r="214" spans="1:10" x14ac:dyDescent="0.2">
      <c r="A214" s="6">
        <v>42425</v>
      </c>
      <c r="B214">
        <v>2008</v>
      </c>
      <c r="C214">
        <v>1100</v>
      </c>
      <c r="D214">
        <v>213</v>
      </c>
      <c r="E214">
        <v>7700</v>
      </c>
      <c r="F214" t="s">
        <v>25</v>
      </c>
      <c r="G214">
        <v>6</v>
      </c>
      <c r="H214" t="s">
        <v>68</v>
      </c>
      <c r="I214">
        <v>11</v>
      </c>
      <c r="J214" s="10">
        <f t="shared" si="3"/>
        <v>6</v>
      </c>
    </row>
    <row r="215" spans="1:10" x14ac:dyDescent="0.2">
      <c r="A215" s="6">
        <v>43507</v>
      </c>
      <c r="B215">
        <v>2008</v>
      </c>
      <c r="C215">
        <v>1102</v>
      </c>
      <c r="D215">
        <v>214</v>
      </c>
      <c r="E215">
        <v>6500</v>
      </c>
      <c r="F215" t="s">
        <v>25</v>
      </c>
      <c r="G215">
        <v>6</v>
      </c>
      <c r="H215" t="s">
        <v>68</v>
      </c>
      <c r="I215">
        <v>11</v>
      </c>
      <c r="J215" s="10">
        <f t="shared" si="3"/>
        <v>6</v>
      </c>
    </row>
    <row r="216" spans="1:10" x14ac:dyDescent="0.2">
      <c r="A216" s="6">
        <v>43214</v>
      </c>
      <c r="B216">
        <v>2007</v>
      </c>
      <c r="C216">
        <v>1102</v>
      </c>
      <c r="D216">
        <v>215</v>
      </c>
      <c r="E216">
        <v>7950</v>
      </c>
      <c r="F216" t="s">
        <v>25</v>
      </c>
      <c r="G216">
        <v>7</v>
      </c>
      <c r="H216" t="s">
        <v>68</v>
      </c>
      <c r="I216">
        <v>12</v>
      </c>
      <c r="J216" s="10">
        <f t="shared" si="3"/>
        <v>7</v>
      </c>
    </row>
    <row r="217" spans="1:10" x14ac:dyDescent="0.2">
      <c r="A217" s="6">
        <v>43150</v>
      </c>
      <c r="B217">
        <v>2008</v>
      </c>
      <c r="C217">
        <v>1102</v>
      </c>
      <c r="D217">
        <v>216</v>
      </c>
      <c r="E217">
        <v>7000</v>
      </c>
      <c r="F217" t="s">
        <v>25</v>
      </c>
      <c r="G217">
        <v>12</v>
      </c>
      <c r="H217" t="s">
        <v>68</v>
      </c>
      <c r="I217">
        <v>11</v>
      </c>
      <c r="J217" s="10">
        <f t="shared" si="3"/>
        <v>12</v>
      </c>
    </row>
    <row r="218" spans="1:10" x14ac:dyDescent="0.2">
      <c r="A218" s="6">
        <v>42948</v>
      </c>
      <c r="B218">
        <v>2008</v>
      </c>
      <c r="C218">
        <v>1102</v>
      </c>
      <c r="D218">
        <v>217</v>
      </c>
      <c r="E218">
        <v>6500</v>
      </c>
      <c r="F218" t="s">
        <v>25</v>
      </c>
      <c r="G218">
        <v>6</v>
      </c>
      <c r="H218" t="s">
        <v>68</v>
      </c>
      <c r="I218">
        <v>11</v>
      </c>
      <c r="J218" s="10">
        <f t="shared" si="3"/>
        <v>6</v>
      </c>
    </row>
    <row r="219" spans="1:10" x14ac:dyDescent="0.2">
      <c r="A219" s="6">
        <v>42887</v>
      </c>
      <c r="B219">
        <v>2008</v>
      </c>
      <c r="C219">
        <v>1102</v>
      </c>
      <c r="D219">
        <v>218</v>
      </c>
      <c r="E219">
        <v>7000</v>
      </c>
      <c r="F219" t="s">
        <v>25</v>
      </c>
      <c r="G219">
        <v>6</v>
      </c>
      <c r="H219" t="s">
        <v>68</v>
      </c>
      <c r="I219">
        <v>11</v>
      </c>
      <c r="J219" s="10">
        <f t="shared" si="3"/>
        <v>6</v>
      </c>
    </row>
    <row r="220" spans="1:10" x14ac:dyDescent="0.2">
      <c r="A220" s="6">
        <v>42753</v>
      </c>
      <c r="B220">
        <v>2008</v>
      </c>
      <c r="C220">
        <v>1102</v>
      </c>
      <c r="D220">
        <v>219</v>
      </c>
      <c r="E220">
        <v>6550</v>
      </c>
      <c r="F220" t="s">
        <v>25</v>
      </c>
      <c r="G220">
        <v>8</v>
      </c>
      <c r="H220" t="s">
        <v>68</v>
      </c>
      <c r="I220">
        <v>11</v>
      </c>
      <c r="J220" s="10">
        <f t="shared" si="3"/>
        <v>8</v>
      </c>
    </row>
    <row r="221" spans="1:10" x14ac:dyDescent="0.2">
      <c r="A221" s="6">
        <v>42559</v>
      </c>
      <c r="B221">
        <v>2007</v>
      </c>
      <c r="C221">
        <v>1102</v>
      </c>
      <c r="D221">
        <v>220</v>
      </c>
      <c r="E221">
        <v>7400</v>
      </c>
      <c r="F221" t="s">
        <v>25</v>
      </c>
      <c r="G221">
        <v>8</v>
      </c>
      <c r="H221" t="s">
        <v>68</v>
      </c>
      <c r="I221">
        <v>12</v>
      </c>
      <c r="J221" s="10">
        <f t="shared" si="3"/>
        <v>8</v>
      </c>
    </row>
    <row r="222" spans="1:10" x14ac:dyDescent="0.2">
      <c r="A222" s="6">
        <v>42389</v>
      </c>
      <c r="B222">
        <v>2008</v>
      </c>
      <c r="C222">
        <v>1102</v>
      </c>
      <c r="D222">
        <v>221</v>
      </c>
      <c r="E222">
        <v>6400</v>
      </c>
      <c r="F222" t="s">
        <v>25</v>
      </c>
      <c r="G222">
        <v>9</v>
      </c>
      <c r="H222" t="s">
        <v>68</v>
      </c>
      <c r="I222">
        <v>11</v>
      </c>
      <c r="J222" s="10">
        <f t="shared" si="3"/>
        <v>9</v>
      </c>
    </row>
    <row r="223" spans="1:10" x14ac:dyDescent="0.2">
      <c r="A223" s="6">
        <v>43503</v>
      </c>
      <c r="B223">
        <v>2007</v>
      </c>
      <c r="C223">
        <v>1108</v>
      </c>
      <c r="D223">
        <v>222</v>
      </c>
      <c r="E223">
        <v>6500</v>
      </c>
      <c r="F223" t="s">
        <v>25</v>
      </c>
      <c r="G223">
        <v>6</v>
      </c>
      <c r="H223" t="s">
        <v>68</v>
      </c>
      <c r="I223">
        <v>12</v>
      </c>
      <c r="J223" s="10">
        <f t="shared" si="3"/>
        <v>6</v>
      </c>
    </row>
    <row r="224" spans="1:10" x14ac:dyDescent="0.2">
      <c r="A224" s="6">
        <v>43349</v>
      </c>
      <c r="B224">
        <v>2008</v>
      </c>
      <c r="C224">
        <v>1108</v>
      </c>
      <c r="D224">
        <v>223</v>
      </c>
      <c r="E224">
        <v>7600</v>
      </c>
      <c r="F224" t="s">
        <v>25</v>
      </c>
      <c r="G224">
        <v>9</v>
      </c>
      <c r="H224" t="s">
        <v>68</v>
      </c>
      <c r="I224">
        <v>11</v>
      </c>
      <c r="J224" s="10">
        <f t="shared" si="3"/>
        <v>9</v>
      </c>
    </row>
    <row r="225" spans="1:10" x14ac:dyDescent="0.2">
      <c r="A225" s="6">
        <v>43276</v>
      </c>
      <c r="B225">
        <v>2007</v>
      </c>
      <c r="C225">
        <v>1108</v>
      </c>
      <c r="D225">
        <v>224</v>
      </c>
      <c r="E225">
        <v>8650</v>
      </c>
      <c r="F225" t="s">
        <v>25</v>
      </c>
      <c r="G225">
        <v>5</v>
      </c>
      <c r="H225" t="s">
        <v>68</v>
      </c>
      <c r="I225">
        <v>12</v>
      </c>
      <c r="J225" s="10">
        <f t="shared" si="3"/>
        <v>5</v>
      </c>
    </row>
    <row r="226" spans="1:10" x14ac:dyDescent="0.2">
      <c r="A226" s="6">
        <v>43105</v>
      </c>
      <c r="B226">
        <v>2008</v>
      </c>
      <c r="C226">
        <v>1108</v>
      </c>
      <c r="D226">
        <v>225</v>
      </c>
      <c r="E226">
        <v>7050</v>
      </c>
      <c r="F226" t="s">
        <v>25</v>
      </c>
      <c r="G226">
        <v>8</v>
      </c>
      <c r="H226" t="s">
        <v>68</v>
      </c>
      <c r="I226">
        <v>11</v>
      </c>
      <c r="J226" s="10">
        <f t="shared" si="3"/>
        <v>8</v>
      </c>
    </row>
    <row r="227" spans="1:10" x14ac:dyDescent="0.2">
      <c r="A227" s="6">
        <v>42948</v>
      </c>
      <c r="B227">
        <v>2008</v>
      </c>
      <c r="C227">
        <v>1108</v>
      </c>
      <c r="D227">
        <v>226</v>
      </c>
      <c r="E227">
        <v>6350</v>
      </c>
      <c r="F227" t="s">
        <v>25</v>
      </c>
      <c r="G227">
        <v>90</v>
      </c>
      <c r="H227" t="s">
        <v>26</v>
      </c>
      <c r="I227">
        <v>11</v>
      </c>
      <c r="J227" s="10">
        <f t="shared" si="3"/>
        <v>3</v>
      </c>
    </row>
    <row r="228" spans="1:10" x14ac:dyDescent="0.2">
      <c r="A228" s="6">
        <v>42751</v>
      </c>
      <c r="B228">
        <v>2008</v>
      </c>
      <c r="C228">
        <v>1108</v>
      </c>
      <c r="D228">
        <v>227</v>
      </c>
      <c r="E228">
        <v>6350</v>
      </c>
      <c r="F228" t="s">
        <v>25</v>
      </c>
      <c r="G228">
        <v>6</v>
      </c>
      <c r="H228" t="s">
        <v>68</v>
      </c>
      <c r="I228">
        <v>11</v>
      </c>
      <c r="J228" s="10">
        <f t="shared" si="3"/>
        <v>6</v>
      </c>
    </row>
    <row r="229" spans="1:10" x14ac:dyDescent="0.2">
      <c r="A229" s="6">
        <v>42709</v>
      </c>
      <c r="B229">
        <v>2008</v>
      </c>
      <c r="C229">
        <v>1108</v>
      </c>
      <c r="D229">
        <v>228</v>
      </c>
      <c r="E229">
        <v>6300</v>
      </c>
      <c r="F229" t="s">
        <v>25</v>
      </c>
      <c r="G229">
        <v>5</v>
      </c>
      <c r="H229" t="s">
        <v>68</v>
      </c>
      <c r="I229">
        <v>11</v>
      </c>
      <c r="J229" s="10">
        <f t="shared" si="3"/>
        <v>5</v>
      </c>
    </row>
    <row r="230" spans="1:10" x14ac:dyDescent="0.2">
      <c r="A230" s="6">
        <v>42675</v>
      </c>
      <c r="B230">
        <v>2008</v>
      </c>
      <c r="C230">
        <v>1108</v>
      </c>
      <c r="D230">
        <v>229</v>
      </c>
      <c r="E230">
        <v>6500</v>
      </c>
      <c r="F230" t="s">
        <v>25</v>
      </c>
      <c r="G230">
        <v>45</v>
      </c>
      <c r="H230" t="s">
        <v>26</v>
      </c>
      <c r="I230">
        <v>11</v>
      </c>
      <c r="J230" s="10">
        <f t="shared" si="3"/>
        <v>2</v>
      </c>
    </row>
    <row r="231" spans="1:10" x14ac:dyDescent="0.2">
      <c r="A231" s="6">
        <v>42669</v>
      </c>
      <c r="B231">
        <v>2007</v>
      </c>
      <c r="C231">
        <v>1108</v>
      </c>
      <c r="D231">
        <v>230</v>
      </c>
      <c r="E231">
        <v>6500</v>
      </c>
      <c r="F231" t="s">
        <v>25</v>
      </c>
      <c r="G231">
        <v>9</v>
      </c>
      <c r="H231" t="s">
        <v>68</v>
      </c>
      <c r="I231">
        <v>12</v>
      </c>
      <c r="J231" s="10">
        <f t="shared" si="3"/>
        <v>9</v>
      </c>
    </row>
    <row r="232" spans="1:10" x14ac:dyDescent="0.2">
      <c r="A232" s="6">
        <v>42523</v>
      </c>
      <c r="B232">
        <v>2007</v>
      </c>
      <c r="C232">
        <v>1108</v>
      </c>
      <c r="D232">
        <v>231</v>
      </c>
      <c r="E232">
        <v>6750</v>
      </c>
      <c r="F232" t="s">
        <v>25</v>
      </c>
      <c r="G232">
        <v>5</v>
      </c>
      <c r="H232" t="s">
        <v>68</v>
      </c>
      <c r="I232">
        <v>12</v>
      </c>
      <c r="J232" s="10">
        <f t="shared" si="3"/>
        <v>5</v>
      </c>
    </row>
    <row r="233" spans="1:10" x14ac:dyDescent="0.2">
      <c r="A233" s="6">
        <v>42410</v>
      </c>
      <c r="B233">
        <v>2008</v>
      </c>
      <c r="C233">
        <v>1108</v>
      </c>
      <c r="D233">
        <v>232</v>
      </c>
      <c r="E233">
        <v>6700</v>
      </c>
      <c r="F233" t="s">
        <v>25</v>
      </c>
      <c r="G233">
        <v>10</v>
      </c>
      <c r="H233" t="s">
        <v>68</v>
      </c>
      <c r="I233">
        <v>11</v>
      </c>
      <c r="J233" s="10">
        <f t="shared" si="3"/>
        <v>10</v>
      </c>
    </row>
    <row r="234" spans="1:10" x14ac:dyDescent="0.2">
      <c r="A234" s="6">
        <v>43636</v>
      </c>
      <c r="B234">
        <v>2007</v>
      </c>
      <c r="C234">
        <v>1114</v>
      </c>
      <c r="D234">
        <v>233</v>
      </c>
      <c r="E234">
        <v>6550</v>
      </c>
      <c r="F234" t="s">
        <v>25</v>
      </c>
      <c r="G234">
        <v>9</v>
      </c>
      <c r="H234" t="s">
        <v>68</v>
      </c>
      <c r="I234">
        <v>12</v>
      </c>
      <c r="J234" s="10">
        <f t="shared" si="3"/>
        <v>9</v>
      </c>
    </row>
    <row r="235" spans="1:10" x14ac:dyDescent="0.2">
      <c r="A235" s="6">
        <v>43466</v>
      </c>
      <c r="B235">
        <v>2008</v>
      </c>
      <c r="C235">
        <v>1114</v>
      </c>
      <c r="D235">
        <v>234</v>
      </c>
      <c r="E235">
        <v>5900</v>
      </c>
      <c r="F235" t="s">
        <v>25</v>
      </c>
      <c r="G235">
        <v>7</v>
      </c>
      <c r="H235" t="s">
        <v>68</v>
      </c>
      <c r="I235">
        <v>11</v>
      </c>
      <c r="J235" s="10">
        <f t="shared" si="3"/>
        <v>7</v>
      </c>
    </row>
    <row r="236" spans="1:10" x14ac:dyDescent="0.2">
      <c r="A236" s="6">
        <v>43398</v>
      </c>
      <c r="B236">
        <v>2007</v>
      </c>
      <c r="C236">
        <v>1114</v>
      </c>
      <c r="D236">
        <v>235</v>
      </c>
      <c r="E236">
        <v>6500</v>
      </c>
      <c r="F236" t="s">
        <v>25</v>
      </c>
      <c r="G236">
        <v>6</v>
      </c>
      <c r="H236" t="s">
        <v>68</v>
      </c>
      <c r="I236">
        <v>12</v>
      </c>
      <c r="J236" s="10">
        <f t="shared" si="3"/>
        <v>6</v>
      </c>
    </row>
    <row r="237" spans="1:10" x14ac:dyDescent="0.2">
      <c r="A237" s="6">
        <v>43391</v>
      </c>
      <c r="B237">
        <v>2008</v>
      </c>
      <c r="C237">
        <v>1114</v>
      </c>
      <c r="D237">
        <v>236</v>
      </c>
      <c r="E237">
        <v>7500</v>
      </c>
      <c r="F237" t="s">
        <v>25</v>
      </c>
      <c r="G237">
        <v>30</v>
      </c>
      <c r="H237" t="s">
        <v>26</v>
      </c>
      <c r="I237">
        <v>11</v>
      </c>
      <c r="J237" s="10">
        <f t="shared" si="3"/>
        <v>1</v>
      </c>
    </row>
    <row r="238" spans="1:10" x14ac:dyDescent="0.2">
      <c r="A238" s="6">
        <v>43368</v>
      </c>
      <c r="B238">
        <v>2007</v>
      </c>
      <c r="C238">
        <v>1114</v>
      </c>
      <c r="D238">
        <v>237</v>
      </c>
      <c r="E238">
        <v>7500</v>
      </c>
      <c r="F238" t="s">
        <v>25</v>
      </c>
      <c r="G238">
        <v>7</v>
      </c>
      <c r="H238" t="s">
        <v>68</v>
      </c>
      <c r="I238">
        <v>12</v>
      </c>
      <c r="J238" s="10">
        <f t="shared" si="3"/>
        <v>7</v>
      </c>
    </row>
    <row r="239" spans="1:10" x14ac:dyDescent="0.2">
      <c r="A239" s="6">
        <v>43341</v>
      </c>
      <c r="B239">
        <v>2006</v>
      </c>
      <c r="C239">
        <v>1114</v>
      </c>
      <c r="D239">
        <v>238</v>
      </c>
      <c r="E239">
        <v>7600</v>
      </c>
      <c r="F239" t="s">
        <v>25</v>
      </c>
      <c r="G239">
        <v>2</v>
      </c>
      <c r="H239" t="s">
        <v>68</v>
      </c>
      <c r="I239">
        <v>13</v>
      </c>
      <c r="J239" s="10">
        <f t="shared" si="3"/>
        <v>2</v>
      </c>
    </row>
    <row r="240" spans="1:10" x14ac:dyDescent="0.2">
      <c r="A240" s="6">
        <v>43301</v>
      </c>
      <c r="B240">
        <v>2008</v>
      </c>
      <c r="C240">
        <v>1114</v>
      </c>
      <c r="D240">
        <v>239</v>
      </c>
      <c r="E240">
        <v>8750</v>
      </c>
      <c r="F240" t="s">
        <v>25</v>
      </c>
      <c r="G240">
        <v>12</v>
      </c>
      <c r="H240" t="s">
        <v>68</v>
      </c>
      <c r="I240">
        <v>11</v>
      </c>
      <c r="J240" s="10">
        <f t="shared" si="3"/>
        <v>12</v>
      </c>
    </row>
    <row r="241" spans="1:10" x14ac:dyDescent="0.2">
      <c r="A241" s="6">
        <v>43276</v>
      </c>
      <c r="B241">
        <v>2006</v>
      </c>
      <c r="C241">
        <v>1114</v>
      </c>
      <c r="D241">
        <v>240</v>
      </c>
      <c r="E241">
        <v>8000</v>
      </c>
      <c r="F241" t="s">
        <v>25</v>
      </c>
      <c r="G241">
        <v>30</v>
      </c>
      <c r="H241" t="s">
        <v>26</v>
      </c>
      <c r="I241">
        <v>13</v>
      </c>
      <c r="J241" s="10">
        <f t="shared" si="3"/>
        <v>1</v>
      </c>
    </row>
    <row r="242" spans="1:10" x14ac:dyDescent="0.2">
      <c r="A242" s="6">
        <v>43203</v>
      </c>
      <c r="B242">
        <v>2008</v>
      </c>
      <c r="C242">
        <v>1114</v>
      </c>
      <c r="D242">
        <v>241</v>
      </c>
      <c r="E242">
        <v>8250</v>
      </c>
      <c r="F242" t="s">
        <v>25</v>
      </c>
      <c r="G242">
        <v>6</v>
      </c>
      <c r="H242" t="s">
        <v>68</v>
      </c>
      <c r="I242">
        <v>11</v>
      </c>
      <c r="J242" s="10">
        <f t="shared" si="3"/>
        <v>6</v>
      </c>
    </row>
    <row r="243" spans="1:10" x14ac:dyDescent="0.2">
      <c r="A243" s="6">
        <v>43185</v>
      </c>
      <c r="B243">
        <v>2007</v>
      </c>
      <c r="C243">
        <v>1114</v>
      </c>
      <c r="D243">
        <v>242</v>
      </c>
      <c r="E243">
        <v>8900</v>
      </c>
      <c r="F243" t="s">
        <v>25</v>
      </c>
      <c r="G243">
        <v>13</v>
      </c>
      <c r="H243" t="s">
        <v>68</v>
      </c>
      <c r="I243">
        <v>12</v>
      </c>
      <c r="J243" s="10">
        <f t="shared" si="3"/>
        <v>13</v>
      </c>
    </row>
    <row r="244" spans="1:10" x14ac:dyDescent="0.2">
      <c r="A244" s="6">
        <v>43151</v>
      </c>
      <c r="B244">
        <v>2007</v>
      </c>
      <c r="C244">
        <v>1114</v>
      </c>
      <c r="D244">
        <v>243</v>
      </c>
      <c r="E244">
        <v>7100</v>
      </c>
      <c r="F244" t="s">
        <v>25</v>
      </c>
      <c r="G244">
        <v>7</v>
      </c>
      <c r="H244" t="s">
        <v>68</v>
      </c>
      <c r="I244">
        <v>12</v>
      </c>
      <c r="J244" s="10">
        <f t="shared" si="3"/>
        <v>7</v>
      </c>
    </row>
    <row r="245" spans="1:10" x14ac:dyDescent="0.2">
      <c r="A245" s="6">
        <v>43028</v>
      </c>
      <c r="B245">
        <v>2007</v>
      </c>
      <c r="C245">
        <v>1114</v>
      </c>
      <c r="D245">
        <v>244</v>
      </c>
      <c r="E245">
        <v>6950</v>
      </c>
      <c r="F245" t="s">
        <v>25</v>
      </c>
      <c r="G245">
        <v>12</v>
      </c>
      <c r="H245" t="s">
        <v>68</v>
      </c>
      <c r="I245">
        <v>12</v>
      </c>
      <c r="J245" s="10">
        <f t="shared" si="3"/>
        <v>12</v>
      </c>
    </row>
    <row r="246" spans="1:10" x14ac:dyDescent="0.2">
      <c r="A246" s="6">
        <v>43009</v>
      </c>
      <c r="B246">
        <v>2006</v>
      </c>
      <c r="C246">
        <v>1114</v>
      </c>
      <c r="D246">
        <v>245</v>
      </c>
      <c r="E246">
        <v>5300</v>
      </c>
      <c r="F246" t="s">
        <v>25</v>
      </c>
      <c r="G246">
        <v>7</v>
      </c>
      <c r="H246" t="s">
        <v>68</v>
      </c>
      <c r="I246">
        <v>13</v>
      </c>
      <c r="J246" s="10">
        <f t="shared" si="3"/>
        <v>7</v>
      </c>
    </row>
    <row r="247" spans="1:10" x14ac:dyDescent="0.2">
      <c r="A247" s="6">
        <v>42971</v>
      </c>
      <c r="B247">
        <v>2007</v>
      </c>
      <c r="C247">
        <v>1114</v>
      </c>
      <c r="D247">
        <v>246</v>
      </c>
      <c r="E247">
        <v>6000</v>
      </c>
      <c r="F247" t="s">
        <v>25</v>
      </c>
      <c r="G247">
        <v>4</v>
      </c>
      <c r="H247" t="s">
        <v>68</v>
      </c>
      <c r="I247">
        <v>12</v>
      </c>
      <c r="J247" s="10">
        <f t="shared" si="3"/>
        <v>4</v>
      </c>
    </row>
    <row r="248" spans="1:10" x14ac:dyDescent="0.2">
      <c r="A248" s="6">
        <v>42962</v>
      </c>
      <c r="B248">
        <v>2008</v>
      </c>
      <c r="C248">
        <v>1114</v>
      </c>
      <c r="D248">
        <v>247</v>
      </c>
      <c r="E248">
        <v>5600</v>
      </c>
      <c r="F248" t="s">
        <v>25</v>
      </c>
      <c r="G248">
        <v>6</v>
      </c>
      <c r="H248" t="s">
        <v>68</v>
      </c>
      <c r="I248">
        <v>11</v>
      </c>
      <c r="J248" s="10">
        <f t="shared" si="3"/>
        <v>6</v>
      </c>
    </row>
    <row r="249" spans="1:10" x14ac:dyDescent="0.2">
      <c r="A249" s="6">
        <v>42753</v>
      </c>
      <c r="B249">
        <v>2008</v>
      </c>
      <c r="C249">
        <v>1114</v>
      </c>
      <c r="D249">
        <v>248</v>
      </c>
      <c r="E249">
        <v>6500</v>
      </c>
      <c r="F249" t="s">
        <v>25</v>
      </c>
      <c r="G249">
        <v>7</v>
      </c>
      <c r="H249" t="s">
        <v>68</v>
      </c>
      <c r="I249">
        <v>11</v>
      </c>
      <c r="J249" s="10">
        <f t="shared" si="3"/>
        <v>7</v>
      </c>
    </row>
    <row r="250" spans="1:10" x14ac:dyDescent="0.2">
      <c r="A250" s="6">
        <v>42709</v>
      </c>
      <c r="B250">
        <v>2007</v>
      </c>
      <c r="C250">
        <v>1114</v>
      </c>
      <c r="D250">
        <v>249</v>
      </c>
      <c r="E250">
        <v>5500</v>
      </c>
      <c r="F250" t="s">
        <v>25</v>
      </c>
      <c r="G250">
        <v>12</v>
      </c>
      <c r="H250" t="s">
        <v>68</v>
      </c>
      <c r="I250">
        <v>12</v>
      </c>
      <c r="J250" s="10">
        <f t="shared" si="3"/>
        <v>12</v>
      </c>
    </row>
    <row r="251" spans="1:10" x14ac:dyDescent="0.2">
      <c r="A251" s="6">
        <v>42671</v>
      </c>
      <c r="B251">
        <v>2008</v>
      </c>
      <c r="C251">
        <v>1114</v>
      </c>
      <c r="D251">
        <v>250</v>
      </c>
      <c r="E251">
        <v>5500</v>
      </c>
      <c r="F251" t="s">
        <v>25</v>
      </c>
      <c r="G251">
        <v>12</v>
      </c>
      <c r="H251" t="s">
        <v>68</v>
      </c>
      <c r="I251">
        <v>11</v>
      </c>
      <c r="J251" s="10">
        <f t="shared" si="3"/>
        <v>12</v>
      </c>
    </row>
    <row r="252" spans="1:10" x14ac:dyDescent="0.2">
      <c r="A252" s="6">
        <v>42597</v>
      </c>
      <c r="B252">
        <v>2007</v>
      </c>
      <c r="C252">
        <v>1114</v>
      </c>
      <c r="D252">
        <v>251</v>
      </c>
      <c r="E252">
        <v>6000</v>
      </c>
      <c r="F252" t="s">
        <v>25</v>
      </c>
      <c r="G252">
        <v>12</v>
      </c>
      <c r="H252" t="s">
        <v>68</v>
      </c>
      <c r="I252">
        <v>12</v>
      </c>
      <c r="J252" s="10">
        <f t="shared" si="3"/>
        <v>12</v>
      </c>
    </row>
    <row r="253" spans="1:10" x14ac:dyDescent="0.2">
      <c r="A253" s="6">
        <v>42592</v>
      </c>
      <c r="B253">
        <v>2007</v>
      </c>
      <c r="C253">
        <v>1114</v>
      </c>
      <c r="D253">
        <v>252</v>
      </c>
      <c r="E253">
        <v>6000</v>
      </c>
      <c r="F253" t="s">
        <v>25</v>
      </c>
      <c r="G253">
        <v>11</v>
      </c>
      <c r="H253" t="s">
        <v>68</v>
      </c>
      <c r="I253">
        <v>12</v>
      </c>
      <c r="J253" s="10">
        <f t="shared" si="3"/>
        <v>11</v>
      </c>
    </row>
    <row r="254" spans="1:10" x14ac:dyDescent="0.2">
      <c r="A254" s="6">
        <v>42493</v>
      </c>
      <c r="B254">
        <v>2008</v>
      </c>
      <c r="C254">
        <v>1114</v>
      </c>
      <c r="D254">
        <v>253</v>
      </c>
      <c r="E254">
        <v>6200</v>
      </c>
      <c r="F254" t="s">
        <v>25</v>
      </c>
      <c r="G254">
        <v>7</v>
      </c>
      <c r="H254" t="s">
        <v>68</v>
      </c>
      <c r="I254">
        <v>11</v>
      </c>
      <c r="J254" s="10">
        <f t="shared" si="3"/>
        <v>7</v>
      </c>
    </row>
    <row r="255" spans="1:10" x14ac:dyDescent="0.2">
      <c r="A255" s="6">
        <v>42481</v>
      </c>
      <c r="B255">
        <v>2006</v>
      </c>
      <c r="C255">
        <v>1114</v>
      </c>
      <c r="D255">
        <v>254</v>
      </c>
      <c r="E255">
        <v>6200</v>
      </c>
      <c r="F255" t="s">
        <v>25</v>
      </c>
      <c r="G255">
        <v>12</v>
      </c>
      <c r="H255" t="s">
        <v>68</v>
      </c>
      <c r="I255">
        <v>13</v>
      </c>
      <c r="J255" s="10">
        <f t="shared" si="3"/>
        <v>12</v>
      </c>
    </row>
    <row r="256" spans="1:10" x14ac:dyDescent="0.2">
      <c r="A256" s="6">
        <v>42478</v>
      </c>
      <c r="B256">
        <v>2007</v>
      </c>
      <c r="C256">
        <v>1114</v>
      </c>
      <c r="D256">
        <v>255</v>
      </c>
      <c r="E256">
        <v>6300</v>
      </c>
      <c r="F256" t="s">
        <v>25</v>
      </c>
      <c r="G256">
        <v>7</v>
      </c>
      <c r="H256" t="s">
        <v>68</v>
      </c>
      <c r="I256">
        <v>12</v>
      </c>
      <c r="J256" s="10">
        <f t="shared" si="3"/>
        <v>7</v>
      </c>
    </row>
    <row r="257" spans="1:10" x14ac:dyDescent="0.2">
      <c r="A257" s="6">
        <v>42460</v>
      </c>
      <c r="B257">
        <v>2007</v>
      </c>
      <c r="C257">
        <v>1114</v>
      </c>
      <c r="D257">
        <v>256</v>
      </c>
      <c r="E257">
        <v>6100</v>
      </c>
      <c r="F257" t="s">
        <v>25</v>
      </c>
      <c r="G257">
        <v>4</v>
      </c>
      <c r="H257" t="s">
        <v>68</v>
      </c>
      <c r="I257">
        <v>12</v>
      </c>
      <c r="J257" s="10">
        <f t="shared" si="3"/>
        <v>4</v>
      </c>
    </row>
    <row r="258" spans="1:10" x14ac:dyDescent="0.2">
      <c r="A258" s="6">
        <v>42423</v>
      </c>
      <c r="B258">
        <v>2006</v>
      </c>
      <c r="C258">
        <v>1114</v>
      </c>
      <c r="D258">
        <v>257</v>
      </c>
      <c r="E258">
        <v>6450</v>
      </c>
      <c r="F258" t="s">
        <v>25</v>
      </c>
      <c r="G258">
        <v>6</v>
      </c>
      <c r="H258" t="s">
        <v>68</v>
      </c>
      <c r="I258">
        <v>13</v>
      </c>
      <c r="J258" s="10">
        <f t="shared" ref="J258:J321" si="4">IF(H258="days",ROUND(G258/30,0),IF(H258="years",G258*12,G258))</f>
        <v>6</v>
      </c>
    </row>
    <row r="259" spans="1:10" x14ac:dyDescent="0.2">
      <c r="A259" s="6">
        <v>42401</v>
      </c>
      <c r="B259">
        <v>2007</v>
      </c>
      <c r="C259">
        <v>1114</v>
      </c>
      <c r="D259">
        <v>258</v>
      </c>
      <c r="E259">
        <v>6700</v>
      </c>
      <c r="F259" t="s">
        <v>25</v>
      </c>
      <c r="G259">
        <v>13</v>
      </c>
      <c r="H259" t="s">
        <v>68</v>
      </c>
      <c r="I259">
        <v>12</v>
      </c>
      <c r="J259" s="10">
        <f t="shared" si="4"/>
        <v>13</v>
      </c>
    </row>
    <row r="260" spans="1:10" x14ac:dyDescent="0.2">
      <c r="A260" s="6">
        <v>42401</v>
      </c>
      <c r="B260">
        <v>2006</v>
      </c>
      <c r="C260">
        <v>1114</v>
      </c>
      <c r="D260">
        <v>259</v>
      </c>
      <c r="E260">
        <v>6000</v>
      </c>
      <c r="F260" t="s">
        <v>25</v>
      </c>
      <c r="G260">
        <v>2</v>
      </c>
      <c r="H260" t="s">
        <v>68</v>
      </c>
      <c r="I260">
        <v>13</v>
      </c>
      <c r="J260" s="10">
        <f t="shared" si="4"/>
        <v>2</v>
      </c>
    </row>
    <row r="261" spans="1:10" x14ac:dyDescent="0.2">
      <c r="A261" s="6">
        <v>42397</v>
      </c>
      <c r="B261">
        <v>2007</v>
      </c>
      <c r="C261">
        <v>1114</v>
      </c>
      <c r="D261">
        <v>260</v>
      </c>
      <c r="E261">
        <v>6350</v>
      </c>
      <c r="F261" t="s">
        <v>25</v>
      </c>
      <c r="G261">
        <v>2</v>
      </c>
      <c r="H261" t="s">
        <v>68</v>
      </c>
      <c r="I261">
        <v>12</v>
      </c>
      <c r="J261" s="10">
        <f t="shared" si="4"/>
        <v>2</v>
      </c>
    </row>
    <row r="262" spans="1:10" x14ac:dyDescent="0.2">
      <c r="A262" s="6">
        <v>42380</v>
      </c>
      <c r="B262">
        <v>2008</v>
      </c>
      <c r="C262">
        <v>1114</v>
      </c>
      <c r="D262">
        <v>261</v>
      </c>
      <c r="E262">
        <v>6000</v>
      </c>
      <c r="F262" t="s">
        <v>25</v>
      </c>
      <c r="G262">
        <v>7</v>
      </c>
      <c r="H262" t="s">
        <v>68</v>
      </c>
      <c r="I262">
        <v>11</v>
      </c>
      <c r="J262" s="10">
        <f t="shared" si="4"/>
        <v>7</v>
      </c>
    </row>
    <row r="263" spans="1:10" x14ac:dyDescent="0.2">
      <c r="A263" s="6">
        <v>43623</v>
      </c>
      <c r="B263">
        <v>2008</v>
      </c>
      <c r="C263">
        <v>1118</v>
      </c>
      <c r="D263">
        <v>262</v>
      </c>
      <c r="E263">
        <v>7000</v>
      </c>
      <c r="F263" t="s">
        <v>25</v>
      </c>
      <c r="G263">
        <v>3</v>
      </c>
      <c r="H263" t="s">
        <v>68</v>
      </c>
      <c r="I263">
        <v>11</v>
      </c>
      <c r="J263" s="10">
        <f t="shared" si="4"/>
        <v>3</v>
      </c>
    </row>
    <row r="264" spans="1:10" x14ac:dyDescent="0.2">
      <c r="A264" s="6">
        <v>43621</v>
      </c>
      <c r="B264">
        <v>2006</v>
      </c>
      <c r="C264">
        <v>1118</v>
      </c>
      <c r="D264">
        <v>263</v>
      </c>
      <c r="E264">
        <v>6350</v>
      </c>
      <c r="F264" t="s">
        <v>25</v>
      </c>
      <c r="G264">
        <v>12</v>
      </c>
      <c r="H264" t="s">
        <v>68</v>
      </c>
      <c r="I264">
        <v>13</v>
      </c>
      <c r="J264" s="10">
        <f t="shared" si="4"/>
        <v>12</v>
      </c>
    </row>
    <row r="265" spans="1:10" x14ac:dyDescent="0.2">
      <c r="A265" s="6">
        <v>43619</v>
      </c>
      <c r="B265">
        <v>2008</v>
      </c>
      <c r="C265">
        <v>1118</v>
      </c>
      <c r="D265">
        <v>264</v>
      </c>
      <c r="E265">
        <v>6500</v>
      </c>
      <c r="F265" t="s">
        <v>25</v>
      </c>
      <c r="G265">
        <v>6</v>
      </c>
      <c r="H265" t="s">
        <v>68</v>
      </c>
      <c r="I265">
        <v>11</v>
      </c>
      <c r="J265" s="10">
        <f t="shared" si="4"/>
        <v>6</v>
      </c>
    </row>
    <row r="266" spans="1:10" x14ac:dyDescent="0.2">
      <c r="A266" s="6">
        <v>43613</v>
      </c>
      <c r="B266">
        <v>2006</v>
      </c>
      <c r="C266">
        <v>1118</v>
      </c>
      <c r="D266">
        <v>265</v>
      </c>
      <c r="E266">
        <v>6250</v>
      </c>
      <c r="F266" t="s">
        <v>25</v>
      </c>
      <c r="G266">
        <v>5</v>
      </c>
      <c r="H266" t="s">
        <v>68</v>
      </c>
      <c r="I266">
        <v>13</v>
      </c>
      <c r="J266" s="10">
        <f t="shared" si="4"/>
        <v>5</v>
      </c>
    </row>
    <row r="267" spans="1:10" x14ac:dyDescent="0.2">
      <c r="A267" s="6">
        <v>43601</v>
      </c>
      <c r="B267">
        <v>2009</v>
      </c>
      <c r="C267">
        <v>1118</v>
      </c>
      <c r="D267">
        <v>266</v>
      </c>
      <c r="E267">
        <v>6100</v>
      </c>
      <c r="F267" t="s">
        <v>25</v>
      </c>
      <c r="G267">
        <v>5</v>
      </c>
      <c r="H267" t="s">
        <v>68</v>
      </c>
      <c r="I267">
        <v>10</v>
      </c>
      <c r="J267" s="10">
        <f t="shared" si="4"/>
        <v>5</v>
      </c>
    </row>
    <row r="268" spans="1:10" x14ac:dyDescent="0.2">
      <c r="A268" s="6">
        <v>43600</v>
      </c>
      <c r="B268">
        <v>2007</v>
      </c>
      <c r="C268">
        <v>1118</v>
      </c>
      <c r="D268">
        <v>267</v>
      </c>
      <c r="E268">
        <v>6500</v>
      </c>
      <c r="F268" t="s">
        <v>25</v>
      </c>
      <c r="G268">
        <v>9</v>
      </c>
      <c r="H268" t="s">
        <v>68</v>
      </c>
      <c r="I268">
        <v>12</v>
      </c>
      <c r="J268" s="10">
        <f t="shared" si="4"/>
        <v>9</v>
      </c>
    </row>
    <row r="269" spans="1:10" x14ac:dyDescent="0.2">
      <c r="A269" s="6">
        <v>43579</v>
      </c>
      <c r="B269">
        <v>2006</v>
      </c>
      <c r="C269">
        <v>1118</v>
      </c>
      <c r="D269">
        <v>268</v>
      </c>
      <c r="E269">
        <v>6750</v>
      </c>
      <c r="F269" t="s">
        <v>25</v>
      </c>
      <c r="G269">
        <v>5</v>
      </c>
      <c r="H269" t="s">
        <v>68</v>
      </c>
      <c r="I269">
        <v>13</v>
      </c>
      <c r="J269" s="10">
        <f t="shared" si="4"/>
        <v>5</v>
      </c>
    </row>
    <row r="270" spans="1:10" x14ac:dyDescent="0.2">
      <c r="A270" s="6">
        <v>43563</v>
      </c>
      <c r="B270">
        <v>2008</v>
      </c>
      <c r="C270">
        <v>1118</v>
      </c>
      <c r="D270">
        <v>269</v>
      </c>
      <c r="E270">
        <v>6200</v>
      </c>
      <c r="F270" t="s">
        <v>25</v>
      </c>
      <c r="G270">
        <v>3</v>
      </c>
      <c r="H270" t="s">
        <v>68</v>
      </c>
      <c r="I270">
        <v>11</v>
      </c>
      <c r="J270" s="10">
        <f t="shared" si="4"/>
        <v>3</v>
      </c>
    </row>
    <row r="271" spans="1:10" x14ac:dyDescent="0.2">
      <c r="A271" s="6">
        <v>43559</v>
      </c>
      <c r="B271">
        <v>2006</v>
      </c>
      <c r="C271">
        <v>1118</v>
      </c>
      <c r="D271">
        <v>270</v>
      </c>
      <c r="E271">
        <v>6500</v>
      </c>
      <c r="F271" t="s">
        <v>25</v>
      </c>
      <c r="G271">
        <v>12</v>
      </c>
      <c r="H271" t="s">
        <v>68</v>
      </c>
      <c r="I271">
        <v>13</v>
      </c>
      <c r="J271" s="10">
        <f t="shared" si="4"/>
        <v>12</v>
      </c>
    </row>
    <row r="272" spans="1:10" x14ac:dyDescent="0.2">
      <c r="A272" s="6">
        <v>43558</v>
      </c>
      <c r="B272">
        <v>2008</v>
      </c>
      <c r="C272">
        <v>1118</v>
      </c>
      <c r="D272">
        <v>271</v>
      </c>
      <c r="E272">
        <v>6200</v>
      </c>
      <c r="F272" t="s">
        <v>25</v>
      </c>
      <c r="G272">
        <v>10</v>
      </c>
      <c r="H272" t="s">
        <v>68</v>
      </c>
      <c r="I272">
        <v>11</v>
      </c>
      <c r="J272" s="10">
        <f t="shared" si="4"/>
        <v>10</v>
      </c>
    </row>
    <row r="273" spans="1:10" x14ac:dyDescent="0.2">
      <c r="A273" s="6">
        <v>43550</v>
      </c>
      <c r="B273">
        <v>2009</v>
      </c>
      <c r="C273">
        <v>1118</v>
      </c>
      <c r="D273">
        <v>272</v>
      </c>
      <c r="E273">
        <v>6000</v>
      </c>
      <c r="F273" t="s">
        <v>25</v>
      </c>
      <c r="G273">
        <v>7</v>
      </c>
      <c r="H273" t="s">
        <v>68</v>
      </c>
      <c r="I273">
        <v>10</v>
      </c>
      <c r="J273" s="10">
        <f t="shared" si="4"/>
        <v>7</v>
      </c>
    </row>
    <row r="274" spans="1:10" x14ac:dyDescent="0.2">
      <c r="A274" s="6">
        <v>43535</v>
      </c>
      <c r="B274">
        <v>2007</v>
      </c>
      <c r="C274">
        <v>1118</v>
      </c>
      <c r="D274">
        <v>273</v>
      </c>
      <c r="E274">
        <v>6400</v>
      </c>
      <c r="F274" t="s">
        <v>25</v>
      </c>
      <c r="G274">
        <v>12</v>
      </c>
      <c r="H274" t="s">
        <v>68</v>
      </c>
      <c r="I274">
        <v>12</v>
      </c>
      <c r="J274" s="10">
        <f t="shared" si="4"/>
        <v>12</v>
      </c>
    </row>
    <row r="275" spans="1:10" x14ac:dyDescent="0.2">
      <c r="A275" s="6">
        <v>43507</v>
      </c>
      <c r="B275">
        <v>2006</v>
      </c>
      <c r="C275">
        <v>1118</v>
      </c>
      <c r="D275">
        <v>274</v>
      </c>
      <c r="E275">
        <v>6300</v>
      </c>
      <c r="F275" t="s">
        <v>25</v>
      </c>
      <c r="G275">
        <v>12</v>
      </c>
      <c r="H275" t="s">
        <v>68</v>
      </c>
      <c r="I275">
        <v>13</v>
      </c>
      <c r="J275" s="10">
        <f t="shared" si="4"/>
        <v>12</v>
      </c>
    </row>
    <row r="276" spans="1:10" x14ac:dyDescent="0.2">
      <c r="A276" s="6">
        <v>43497</v>
      </c>
      <c r="B276">
        <v>2007</v>
      </c>
      <c r="C276">
        <v>1118</v>
      </c>
      <c r="D276">
        <v>275</v>
      </c>
      <c r="E276">
        <v>6300</v>
      </c>
      <c r="F276" t="s">
        <v>25</v>
      </c>
      <c r="G276">
        <v>6</v>
      </c>
      <c r="H276" t="s">
        <v>68</v>
      </c>
      <c r="I276">
        <v>12</v>
      </c>
      <c r="J276" s="10">
        <f t="shared" si="4"/>
        <v>6</v>
      </c>
    </row>
    <row r="277" spans="1:10" x14ac:dyDescent="0.2">
      <c r="A277" s="6">
        <v>43493</v>
      </c>
      <c r="B277">
        <v>2006</v>
      </c>
      <c r="C277">
        <v>1118</v>
      </c>
      <c r="D277">
        <v>276</v>
      </c>
      <c r="E277">
        <v>6000</v>
      </c>
      <c r="F277" t="s">
        <v>25</v>
      </c>
      <c r="G277">
        <v>1</v>
      </c>
      <c r="H277" t="s">
        <v>68</v>
      </c>
      <c r="I277">
        <v>13</v>
      </c>
      <c r="J277" s="10">
        <f t="shared" si="4"/>
        <v>1</v>
      </c>
    </row>
    <row r="278" spans="1:10" x14ac:dyDescent="0.2">
      <c r="A278" s="6">
        <v>43490</v>
      </c>
      <c r="B278">
        <v>2006</v>
      </c>
      <c r="C278">
        <v>1118</v>
      </c>
      <c r="D278">
        <v>277</v>
      </c>
      <c r="E278">
        <v>6000</v>
      </c>
      <c r="F278" t="s">
        <v>25</v>
      </c>
      <c r="G278">
        <v>8</v>
      </c>
      <c r="H278" t="s">
        <v>68</v>
      </c>
      <c r="I278">
        <v>13</v>
      </c>
      <c r="J278" s="10">
        <f t="shared" si="4"/>
        <v>8</v>
      </c>
    </row>
    <row r="279" spans="1:10" x14ac:dyDescent="0.2">
      <c r="A279" s="6">
        <v>43483</v>
      </c>
      <c r="B279">
        <v>2008</v>
      </c>
      <c r="C279">
        <v>1118</v>
      </c>
      <c r="D279">
        <v>278</v>
      </c>
      <c r="E279">
        <v>6500</v>
      </c>
      <c r="F279" t="s">
        <v>25</v>
      </c>
      <c r="G279">
        <v>6</v>
      </c>
      <c r="H279" t="s">
        <v>68</v>
      </c>
      <c r="I279">
        <v>11</v>
      </c>
      <c r="J279" s="10">
        <f t="shared" si="4"/>
        <v>6</v>
      </c>
    </row>
    <row r="280" spans="1:10" x14ac:dyDescent="0.2">
      <c r="A280" s="6">
        <v>43483</v>
      </c>
      <c r="B280">
        <v>2006</v>
      </c>
      <c r="C280">
        <v>1118</v>
      </c>
      <c r="D280">
        <v>279</v>
      </c>
      <c r="E280">
        <v>7000</v>
      </c>
      <c r="F280" t="s">
        <v>25</v>
      </c>
      <c r="G280">
        <v>3</v>
      </c>
      <c r="H280" t="s">
        <v>68</v>
      </c>
      <c r="I280">
        <v>13</v>
      </c>
      <c r="J280" s="10">
        <f t="shared" si="4"/>
        <v>3</v>
      </c>
    </row>
    <row r="281" spans="1:10" x14ac:dyDescent="0.2">
      <c r="A281" s="6">
        <v>43474</v>
      </c>
      <c r="B281">
        <v>2008</v>
      </c>
      <c r="C281">
        <v>1118</v>
      </c>
      <c r="D281">
        <v>280</v>
      </c>
      <c r="E281">
        <v>6750</v>
      </c>
      <c r="F281" t="s">
        <v>25</v>
      </c>
      <c r="G281">
        <v>6</v>
      </c>
      <c r="H281" t="s">
        <v>68</v>
      </c>
      <c r="I281">
        <v>11</v>
      </c>
      <c r="J281" s="10">
        <f t="shared" si="4"/>
        <v>6</v>
      </c>
    </row>
    <row r="282" spans="1:10" x14ac:dyDescent="0.2">
      <c r="A282" s="6">
        <v>43445</v>
      </c>
      <c r="B282">
        <v>2008</v>
      </c>
      <c r="C282">
        <v>1118</v>
      </c>
      <c r="D282">
        <v>281</v>
      </c>
      <c r="E282">
        <v>6500</v>
      </c>
      <c r="F282" t="s">
        <v>25</v>
      </c>
      <c r="G282">
        <v>2</v>
      </c>
      <c r="H282" t="s">
        <v>68</v>
      </c>
      <c r="I282">
        <v>11</v>
      </c>
      <c r="J282" s="10">
        <f t="shared" si="4"/>
        <v>2</v>
      </c>
    </row>
    <row r="283" spans="1:10" x14ac:dyDescent="0.2">
      <c r="A283" s="6">
        <v>43431</v>
      </c>
      <c r="B283">
        <v>2006</v>
      </c>
      <c r="C283">
        <v>1118</v>
      </c>
      <c r="D283">
        <v>282</v>
      </c>
      <c r="E283">
        <v>6100</v>
      </c>
      <c r="F283" t="s">
        <v>25</v>
      </c>
      <c r="G283">
        <v>90</v>
      </c>
      <c r="H283" t="s">
        <v>26</v>
      </c>
      <c r="I283">
        <v>13</v>
      </c>
      <c r="J283" s="10">
        <f t="shared" si="4"/>
        <v>3</v>
      </c>
    </row>
    <row r="284" spans="1:10" x14ac:dyDescent="0.2">
      <c r="A284" s="6">
        <v>43430</v>
      </c>
      <c r="B284">
        <v>2007</v>
      </c>
      <c r="C284">
        <v>1118</v>
      </c>
      <c r="D284">
        <v>283</v>
      </c>
      <c r="E284">
        <v>6150</v>
      </c>
      <c r="F284" t="s">
        <v>25</v>
      </c>
      <c r="G284">
        <v>3</v>
      </c>
      <c r="H284" t="s">
        <v>68</v>
      </c>
      <c r="I284">
        <v>12</v>
      </c>
      <c r="J284" s="10">
        <f t="shared" si="4"/>
        <v>3</v>
      </c>
    </row>
    <row r="285" spans="1:10" x14ac:dyDescent="0.2">
      <c r="A285" s="6">
        <v>43427</v>
      </c>
      <c r="B285">
        <v>2006</v>
      </c>
      <c r="C285">
        <v>1118</v>
      </c>
      <c r="D285">
        <v>284</v>
      </c>
      <c r="E285">
        <v>6300</v>
      </c>
      <c r="F285" t="s">
        <v>25</v>
      </c>
      <c r="G285">
        <v>7</v>
      </c>
      <c r="H285" t="s">
        <v>68</v>
      </c>
      <c r="I285">
        <v>13</v>
      </c>
      <c r="J285" s="10">
        <f t="shared" si="4"/>
        <v>7</v>
      </c>
    </row>
    <row r="286" spans="1:10" x14ac:dyDescent="0.2">
      <c r="A286" s="6">
        <v>43417</v>
      </c>
      <c r="B286">
        <v>2008</v>
      </c>
      <c r="C286">
        <v>1118</v>
      </c>
      <c r="D286">
        <v>285</v>
      </c>
      <c r="E286">
        <v>6250</v>
      </c>
      <c r="F286" t="s">
        <v>25</v>
      </c>
      <c r="G286">
        <v>5</v>
      </c>
      <c r="H286" t="s">
        <v>68</v>
      </c>
      <c r="I286">
        <v>11</v>
      </c>
      <c r="J286" s="10">
        <f t="shared" si="4"/>
        <v>5</v>
      </c>
    </row>
    <row r="287" spans="1:10" x14ac:dyDescent="0.2">
      <c r="A287" s="6">
        <v>43417</v>
      </c>
      <c r="B287">
        <v>2008</v>
      </c>
      <c r="C287">
        <v>1118</v>
      </c>
      <c r="D287">
        <v>286</v>
      </c>
      <c r="E287">
        <v>7300</v>
      </c>
      <c r="F287" t="s">
        <v>25</v>
      </c>
      <c r="G287">
        <v>3</v>
      </c>
      <c r="H287" t="s">
        <v>68</v>
      </c>
      <c r="I287">
        <v>11</v>
      </c>
      <c r="J287" s="10">
        <f t="shared" si="4"/>
        <v>3</v>
      </c>
    </row>
    <row r="288" spans="1:10" x14ac:dyDescent="0.2">
      <c r="A288" s="6">
        <v>43417</v>
      </c>
      <c r="B288">
        <v>2008</v>
      </c>
      <c r="C288">
        <v>1118</v>
      </c>
      <c r="D288">
        <v>287</v>
      </c>
      <c r="E288">
        <v>7600</v>
      </c>
      <c r="F288" t="s">
        <v>25</v>
      </c>
      <c r="G288">
        <v>4</v>
      </c>
      <c r="H288" t="s">
        <v>68</v>
      </c>
      <c r="I288">
        <v>11</v>
      </c>
      <c r="J288" s="10">
        <f t="shared" si="4"/>
        <v>4</v>
      </c>
    </row>
    <row r="289" spans="1:10" x14ac:dyDescent="0.2">
      <c r="A289" s="6">
        <v>43405</v>
      </c>
      <c r="B289">
        <v>2007</v>
      </c>
      <c r="C289">
        <v>1118</v>
      </c>
      <c r="D289">
        <v>288</v>
      </c>
      <c r="E289">
        <v>7500</v>
      </c>
      <c r="F289" t="s">
        <v>25</v>
      </c>
      <c r="G289">
        <v>6</v>
      </c>
      <c r="H289" t="s">
        <v>68</v>
      </c>
      <c r="I289">
        <v>12</v>
      </c>
      <c r="J289" s="10">
        <f t="shared" si="4"/>
        <v>6</v>
      </c>
    </row>
    <row r="290" spans="1:10" x14ac:dyDescent="0.2">
      <c r="A290" s="6">
        <v>43391</v>
      </c>
      <c r="B290">
        <v>2006</v>
      </c>
      <c r="C290">
        <v>1118</v>
      </c>
      <c r="D290">
        <v>289</v>
      </c>
      <c r="E290">
        <v>7500</v>
      </c>
      <c r="F290" t="s">
        <v>25</v>
      </c>
      <c r="G290">
        <v>30</v>
      </c>
      <c r="H290" t="s">
        <v>26</v>
      </c>
      <c r="I290">
        <v>13</v>
      </c>
      <c r="J290" s="10">
        <f t="shared" si="4"/>
        <v>1</v>
      </c>
    </row>
    <row r="291" spans="1:10" x14ac:dyDescent="0.2">
      <c r="A291" s="6">
        <v>43388</v>
      </c>
      <c r="B291">
        <v>2007</v>
      </c>
      <c r="C291">
        <v>1118</v>
      </c>
      <c r="D291">
        <v>290</v>
      </c>
      <c r="E291">
        <v>6000</v>
      </c>
      <c r="F291" t="s">
        <v>25</v>
      </c>
      <c r="G291">
        <v>2</v>
      </c>
      <c r="H291" t="s">
        <v>68</v>
      </c>
      <c r="I291">
        <v>12</v>
      </c>
      <c r="J291" s="10">
        <f t="shared" si="4"/>
        <v>2</v>
      </c>
    </row>
    <row r="292" spans="1:10" x14ac:dyDescent="0.2">
      <c r="A292" s="6">
        <v>43385</v>
      </c>
      <c r="B292">
        <v>2007</v>
      </c>
      <c r="C292">
        <v>1118</v>
      </c>
      <c r="D292">
        <v>291</v>
      </c>
      <c r="E292">
        <v>6200</v>
      </c>
      <c r="F292" t="s">
        <v>25</v>
      </c>
      <c r="G292">
        <v>12</v>
      </c>
      <c r="H292" t="s">
        <v>68</v>
      </c>
      <c r="I292">
        <v>12</v>
      </c>
      <c r="J292" s="10">
        <f t="shared" si="4"/>
        <v>12</v>
      </c>
    </row>
    <row r="293" spans="1:10" x14ac:dyDescent="0.2">
      <c r="A293" s="6">
        <v>43385</v>
      </c>
      <c r="B293">
        <v>2006</v>
      </c>
      <c r="C293">
        <v>1118</v>
      </c>
      <c r="D293">
        <v>292</v>
      </c>
      <c r="E293">
        <v>7500</v>
      </c>
      <c r="F293" t="s">
        <v>25</v>
      </c>
      <c r="G293">
        <v>5</v>
      </c>
      <c r="H293" t="s">
        <v>68</v>
      </c>
      <c r="I293">
        <v>13</v>
      </c>
      <c r="J293" s="10">
        <f t="shared" si="4"/>
        <v>5</v>
      </c>
    </row>
    <row r="294" spans="1:10" x14ac:dyDescent="0.2">
      <c r="A294" s="6">
        <v>43374</v>
      </c>
      <c r="B294">
        <v>2007</v>
      </c>
      <c r="C294">
        <v>1118</v>
      </c>
      <c r="D294">
        <v>293</v>
      </c>
      <c r="E294">
        <v>6350</v>
      </c>
      <c r="F294" t="s">
        <v>25</v>
      </c>
      <c r="G294">
        <v>8</v>
      </c>
      <c r="H294" t="s">
        <v>68</v>
      </c>
      <c r="I294">
        <v>12</v>
      </c>
      <c r="J294" s="10">
        <f t="shared" si="4"/>
        <v>8</v>
      </c>
    </row>
    <row r="295" spans="1:10" x14ac:dyDescent="0.2">
      <c r="A295" s="6">
        <v>43374</v>
      </c>
      <c r="B295">
        <v>2009</v>
      </c>
      <c r="C295">
        <v>1118</v>
      </c>
      <c r="D295">
        <v>294</v>
      </c>
      <c r="E295">
        <v>6500</v>
      </c>
      <c r="F295" t="s">
        <v>25</v>
      </c>
      <c r="G295">
        <v>60</v>
      </c>
      <c r="H295" t="s">
        <v>26</v>
      </c>
      <c r="I295">
        <v>10</v>
      </c>
      <c r="J295" s="10">
        <f t="shared" si="4"/>
        <v>2</v>
      </c>
    </row>
    <row r="296" spans="1:10" x14ac:dyDescent="0.2">
      <c r="A296" s="6">
        <v>43370</v>
      </c>
      <c r="B296">
        <v>2006</v>
      </c>
      <c r="C296">
        <v>1118</v>
      </c>
      <c r="D296">
        <v>295</v>
      </c>
      <c r="E296">
        <v>6250</v>
      </c>
      <c r="F296" t="s">
        <v>25</v>
      </c>
      <c r="G296">
        <v>7</v>
      </c>
      <c r="H296" t="s">
        <v>68</v>
      </c>
      <c r="I296">
        <v>13</v>
      </c>
      <c r="J296" s="10">
        <f t="shared" si="4"/>
        <v>7</v>
      </c>
    </row>
    <row r="297" spans="1:10" x14ac:dyDescent="0.2">
      <c r="A297" s="6">
        <v>43370</v>
      </c>
      <c r="B297">
        <v>2008</v>
      </c>
      <c r="C297">
        <v>1118</v>
      </c>
      <c r="D297">
        <v>296</v>
      </c>
      <c r="E297">
        <v>7500</v>
      </c>
      <c r="F297" t="s">
        <v>25</v>
      </c>
      <c r="G297">
        <v>5</v>
      </c>
      <c r="H297" t="s">
        <v>68</v>
      </c>
      <c r="I297">
        <v>11</v>
      </c>
      <c r="J297" s="10">
        <f t="shared" si="4"/>
        <v>5</v>
      </c>
    </row>
    <row r="298" spans="1:10" x14ac:dyDescent="0.2">
      <c r="A298" s="6">
        <v>43361</v>
      </c>
      <c r="B298">
        <v>2006</v>
      </c>
      <c r="C298">
        <v>1118</v>
      </c>
      <c r="D298">
        <v>297</v>
      </c>
      <c r="E298">
        <v>6400</v>
      </c>
      <c r="F298" t="s">
        <v>25</v>
      </c>
      <c r="G298">
        <v>9</v>
      </c>
      <c r="H298" t="s">
        <v>68</v>
      </c>
      <c r="I298">
        <v>13</v>
      </c>
      <c r="J298" s="10">
        <f t="shared" si="4"/>
        <v>9</v>
      </c>
    </row>
    <row r="299" spans="1:10" x14ac:dyDescent="0.2">
      <c r="A299" s="6">
        <v>43360</v>
      </c>
      <c r="B299">
        <v>2008</v>
      </c>
      <c r="C299">
        <v>1118</v>
      </c>
      <c r="D299">
        <v>298</v>
      </c>
      <c r="E299">
        <v>7400</v>
      </c>
      <c r="F299" t="s">
        <v>25</v>
      </c>
      <c r="G299">
        <v>6</v>
      </c>
      <c r="H299" t="s">
        <v>68</v>
      </c>
      <c r="I299">
        <v>11</v>
      </c>
      <c r="J299" s="10">
        <f t="shared" si="4"/>
        <v>6</v>
      </c>
    </row>
    <row r="300" spans="1:10" x14ac:dyDescent="0.2">
      <c r="A300" s="6">
        <v>43360</v>
      </c>
      <c r="B300">
        <v>2007</v>
      </c>
      <c r="C300">
        <v>1118</v>
      </c>
      <c r="D300">
        <v>299</v>
      </c>
      <c r="E300">
        <v>7700</v>
      </c>
      <c r="F300" t="s">
        <v>25</v>
      </c>
      <c r="G300">
        <v>5</v>
      </c>
      <c r="H300" t="s">
        <v>68</v>
      </c>
      <c r="I300">
        <v>12</v>
      </c>
      <c r="J300" s="10">
        <f t="shared" si="4"/>
        <v>5</v>
      </c>
    </row>
    <row r="301" spans="1:10" x14ac:dyDescent="0.2">
      <c r="A301" s="6">
        <v>43353</v>
      </c>
      <c r="B301">
        <v>2006</v>
      </c>
      <c r="C301">
        <v>1118</v>
      </c>
      <c r="D301">
        <v>300</v>
      </c>
      <c r="E301">
        <v>6250</v>
      </c>
      <c r="F301" t="s">
        <v>25</v>
      </c>
      <c r="G301">
        <v>13</v>
      </c>
      <c r="H301" t="s">
        <v>68</v>
      </c>
      <c r="I301">
        <v>13</v>
      </c>
      <c r="J301" s="10">
        <f t="shared" si="4"/>
        <v>13</v>
      </c>
    </row>
    <row r="302" spans="1:10" x14ac:dyDescent="0.2">
      <c r="A302" s="6">
        <v>43335</v>
      </c>
      <c r="B302">
        <v>2006</v>
      </c>
      <c r="C302">
        <v>1118</v>
      </c>
      <c r="D302">
        <v>301</v>
      </c>
      <c r="E302">
        <v>6800</v>
      </c>
      <c r="F302" t="s">
        <v>25</v>
      </c>
      <c r="G302">
        <v>8</v>
      </c>
      <c r="H302" t="s">
        <v>68</v>
      </c>
      <c r="I302">
        <v>13</v>
      </c>
      <c r="J302" s="10">
        <f t="shared" si="4"/>
        <v>8</v>
      </c>
    </row>
    <row r="303" spans="1:10" x14ac:dyDescent="0.2">
      <c r="A303" s="6">
        <v>43328</v>
      </c>
      <c r="B303">
        <v>2008</v>
      </c>
      <c r="C303">
        <v>1118</v>
      </c>
      <c r="D303">
        <v>302</v>
      </c>
      <c r="E303">
        <v>7000</v>
      </c>
      <c r="F303" t="s">
        <v>25</v>
      </c>
      <c r="G303">
        <v>12</v>
      </c>
      <c r="H303" t="s">
        <v>68</v>
      </c>
      <c r="I303">
        <v>11</v>
      </c>
      <c r="J303" s="10">
        <f t="shared" si="4"/>
        <v>12</v>
      </c>
    </row>
    <row r="304" spans="1:10" x14ac:dyDescent="0.2">
      <c r="A304" s="6">
        <v>43328</v>
      </c>
      <c r="B304">
        <v>2007</v>
      </c>
      <c r="C304">
        <v>1118</v>
      </c>
      <c r="D304">
        <v>303</v>
      </c>
      <c r="E304">
        <v>6950</v>
      </c>
      <c r="F304" t="s">
        <v>25</v>
      </c>
      <c r="G304">
        <v>90</v>
      </c>
      <c r="H304" t="s">
        <v>26</v>
      </c>
      <c r="I304">
        <v>12</v>
      </c>
      <c r="J304" s="10">
        <f t="shared" si="4"/>
        <v>3</v>
      </c>
    </row>
    <row r="305" spans="1:10" x14ac:dyDescent="0.2">
      <c r="A305" s="6">
        <v>43327</v>
      </c>
      <c r="B305">
        <v>2007</v>
      </c>
      <c r="C305">
        <v>1118</v>
      </c>
      <c r="D305">
        <v>304</v>
      </c>
      <c r="E305">
        <v>7200</v>
      </c>
      <c r="F305" t="s">
        <v>25</v>
      </c>
      <c r="G305">
        <v>6</v>
      </c>
      <c r="H305" t="s">
        <v>68</v>
      </c>
      <c r="I305">
        <v>12</v>
      </c>
      <c r="J305" s="10">
        <f t="shared" si="4"/>
        <v>6</v>
      </c>
    </row>
    <row r="306" spans="1:10" x14ac:dyDescent="0.2">
      <c r="A306" s="6">
        <v>43313</v>
      </c>
      <c r="B306">
        <v>2007</v>
      </c>
      <c r="C306">
        <v>1118</v>
      </c>
      <c r="D306">
        <v>305</v>
      </c>
      <c r="E306">
        <v>7250</v>
      </c>
      <c r="F306" t="s">
        <v>25</v>
      </c>
      <c r="G306">
        <v>7</v>
      </c>
      <c r="H306" t="s">
        <v>68</v>
      </c>
      <c r="I306">
        <v>12</v>
      </c>
      <c r="J306" s="10">
        <f t="shared" si="4"/>
        <v>7</v>
      </c>
    </row>
    <row r="307" spans="1:10" x14ac:dyDescent="0.2">
      <c r="A307" s="6">
        <v>43312</v>
      </c>
      <c r="B307">
        <v>2008</v>
      </c>
      <c r="C307">
        <v>1118</v>
      </c>
      <c r="D307">
        <v>306</v>
      </c>
      <c r="E307">
        <v>5500</v>
      </c>
      <c r="F307" t="s">
        <v>25</v>
      </c>
      <c r="G307">
        <v>6</v>
      </c>
      <c r="H307" t="s">
        <v>68</v>
      </c>
      <c r="I307">
        <v>11</v>
      </c>
      <c r="J307" s="10">
        <f t="shared" si="4"/>
        <v>6</v>
      </c>
    </row>
    <row r="308" spans="1:10" x14ac:dyDescent="0.2">
      <c r="A308" s="6">
        <v>43283</v>
      </c>
      <c r="B308">
        <v>2008</v>
      </c>
      <c r="C308">
        <v>1118</v>
      </c>
      <c r="D308">
        <v>307</v>
      </c>
      <c r="E308">
        <v>8500</v>
      </c>
      <c r="F308" t="s">
        <v>25</v>
      </c>
      <c r="G308">
        <v>5</v>
      </c>
      <c r="H308" t="s">
        <v>68</v>
      </c>
      <c r="I308">
        <v>11</v>
      </c>
      <c r="J308" s="10">
        <f t="shared" si="4"/>
        <v>5</v>
      </c>
    </row>
    <row r="309" spans="1:10" x14ac:dyDescent="0.2">
      <c r="A309" s="6">
        <v>43283</v>
      </c>
      <c r="B309">
        <v>2007</v>
      </c>
      <c r="C309">
        <v>1118</v>
      </c>
      <c r="D309">
        <v>308</v>
      </c>
      <c r="E309">
        <v>8000</v>
      </c>
      <c r="F309" t="s">
        <v>25</v>
      </c>
      <c r="G309">
        <v>6</v>
      </c>
      <c r="H309" t="s">
        <v>68</v>
      </c>
      <c r="I309">
        <v>12</v>
      </c>
      <c r="J309" s="10">
        <f t="shared" si="4"/>
        <v>6</v>
      </c>
    </row>
    <row r="310" spans="1:10" x14ac:dyDescent="0.2">
      <c r="A310" s="6">
        <v>43258</v>
      </c>
      <c r="B310">
        <v>2008</v>
      </c>
      <c r="C310">
        <v>1118</v>
      </c>
      <c r="D310">
        <v>309</v>
      </c>
      <c r="E310">
        <v>8000</v>
      </c>
      <c r="F310" t="s">
        <v>25</v>
      </c>
      <c r="G310">
        <v>6</v>
      </c>
      <c r="H310" t="s">
        <v>68</v>
      </c>
      <c r="I310">
        <v>11</v>
      </c>
      <c r="J310" s="10">
        <f t="shared" si="4"/>
        <v>6</v>
      </c>
    </row>
    <row r="311" spans="1:10" x14ac:dyDescent="0.2">
      <c r="A311" s="6">
        <v>43257</v>
      </c>
      <c r="B311">
        <v>2008</v>
      </c>
      <c r="C311">
        <v>1118</v>
      </c>
      <c r="D311">
        <v>310</v>
      </c>
      <c r="E311">
        <v>8000</v>
      </c>
      <c r="F311" t="s">
        <v>25</v>
      </c>
      <c r="G311">
        <v>6</v>
      </c>
      <c r="H311" t="s">
        <v>68</v>
      </c>
      <c r="I311">
        <v>11</v>
      </c>
      <c r="J311" s="10">
        <f t="shared" si="4"/>
        <v>6</v>
      </c>
    </row>
    <row r="312" spans="1:10" x14ac:dyDescent="0.2">
      <c r="A312" s="6">
        <v>43241</v>
      </c>
      <c r="B312">
        <v>2008</v>
      </c>
      <c r="C312">
        <v>1118</v>
      </c>
      <c r="D312">
        <v>311</v>
      </c>
      <c r="E312">
        <v>9000</v>
      </c>
      <c r="F312" t="s">
        <v>25</v>
      </c>
      <c r="G312">
        <v>6</v>
      </c>
      <c r="H312" t="s">
        <v>68</v>
      </c>
      <c r="I312">
        <v>11</v>
      </c>
      <c r="J312" s="10">
        <f t="shared" si="4"/>
        <v>6</v>
      </c>
    </row>
    <row r="313" spans="1:10" x14ac:dyDescent="0.2">
      <c r="A313" s="6">
        <v>43228</v>
      </c>
      <c r="B313">
        <v>2009</v>
      </c>
      <c r="C313">
        <v>1118</v>
      </c>
      <c r="D313">
        <v>312</v>
      </c>
      <c r="E313">
        <v>8000</v>
      </c>
      <c r="F313" t="s">
        <v>25</v>
      </c>
      <c r="G313">
        <v>6</v>
      </c>
      <c r="H313" t="s">
        <v>68</v>
      </c>
      <c r="I313">
        <v>10</v>
      </c>
      <c r="J313" s="10">
        <f t="shared" si="4"/>
        <v>6</v>
      </c>
    </row>
    <row r="314" spans="1:10" x14ac:dyDescent="0.2">
      <c r="A314" s="6">
        <v>43215</v>
      </c>
      <c r="B314">
        <v>2007</v>
      </c>
      <c r="C314">
        <v>1118</v>
      </c>
      <c r="D314">
        <v>313</v>
      </c>
      <c r="E314">
        <v>8300</v>
      </c>
      <c r="F314" t="s">
        <v>25</v>
      </c>
      <c r="G314">
        <v>12</v>
      </c>
      <c r="H314" t="s">
        <v>68</v>
      </c>
      <c r="I314">
        <v>12</v>
      </c>
      <c r="J314" s="10">
        <f t="shared" si="4"/>
        <v>12</v>
      </c>
    </row>
    <row r="315" spans="1:10" x14ac:dyDescent="0.2">
      <c r="A315" s="6">
        <v>43214</v>
      </c>
      <c r="B315">
        <v>2007</v>
      </c>
      <c r="C315">
        <v>1118</v>
      </c>
      <c r="D315">
        <v>314</v>
      </c>
      <c r="E315">
        <v>8300</v>
      </c>
      <c r="F315" t="s">
        <v>25</v>
      </c>
      <c r="G315">
        <v>5</v>
      </c>
      <c r="H315" t="s">
        <v>68</v>
      </c>
      <c r="I315">
        <v>12</v>
      </c>
      <c r="J315" s="10">
        <f t="shared" si="4"/>
        <v>5</v>
      </c>
    </row>
    <row r="316" spans="1:10" x14ac:dyDescent="0.2">
      <c r="A316" s="6">
        <v>43196</v>
      </c>
      <c r="B316">
        <v>2007</v>
      </c>
      <c r="C316">
        <v>1118</v>
      </c>
      <c r="D316">
        <v>315</v>
      </c>
      <c r="E316">
        <v>8300</v>
      </c>
      <c r="F316" t="s">
        <v>25</v>
      </c>
      <c r="G316">
        <v>6</v>
      </c>
      <c r="H316" t="s">
        <v>68</v>
      </c>
      <c r="I316">
        <v>12</v>
      </c>
      <c r="J316" s="10">
        <f t="shared" si="4"/>
        <v>6</v>
      </c>
    </row>
    <row r="317" spans="1:10" x14ac:dyDescent="0.2">
      <c r="A317" s="6">
        <v>43178</v>
      </c>
      <c r="B317">
        <v>2006</v>
      </c>
      <c r="C317">
        <v>1118</v>
      </c>
      <c r="D317">
        <v>316</v>
      </c>
      <c r="E317">
        <v>7650</v>
      </c>
      <c r="F317" t="s">
        <v>25</v>
      </c>
      <c r="G317">
        <v>7</v>
      </c>
      <c r="H317" t="s">
        <v>68</v>
      </c>
      <c r="I317">
        <v>13</v>
      </c>
      <c r="J317" s="10">
        <f t="shared" si="4"/>
        <v>7</v>
      </c>
    </row>
    <row r="318" spans="1:10" x14ac:dyDescent="0.2">
      <c r="A318" s="6">
        <v>43174</v>
      </c>
      <c r="B318">
        <v>2007</v>
      </c>
      <c r="C318">
        <v>1118</v>
      </c>
      <c r="D318">
        <v>317</v>
      </c>
      <c r="E318">
        <v>9300</v>
      </c>
      <c r="F318" t="s">
        <v>25</v>
      </c>
      <c r="G318">
        <v>13</v>
      </c>
      <c r="H318" t="s">
        <v>68</v>
      </c>
      <c r="I318">
        <v>12</v>
      </c>
      <c r="J318" s="10">
        <f t="shared" si="4"/>
        <v>13</v>
      </c>
    </row>
    <row r="319" spans="1:10" x14ac:dyDescent="0.2">
      <c r="A319" s="6">
        <v>43167</v>
      </c>
      <c r="B319">
        <v>2007</v>
      </c>
      <c r="C319">
        <v>1118</v>
      </c>
      <c r="D319">
        <v>318</v>
      </c>
      <c r="E319">
        <v>7200</v>
      </c>
      <c r="F319" t="s">
        <v>25</v>
      </c>
      <c r="G319">
        <v>5</v>
      </c>
      <c r="H319" t="s">
        <v>68</v>
      </c>
      <c r="I319">
        <v>12</v>
      </c>
      <c r="J319" s="10">
        <f t="shared" si="4"/>
        <v>5</v>
      </c>
    </row>
    <row r="320" spans="1:10" x14ac:dyDescent="0.2">
      <c r="A320" s="6">
        <v>43159</v>
      </c>
      <c r="B320">
        <v>2006</v>
      </c>
      <c r="C320">
        <v>1118</v>
      </c>
      <c r="D320">
        <v>319</v>
      </c>
      <c r="E320">
        <v>8750</v>
      </c>
      <c r="F320" t="s">
        <v>25</v>
      </c>
      <c r="G320">
        <v>12</v>
      </c>
      <c r="H320" t="s">
        <v>68</v>
      </c>
      <c r="I320">
        <v>13</v>
      </c>
      <c r="J320" s="10">
        <f t="shared" si="4"/>
        <v>12</v>
      </c>
    </row>
    <row r="321" spans="1:10" x14ac:dyDescent="0.2">
      <c r="A321" s="6">
        <v>43144</v>
      </c>
      <c r="B321">
        <v>2006</v>
      </c>
      <c r="C321">
        <v>1118</v>
      </c>
      <c r="D321">
        <v>320</v>
      </c>
      <c r="E321">
        <v>7000</v>
      </c>
      <c r="F321" t="s">
        <v>25</v>
      </c>
      <c r="G321">
        <v>13</v>
      </c>
      <c r="H321" t="s">
        <v>68</v>
      </c>
      <c r="I321">
        <v>13</v>
      </c>
      <c r="J321" s="10">
        <f t="shared" si="4"/>
        <v>13</v>
      </c>
    </row>
    <row r="322" spans="1:10" x14ac:dyDescent="0.2">
      <c r="A322" s="6">
        <v>43144</v>
      </c>
      <c r="B322">
        <v>2008</v>
      </c>
      <c r="C322">
        <v>1118</v>
      </c>
      <c r="D322">
        <v>321</v>
      </c>
      <c r="E322">
        <v>7200</v>
      </c>
      <c r="F322" t="s">
        <v>25</v>
      </c>
      <c r="G322">
        <v>8</v>
      </c>
      <c r="H322" t="s">
        <v>68</v>
      </c>
      <c r="I322">
        <v>11</v>
      </c>
      <c r="J322" s="10">
        <f t="shared" ref="J322:J385" si="5">IF(H322="days",ROUND(G322/30,0),IF(H322="years",G322*12,G322))</f>
        <v>8</v>
      </c>
    </row>
    <row r="323" spans="1:10" x14ac:dyDescent="0.2">
      <c r="A323" s="6">
        <v>43143</v>
      </c>
      <c r="B323">
        <v>2008</v>
      </c>
      <c r="C323">
        <v>1118</v>
      </c>
      <c r="D323">
        <v>322</v>
      </c>
      <c r="E323">
        <v>7200</v>
      </c>
      <c r="F323" t="s">
        <v>25</v>
      </c>
      <c r="G323">
        <v>4</v>
      </c>
      <c r="H323" t="s">
        <v>68</v>
      </c>
      <c r="I323">
        <v>11</v>
      </c>
      <c r="J323" s="10">
        <f t="shared" si="5"/>
        <v>4</v>
      </c>
    </row>
    <row r="324" spans="1:10" x14ac:dyDescent="0.2">
      <c r="A324" s="6">
        <v>43139</v>
      </c>
      <c r="B324">
        <v>2007</v>
      </c>
      <c r="C324">
        <v>1118</v>
      </c>
      <c r="D324">
        <v>323</v>
      </c>
      <c r="E324">
        <v>6800</v>
      </c>
      <c r="F324" t="s">
        <v>25</v>
      </c>
      <c r="G324">
        <v>6</v>
      </c>
      <c r="H324" t="s">
        <v>68</v>
      </c>
      <c r="I324">
        <v>12</v>
      </c>
      <c r="J324" s="10">
        <f t="shared" si="5"/>
        <v>6</v>
      </c>
    </row>
    <row r="325" spans="1:10" x14ac:dyDescent="0.2">
      <c r="A325" s="6">
        <v>43122</v>
      </c>
      <c r="B325">
        <v>2006</v>
      </c>
      <c r="C325">
        <v>1118</v>
      </c>
      <c r="D325">
        <v>324</v>
      </c>
      <c r="E325">
        <v>8200</v>
      </c>
      <c r="F325" t="s">
        <v>25</v>
      </c>
      <c r="G325">
        <v>9</v>
      </c>
      <c r="H325" t="s">
        <v>68</v>
      </c>
      <c r="I325">
        <v>13</v>
      </c>
      <c r="J325" s="10">
        <f t="shared" si="5"/>
        <v>9</v>
      </c>
    </row>
    <row r="326" spans="1:10" x14ac:dyDescent="0.2">
      <c r="A326" s="6">
        <v>43122</v>
      </c>
      <c r="B326">
        <v>2008</v>
      </c>
      <c r="C326">
        <v>1118</v>
      </c>
      <c r="D326">
        <v>325</v>
      </c>
      <c r="E326">
        <v>7300</v>
      </c>
      <c r="F326" t="s">
        <v>25</v>
      </c>
      <c r="G326">
        <v>12</v>
      </c>
      <c r="H326" t="s">
        <v>68</v>
      </c>
      <c r="I326">
        <v>11</v>
      </c>
      <c r="J326" s="10">
        <f t="shared" si="5"/>
        <v>12</v>
      </c>
    </row>
    <row r="327" spans="1:10" x14ac:dyDescent="0.2">
      <c r="A327" s="6">
        <v>43117</v>
      </c>
      <c r="B327">
        <v>2009</v>
      </c>
      <c r="C327">
        <v>1118</v>
      </c>
      <c r="D327">
        <v>326</v>
      </c>
      <c r="E327">
        <v>6375</v>
      </c>
      <c r="F327" t="s">
        <v>25</v>
      </c>
      <c r="G327">
        <v>3.5</v>
      </c>
      <c r="H327" t="s">
        <v>68</v>
      </c>
      <c r="I327">
        <v>10</v>
      </c>
      <c r="J327" s="10">
        <f t="shared" si="5"/>
        <v>3.5</v>
      </c>
    </row>
    <row r="328" spans="1:10" x14ac:dyDescent="0.2">
      <c r="A328" s="6">
        <v>43116</v>
      </c>
      <c r="B328">
        <v>2008</v>
      </c>
      <c r="C328">
        <v>1118</v>
      </c>
      <c r="D328">
        <v>327</v>
      </c>
      <c r="E328">
        <v>8100</v>
      </c>
      <c r="F328" t="s">
        <v>25</v>
      </c>
      <c r="G328">
        <v>6</v>
      </c>
      <c r="H328" t="s">
        <v>68</v>
      </c>
      <c r="I328">
        <v>11</v>
      </c>
      <c r="J328" s="10">
        <f t="shared" si="5"/>
        <v>6</v>
      </c>
    </row>
    <row r="329" spans="1:10" x14ac:dyDescent="0.2">
      <c r="A329" s="6">
        <v>43116</v>
      </c>
      <c r="B329">
        <v>2008</v>
      </c>
      <c r="C329">
        <v>1118</v>
      </c>
      <c r="D329">
        <v>328</v>
      </c>
      <c r="E329">
        <v>8250</v>
      </c>
      <c r="F329" t="s">
        <v>25</v>
      </c>
      <c r="G329">
        <v>8</v>
      </c>
      <c r="H329" t="s">
        <v>68</v>
      </c>
      <c r="I329">
        <v>11</v>
      </c>
      <c r="J329" s="10">
        <f t="shared" si="5"/>
        <v>8</v>
      </c>
    </row>
    <row r="330" spans="1:10" x14ac:dyDescent="0.2">
      <c r="A330" s="6">
        <v>43115</v>
      </c>
      <c r="B330">
        <v>2007</v>
      </c>
      <c r="C330">
        <v>1118</v>
      </c>
      <c r="D330">
        <v>329</v>
      </c>
      <c r="E330">
        <v>7500</v>
      </c>
      <c r="F330" t="s">
        <v>25</v>
      </c>
      <c r="G330">
        <v>6</v>
      </c>
      <c r="H330" t="s">
        <v>68</v>
      </c>
      <c r="I330">
        <v>12</v>
      </c>
      <c r="J330" s="10">
        <f t="shared" si="5"/>
        <v>6</v>
      </c>
    </row>
    <row r="331" spans="1:10" x14ac:dyDescent="0.2">
      <c r="A331" s="6">
        <v>43115</v>
      </c>
      <c r="B331">
        <v>2006</v>
      </c>
      <c r="C331">
        <v>1118</v>
      </c>
      <c r="D331">
        <v>330</v>
      </c>
      <c r="E331">
        <v>6850</v>
      </c>
      <c r="F331" t="s">
        <v>25</v>
      </c>
      <c r="G331">
        <v>12</v>
      </c>
      <c r="H331" t="s">
        <v>68</v>
      </c>
      <c r="I331">
        <v>13</v>
      </c>
      <c r="J331" s="10">
        <f t="shared" si="5"/>
        <v>12</v>
      </c>
    </row>
    <row r="332" spans="1:10" x14ac:dyDescent="0.2">
      <c r="A332" s="6">
        <v>43112</v>
      </c>
      <c r="B332">
        <v>2007</v>
      </c>
      <c r="C332">
        <v>1118</v>
      </c>
      <c r="D332">
        <v>331</v>
      </c>
      <c r="E332">
        <v>7250</v>
      </c>
      <c r="F332" t="s">
        <v>25</v>
      </c>
      <c r="G332">
        <v>12</v>
      </c>
      <c r="H332" t="s">
        <v>68</v>
      </c>
      <c r="I332">
        <v>12</v>
      </c>
      <c r="J332" s="10">
        <f t="shared" si="5"/>
        <v>12</v>
      </c>
    </row>
    <row r="333" spans="1:10" x14ac:dyDescent="0.2">
      <c r="A333" s="6">
        <v>43097</v>
      </c>
      <c r="B333">
        <v>2008</v>
      </c>
      <c r="C333">
        <v>1118</v>
      </c>
      <c r="D333">
        <v>332</v>
      </c>
      <c r="E333">
        <v>6000</v>
      </c>
      <c r="F333" t="s">
        <v>25</v>
      </c>
      <c r="G333">
        <v>4</v>
      </c>
      <c r="H333" t="s">
        <v>68</v>
      </c>
      <c r="I333">
        <v>11</v>
      </c>
      <c r="J333" s="10">
        <f t="shared" si="5"/>
        <v>4</v>
      </c>
    </row>
    <row r="334" spans="1:10" x14ac:dyDescent="0.2">
      <c r="A334" s="6">
        <v>43088</v>
      </c>
      <c r="B334">
        <v>2008</v>
      </c>
      <c r="C334">
        <v>1118</v>
      </c>
      <c r="D334">
        <v>333</v>
      </c>
      <c r="E334">
        <v>6100</v>
      </c>
      <c r="F334" t="s">
        <v>25</v>
      </c>
      <c r="G334">
        <v>9</v>
      </c>
      <c r="H334" t="s">
        <v>68</v>
      </c>
      <c r="I334">
        <v>11</v>
      </c>
      <c r="J334" s="10">
        <f t="shared" si="5"/>
        <v>9</v>
      </c>
    </row>
    <row r="335" spans="1:10" x14ac:dyDescent="0.2">
      <c r="A335" s="6">
        <v>43087</v>
      </c>
      <c r="B335">
        <v>2006</v>
      </c>
      <c r="C335">
        <v>1118</v>
      </c>
      <c r="D335">
        <v>334</v>
      </c>
      <c r="E335">
        <v>6000</v>
      </c>
      <c r="F335" t="s">
        <v>25</v>
      </c>
      <c r="G335">
        <v>9</v>
      </c>
      <c r="H335" t="s">
        <v>68</v>
      </c>
      <c r="I335">
        <v>13</v>
      </c>
      <c r="J335" s="10">
        <f t="shared" si="5"/>
        <v>9</v>
      </c>
    </row>
    <row r="336" spans="1:10" x14ac:dyDescent="0.2">
      <c r="A336" s="6">
        <v>43083</v>
      </c>
      <c r="B336">
        <v>2009</v>
      </c>
      <c r="C336">
        <v>1118</v>
      </c>
      <c r="D336">
        <v>335</v>
      </c>
      <c r="E336">
        <v>6250</v>
      </c>
      <c r="F336" t="s">
        <v>25</v>
      </c>
      <c r="G336">
        <v>4</v>
      </c>
      <c r="H336" t="s">
        <v>68</v>
      </c>
      <c r="I336">
        <v>10</v>
      </c>
      <c r="J336" s="10">
        <f t="shared" si="5"/>
        <v>4</v>
      </c>
    </row>
    <row r="337" spans="1:10" x14ac:dyDescent="0.2">
      <c r="A337" s="6">
        <v>43070</v>
      </c>
      <c r="B337">
        <v>2008</v>
      </c>
      <c r="C337">
        <v>1118</v>
      </c>
      <c r="D337">
        <v>336</v>
      </c>
      <c r="E337">
        <v>8100</v>
      </c>
      <c r="F337" t="s">
        <v>25</v>
      </c>
      <c r="G337">
        <v>12</v>
      </c>
      <c r="H337" t="s">
        <v>68</v>
      </c>
      <c r="I337">
        <v>11</v>
      </c>
      <c r="J337" s="10">
        <f t="shared" si="5"/>
        <v>12</v>
      </c>
    </row>
    <row r="338" spans="1:10" x14ac:dyDescent="0.2">
      <c r="A338" s="6">
        <v>43062</v>
      </c>
      <c r="B338">
        <v>2007</v>
      </c>
      <c r="C338">
        <v>1118</v>
      </c>
      <c r="D338">
        <v>337</v>
      </c>
      <c r="E338">
        <v>5800</v>
      </c>
      <c r="F338" t="s">
        <v>25</v>
      </c>
      <c r="G338">
        <v>4</v>
      </c>
      <c r="H338" t="s">
        <v>68</v>
      </c>
      <c r="I338">
        <v>12</v>
      </c>
      <c r="J338" s="10">
        <f t="shared" si="5"/>
        <v>4</v>
      </c>
    </row>
    <row r="339" spans="1:10" x14ac:dyDescent="0.2">
      <c r="A339" s="6">
        <v>43054</v>
      </c>
      <c r="B339">
        <v>2006</v>
      </c>
      <c r="C339">
        <v>1118</v>
      </c>
      <c r="D339">
        <v>338</v>
      </c>
      <c r="E339">
        <v>5900</v>
      </c>
      <c r="F339" t="s">
        <v>25</v>
      </c>
      <c r="G339">
        <v>45</v>
      </c>
      <c r="H339" t="s">
        <v>26</v>
      </c>
      <c r="I339">
        <v>13</v>
      </c>
      <c r="J339" s="10">
        <f t="shared" si="5"/>
        <v>2</v>
      </c>
    </row>
    <row r="340" spans="1:10" x14ac:dyDescent="0.2">
      <c r="A340" s="6">
        <v>43033</v>
      </c>
      <c r="B340">
        <v>2008</v>
      </c>
      <c r="C340">
        <v>1118</v>
      </c>
      <c r="D340">
        <v>339</v>
      </c>
      <c r="E340">
        <v>5900</v>
      </c>
      <c r="F340" t="s">
        <v>25</v>
      </c>
      <c r="G340">
        <v>4</v>
      </c>
      <c r="H340" t="s">
        <v>68</v>
      </c>
      <c r="I340">
        <v>11</v>
      </c>
      <c r="J340" s="10">
        <f t="shared" si="5"/>
        <v>4</v>
      </c>
    </row>
    <row r="341" spans="1:10" x14ac:dyDescent="0.2">
      <c r="A341" s="6">
        <v>43031</v>
      </c>
      <c r="B341">
        <v>2008</v>
      </c>
      <c r="C341">
        <v>1118</v>
      </c>
      <c r="D341">
        <v>340</v>
      </c>
      <c r="E341">
        <v>5800</v>
      </c>
      <c r="F341" t="s">
        <v>25</v>
      </c>
      <c r="G341">
        <v>7</v>
      </c>
      <c r="H341" t="s">
        <v>68</v>
      </c>
      <c r="I341">
        <v>11</v>
      </c>
      <c r="J341" s="10">
        <f t="shared" si="5"/>
        <v>7</v>
      </c>
    </row>
    <row r="342" spans="1:10" x14ac:dyDescent="0.2">
      <c r="A342" s="6">
        <v>43024</v>
      </c>
      <c r="B342">
        <v>2006</v>
      </c>
      <c r="C342">
        <v>1118</v>
      </c>
      <c r="D342">
        <v>341</v>
      </c>
      <c r="E342">
        <v>6450</v>
      </c>
      <c r="F342" t="s">
        <v>25</v>
      </c>
      <c r="G342">
        <v>10</v>
      </c>
      <c r="H342" t="s">
        <v>68</v>
      </c>
      <c r="I342">
        <v>13</v>
      </c>
      <c r="J342" s="10">
        <f t="shared" si="5"/>
        <v>10</v>
      </c>
    </row>
    <row r="343" spans="1:10" x14ac:dyDescent="0.2">
      <c r="A343" s="6">
        <v>43023</v>
      </c>
      <c r="B343">
        <v>2007</v>
      </c>
      <c r="C343">
        <v>1118</v>
      </c>
      <c r="D343">
        <v>342</v>
      </c>
      <c r="E343">
        <v>6500</v>
      </c>
      <c r="F343" t="s">
        <v>25</v>
      </c>
      <c r="G343">
        <v>13</v>
      </c>
      <c r="H343" t="s">
        <v>68</v>
      </c>
      <c r="I343">
        <v>12</v>
      </c>
      <c r="J343" s="10">
        <f t="shared" si="5"/>
        <v>13</v>
      </c>
    </row>
    <row r="344" spans="1:10" x14ac:dyDescent="0.2">
      <c r="A344" s="6">
        <v>43021</v>
      </c>
      <c r="B344">
        <v>2008</v>
      </c>
      <c r="C344">
        <v>1118</v>
      </c>
      <c r="D344">
        <v>343</v>
      </c>
      <c r="E344">
        <v>6800</v>
      </c>
      <c r="F344" t="s">
        <v>25</v>
      </c>
      <c r="G344">
        <v>3</v>
      </c>
      <c r="H344" t="s">
        <v>68</v>
      </c>
      <c r="I344">
        <v>11</v>
      </c>
      <c r="J344" s="10">
        <f t="shared" si="5"/>
        <v>3</v>
      </c>
    </row>
    <row r="345" spans="1:10" x14ac:dyDescent="0.2">
      <c r="A345" s="6">
        <v>43017</v>
      </c>
      <c r="B345">
        <v>2006</v>
      </c>
      <c r="C345">
        <v>1118</v>
      </c>
      <c r="D345">
        <v>344</v>
      </c>
      <c r="E345">
        <v>7750</v>
      </c>
      <c r="F345" t="s">
        <v>25</v>
      </c>
      <c r="G345">
        <v>7</v>
      </c>
      <c r="H345" t="s">
        <v>68</v>
      </c>
      <c r="I345">
        <v>13</v>
      </c>
      <c r="J345" s="10">
        <f t="shared" si="5"/>
        <v>7</v>
      </c>
    </row>
    <row r="346" spans="1:10" x14ac:dyDescent="0.2">
      <c r="A346" s="6">
        <v>43017</v>
      </c>
      <c r="B346">
        <v>2007</v>
      </c>
      <c r="C346">
        <v>1118</v>
      </c>
      <c r="D346">
        <v>345</v>
      </c>
      <c r="E346">
        <v>6500</v>
      </c>
      <c r="F346" t="s">
        <v>25</v>
      </c>
      <c r="G346">
        <v>13</v>
      </c>
      <c r="H346" t="s">
        <v>68</v>
      </c>
      <c r="I346">
        <v>12</v>
      </c>
      <c r="J346" s="10">
        <f t="shared" si="5"/>
        <v>13</v>
      </c>
    </row>
    <row r="347" spans="1:10" x14ac:dyDescent="0.2">
      <c r="A347" s="6">
        <v>43013</v>
      </c>
      <c r="B347">
        <v>2008</v>
      </c>
      <c r="C347">
        <v>1118</v>
      </c>
      <c r="D347">
        <v>346</v>
      </c>
      <c r="E347">
        <v>6450</v>
      </c>
      <c r="F347" t="s">
        <v>25</v>
      </c>
      <c r="G347">
        <v>9</v>
      </c>
      <c r="H347" t="s">
        <v>68</v>
      </c>
      <c r="I347">
        <v>11</v>
      </c>
      <c r="J347" s="10">
        <f t="shared" si="5"/>
        <v>9</v>
      </c>
    </row>
    <row r="348" spans="1:10" x14ac:dyDescent="0.2">
      <c r="A348" s="6">
        <v>43010</v>
      </c>
      <c r="B348">
        <v>2008</v>
      </c>
      <c r="C348">
        <v>1118</v>
      </c>
      <c r="D348">
        <v>347</v>
      </c>
      <c r="E348">
        <v>6950</v>
      </c>
      <c r="F348" t="s">
        <v>25</v>
      </c>
      <c r="G348">
        <v>8</v>
      </c>
      <c r="H348" t="s">
        <v>68</v>
      </c>
      <c r="I348">
        <v>11</v>
      </c>
      <c r="J348" s="10">
        <f t="shared" si="5"/>
        <v>8</v>
      </c>
    </row>
    <row r="349" spans="1:10" x14ac:dyDescent="0.2">
      <c r="A349" s="6">
        <v>43005</v>
      </c>
      <c r="B349">
        <v>2006</v>
      </c>
      <c r="C349">
        <v>1118</v>
      </c>
      <c r="D349">
        <v>348</v>
      </c>
      <c r="E349">
        <v>6900</v>
      </c>
      <c r="F349" t="s">
        <v>25</v>
      </c>
      <c r="G349">
        <v>13</v>
      </c>
      <c r="H349" t="s">
        <v>68</v>
      </c>
      <c r="I349">
        <v>13</v>
      </c>
      <c r="J349" s="10">
        <f t="shared" si="5"/>
        <v>13</v>
      </c>
    </row>
    <row r="350" spans="1:10" x14ac:dyDescent="0.2">
      <c r="A350" s="6">
        <v>42979</v>
      </c>
      <c r="B350">
        <v>2007</v>
      </c>
      <c r="C350">
        <v>1118</v>
      </c>
      <c r="D350">
        <v>349</v>
      </c>
      <c r="E350">
        <v>6400</v>
      </c>
      <c r="F350" t="s">
        <v>25</v>
      </c>
      <c r="G350">
        <v>7</v>
      </c>
      <c r="H350" t="s">
        <v>68</v>
      </c>
      <c r="I350">
        <v>12</v>
      </c>
      <c r="J350" s="10">
        <f t="shared" si="5"/>
        <v>7</v>
      </c>
    </row>
    <row r="351" spans="1:10" x14ac:dyDescent="0.2">
      <c r="A351" s="6">
        <v>42971</v>
      </c>
      <c r="B351">
        <v>2008</v>
      </c>
      <c r="C351">
        <v>1118</v>
      </c>
      <c r="D351">
        <v>350</v>
      </c>
      <c r="E351">
        <v>5600</v>
      </c>
      <c r="F351" t="s">
        <v>25</v>
      </c>
      <c r="G351">
        <v>4</v>
      </c>
      <c r="H351" t="s">
        <v>68</v>
      </c>
      <c r="I351">
        <v>11</v>
      </c>
      <c r="J351" s="10">
        <f t="shared" si="5"/>
        <v>4</v>
      </c>
    </row>
    <row r="352" spans="1:10" x14ac:dyDescent="0.2">
      <c r="A352" s="6">
        <v>42968</v>
      </c>
      <c r="B352">
        <v>2006</v>
      </c>
      <c r="C352">
        <v>1118</v>
      </c>
      <c r="D352">
        <v>351</v>
      </c>
      <c r="E352">
        <v>6250</v>
      </c>
      <c r="F352" t="s">
        <v>25</v>
      </c>
      <c r="G352">
        <v>7</v>
      </c>
      <c r="H352" t="s">
        <v>68</v>
      </c>
      <c r="I352">
        <v>13</v>
      </c>
      <c r="J352" s="10">
        <f t="shared" si="5"/>
        <v>7</v>
      </c>
    </row>
    <row r="353" spans="1:10" x14ac:dyDescent="0.2">
      <c r="A353" s="6">
        <v>42963</v>
      </c>
      <c r="B353">
        <v>2007</v>
      </c>
      <c r="C353">
        <v>1118</v>
      </c>
      <c r="D353">
        <v>352</v>
      </c>
      <c r="E353">
        <v>7200</v>
      </c>
      <c r="F353" t="s">
        <v>25</v>
      </c>
      <c r="G353">
        <v>6</v>
      </c>
      <c r="H353" t="s">
        <v>68</v>
      </c>
      <c r="I353">
        <v>12</v>
      </c>
      <c r="J353" s="10">
        <f t="shared" si="5"/>
        <v>6</v>
      </c>
    </row>
    <row r="354" spans="1:10" x14ac:dyDescent="0.2">
      <c r="A354" s="6">
        <v>42948</v>
      </c>
      <c r="B354">
        <v>2006</v>
      </c>
      <c r="C354">
        <v>1118</v>
      </c>
      <c r="D354">
        <v>353</v>
      </c>
      <c r="E354">
        <v>6200</v>
      </c>
      <c r="F354" t="s">
        <v>25</v>
      </c>
      <c r="G354">
        <v>14</v>
      </c>
      <c r="H354" t="s">
        <v>68</v>
      </c>
      <c r="I354">
        <v>13</v>
      </c>
      <c r="J354" s="10">
        <f t="shared" si="5"/>
        <v>14</v>
      </c>
    </row>
    <row r="355" spans="1:10" x14ac:dyDescent="0.2">
      <c r="A355" s="6">
        <v>42941</v>
      </c>
      <c r="B355">
        <v>2007</v>
      </c>
      <c r="C355">
        <v>1118</v>
      </c>
      <c r="D355">
        <v>354</v>
      </c>
      <c r="E355">
        <v>6325</v>
      </c>
      <c r="F355" t="s">
        <v>25</v>
      </c>
      <c r="G355">
        <v>6</v>
      </c>
      <c r="H355" t="s">
        <v>68</v>
      </c>
      <c r="I355">
        <v>12</v>
      </c>
      <c r="J355" s="10">
        <f t="shared" si="5"/>
        <v>6</v>
      </c>
    </row>
    <row r="356" spans="1:10" x14ac:dyDescent="0.2">
      <c r="A356" s="6">
        <v>42933</v>
      </c>
      <c r="B356">
        <v>2008</v>
      </c>
      <c r="C356">
        <v>1118</v>
      </c>
      <c r="D356">
        <v>355</v>
      </c>
      <c r="E356">
        <v>6000</v>
      </c>
      <c r="F356" t="s">
        <v>25</v>
      </c>
      <c r="G356">
        <v>6</v>
      </c>
      <c r="H356" t="s">
        <v>68</v>
      </c>
      <c r="I356">
        <v>11</v>
      </c>
      <c r="J356" s="10">
        <f t="shared" si="5"/>
        <v>6</v>
      </c>
    </row>
    <row r="357" spans="1:10" x14ac:dyDescent="0.2">
      <c r="A357" s="6">
        <v>42926</v>
      </c>
      <c r="B357">
        <v>2008</v>
      </c>
      <c r="C357">
        <v>1118</v>
      </c>
      <c r="D357">
        <v>356</v>
      </c>
      <c r="E357">
        <v>6500</v>
      </c>
      <c r="F357" t="s">
        <v>25</v>
      </c>
      <c r="G357">
        <v>6</v>
      </c>
      <c r="H357" t="s">
        <v>68</v>
      </c>
      <c r="I357">
        <v>11</v>
      </c>
      <c r="J357" s="10">
        <f t="shared" si="5"/>
        <v>6</v>
      </c>
    </row>
    <row r="358" spans="1:10" x14ac:dyDescent="0.2">
      <c r="A358" s="6">
        <v>42907</v>
      </c>
      <c r="B358">
        <v>2008</v>
      </c>
      <c r="C358">
        <v>1118</v>
      </c>
      <c r="D358">
        <v>357</v>
      </c>
      <c r="E358">
        <v>5450</v>
      </c>
      <c r="F358" t="s">
        <v>25</v>
      </c>
      <c r="G358">
        <v>4</v>
      </c>
      <c r="H358" t="s">
        <v>68</v>
      </c>
      <c r="I358">
        <v>11</v>
      </c>
      <c r="J358" s="10">
        <f t="shared" si="5"/>
        <v>4</v>
      </c>
    </row>
    <row r="359" spans="1:10" x14ac:dyDescent="0.2">
      <c r="A359" s="6">
        <v>42900</v>
      </c>
      <c r="B359">
        <v>2007</v>
      </c>
      <c r="C359">
        <v>1118</v>
      </c>
      <c r="D359">
        <v>358</v>
      </c>
      <c r="E359">
        <v>5900</v>
      </c>
      <c r="F359" t="s">
        <v>25</v>
      </c>
      <c r="G359">
        <v>5</v>
      </c>
      <c r="H359" t="s">
        <v>68</v>
      </c>
      <c r="I359">
        <v>12</v>
      </c>
      <c r="J359" s="10">
        <f t="shared" si="5"/>
        <v>5</v>
      </c>
    </row>
    <row r="360" spans="1:10" x14ac:dyDescent="0.2">
      <c r="A360" s="6">
        <v>42877</v>
      </c>
      <c r="B360">
        <v>2006</v>
      </c>
      <c r="C360">
        <v>1118</v>
      </c>
      <c r="D360">
        <v>359</v>
      </c>
      <c r="E360">
        <v>6150</v>
      </c>
      <c r="F360" t="s">
        <v>25</v>
      </c>
      <c r="G360">
        <v>2</v>
      </c>
      <c r="H360" t="s">
        <v>68</v>
      </c>
      <c r="I360">
        <v>13</v>
      </c>
      <c r="J360" s="10">
        <f t="shared" si="5"/>
        <v>2</v>
      </c>
    </row>
    <row r="361" spans="1:10" x14ac:dyDescent="0.2">
      <c r="A361" s="6">
        <v>42864</v>
      </c>
      <c r="B361">
        <v>2007</v>
      </c>
      <c r="C361">
        <v>1118</v>
      </c>
      <c r="D361">
        <v>360</v>
      </c>
      <c r="E361">
        <v>5450</v>
      </c>
      <c r="F361" t="s">
        <v>25</v>
      </c>
      <c r="G361">
        <v>1</v>
      </c>
      <c r="H361" t="s">
        <v>68</v>
      </c>
      <c r="I361">
        <v>12</v>
      </c>
      <c r="J361" s="10">
        <f t="shared" si="5"/>
        <v>1</v>
      </c>
    </row>
    <row r="362" spans="1:10" x14ac:dyDescent="0.2">
      <c r="A362" s="6">
        <v>42830</v>
      </c>
      <c r="B362">
        <v>2008</v>
      </c>
      <c r="C362">
        <v>1118</v>
      </c>
      <c r="D362">
        <v>361</v>
      </c>
      <c r="E362">
        <v>6000</v>
      </c>
      <c r="F362" t="s">
        <v>25</v>
      </c>
      <c r="G362">
        <v>6</v>
      </c>
      <c r="H362" t="s">
        <v>68</v>
      </c>
      <c r="I362">
        <v>11</v>
      </c>
      <c r="J362" s="10">
        <f t="shared" si="5"/>
        <v>6</v>
      </c>
    </row>
    <row r="363" spans="1:10" x14ac:dyDescent="0.2">
      <c r="A363" s="6">
        <v>42814</v>
      </c>
      <c r="B363">
        <v>2007</v>
      </c>
      <c r="C363">
        <v>1118</v>
      </c>
      <c r="D363">
        <v>362</v>
      </c>
      <c r="E363">
        <v>6650</v>
      </c>
      <c r="F363" t="s">
        <v>25</v>
      </c>
      <c r="G363">
        <v>12</v>
      </c>
      <c r="H363" t="s">
        <v>68</v>
      </c>
      <c r="I363">
        <v>12</v>
      </c>
      <c r="J363" s="10">
        <f t="shared" si="5"/>
        <v>12</v>
      </c>
    </row>
    <row r="364" spans="1:10" x14ac:dyDescent="0.2">
      <c r="A364" s="6">
        <v>42795</v>
      </c>
      <c r="B364">
        <v>2007</v>
      </c>
      <c r="C364">
        <v>1118</v>
      </c>
      <c r="D364">
        <v>363</v>
      </c>
      <c r="E364">
        <v>6000</v>
      </c>
      <c r="F364" t="s">
        <v>25</v>
      </c>
      <c r="G364">
        <v>4</v>
      </c>
      <c r="H364" t="s">
        <v>68</v>
      </c>
      <c r="I364">
        <v>12</v>
      </c>
      <c r="J364" s="10">
        <f t="shared" si="5"/>
        <v>4</v>
      </c>
    </row>
    <row r="365" spans="1:10" x14ac:dyDescent="0.2">
      <c r="A365" s="6">
        <v>42787</v>
      </c>
      <c r="B365">
        <v>2006</v>
      </c>
      <c r="C365">
        <v>1118</v>
      </c>
      <c r="D365">
        <v>364</v>
      </c>
      <c r="E365">
        <v>6500</v>
      </c>
      <c r="F365" t="s">
        <v>25</v>
      </c>
      <c r="G365">
        <v>13</v>
      </c>
      <c r="H365" t="s">
        <v>68</v>
      </c>
      <c r="I365">
        <v>13</v>
      </c>
      <c r="J365" s="10">
        <f t="shared" si="5"/>
        <v>13</v>
      </c>
    </row>
    <row r="366" spans="1:10" x14ac:dyDescent="0.2">
      <c r="A366" s="6">
        <v>42781</v>
      </c>
      <c r="B366">
        <v>2007</v>
      </c>
      <c r="C366">
        <v>1118</v>
      </c>
      <c r="D366">
        <v>365</v>
      </c>
      <c r="E366">
        <v>6000</v>
      </c>
      <c r="F366" t="s">
        <v>25</v>
      </c>
      <c r="G366">
        <v>5</v>
      </c>
      <c r="H366" t="s">
        <v>68</v>
      </c>
      <c r="I366">
        <v>12</v>
      </c>
      <c r="J366" s="10">
        <f t="shared" si="5"/>
        <v>5</v>
      </c>
    </row>
    <row r="367" spans="1:10" x14ac:dyDescent="0.2">
      <c r="A367" s="6">
        <v>42780</v>
      </c>
      <c r="B367">
        <v>2007</v>
      </c>
      <c r="C367">
        <v>1118</v>
      </c>
      <c r="D367">
        <v>366</v>
      </c>
      <c r="E367">
        <v>5500</v>
      </c>
      <c r="F367" t="s">
        <v>25</v>
      </c>
      <c r="G367">
        <v>4</v>
      </c>
      <c r="H367" t="s">
        <v>68</v>
      </c>
      <c r="I367">
        <v>12</v>
      </c>
      <c r="J367" s="10">
        <f t="shared" si="5"/>
        <v>4</v>
      </c>
    </row>
    <row r="368" spans="1:10" x14ac:dyDescent="0.2">
      <c r="A368" s="6">
        <v>42779</v>
      </c>
      <c r="B368">
        <v>2006</v>
      </c>
      <c r="C368">
        <v>1118</v>
      </c>
      <c r="D368">
        <v>367</v>
      </c>
      <c r="E368">
        <v>5700</v>
      </c>
      <c r="F368" t="s">
        <v>25</v>
      </c>
      <c r="G368">
        <v>7</v>
      </c>
      <c r="H368" t="s">
        <v>68</v>
      </c>
      <c r="I368">
        <v>13</v>
      </c>
      <c r="J368" s="10">
        <f t="shared" si="5"/>
        <v>7</v>
      </c>
    </row>
    <row r="369" spans="1:10" x14ac:dyDescent="0.2">
      <c r="A369" s="6">
        <v>42766</v>
      </c>
      <c r="B369">
        <v>2008</v>
      </c>
      <c r="C369">
        <v>1118</v>
      </c>
      <c r="D369">
        <v>368</v>
      </c>
      <c r="E369">
        <v>6350</v>
      </c>
      <c r="F369" t="s">
        <v>25</v>
      </c>
      <c r="G369">
        <v>8</v>
      </c>
      <c r="H369" t="s">
        <v>68</v>
      </c>
      <c r="I369">
        <v>11</v>
      </c>
      <c r="J369" s="10">
        <f t="shared" si="5"/>
        <v>8</v>
      </c>
    </row>
    <row r="370" spans="1:10" x14ac:dyDescent="0.2">
      <c r="A370" s="6">
        <v>42747</v>
      </c>
      <c r="B370">
        <v>2008</v>
      </c>
      <c r="C370">
        <v>1118</v>
      </c>
      <c r="D370">
        <v>369</v>
      </c>
      <c r="E370">
        <v>6500</v>
      </c>
      <c r="F370" t="s">
        <v>25</v>
      </c>
      <c r="G370">
        <v>16</v>
      </c>
      <c r="H370" t="s">
        <v>68</v>
      </c>
      <c r="I370">
        <v>11</v>
      </c>
      <c r="J370" s="10">
        <f t="shared" si="5"/>
        <v>16</v>
      </c>
    </row>
    <row r="371" spans="1:10" x14ac:dyDescent="0.2">
      <c r="A371" s="6">
        <v>42744</v>
      </c>
      <c r="B371">
        <v>2006</v>
      </c>
      <c r="C371">
        <v>1118</v>
      </c>
      <c r="D371">
        <v>370</v>
      </c>
      <c r="E371">
        <v>5825</v>
      </c>
      <c r="F371" t="s">
        <v>25</v>
      </c>
      <c r="G371">
        <v>30</v>
      </c>
      <c r="H371" t="s">
        <v>26</v>
      </c>
      <c r="I371">
        <v>13</v>
      </c>
      <c r="J371" s="10">
        <f t="shared" si="5"/>
        <v>1</v>
      </c>
    </row>
    <row r="372" spans="1:10" x14ac:dyDescent="0.2">
      <c r="A372" s="6">
        <v>42740</v>
      </c>
      <c r="B372">
        <v>2006</v>
      </c>
      <c r="C372">
        <v>1118</v>
      </c>
      <c r="D372">
        <v>371</v>
      </c>
      <c r="E372">
        <v>5400</v>
      </c>
      <c r="F372" t="s">
        <v>25</v>
      </c>
      <c r="G372">
        <v>6</v>
      </c>
      <c r="H372" t="s">
        <v>68</v>
      </c>
      <c r="I372">
        <v>13</v>
      </c>
      <c r="J372" s="10">
        <f t="shared" si="5"/>
        <v>6</v>
      </c>
    </row>
    <row r="373" spans="1:10" x14ac:dyDescent="0.2">
      <c r="A373" s="6">
        <v>42740</v>
      </c>
      <c r="B373">
        <v>2006</v>
      </c>
      <c r="C373">
        <v>1118</v>
      </c>
      <c r="D373">
        <v>372</v>
      </c>
      <c r="E373">
        <v>6000</v>
      </c>
      <c r="F373" t="s">
        <v>25</v>
      </c>
      <c r="G373">
        <v>10</v>
      </c>
      <c r="H373" t="s">
        <v>68</v>
      </c>
      <c r="I373">
        <v>13</v>
      </c>
      <c r="J373" s="10">
        <f t="shared" si="5"/>
        <v>10</v>
      </c>
    </row>
    <row r="374" spans="1:10" x14ac:dyDescent="0.2">
      <c r="A374" s="6">
        <v>42740</v>
      </c>
      <c r="B374">
        <v>2008</v>
      </c>
      <c r="C374">
        <v>1118</v>
      </c>
      <c r="D374">
        <v>373</v>
      </c>
      <c r="E374">
        <v>6150</v>
      </c>
      <c r="F374" t="s">
        <v>25</v>
      </c>
      <c r="G374">
        <v>9</v>
      </c>
      <c r="H374" t="s">
        <v>68</v>
      </c>
      <c r="I374">
        <v>11</v>
      </c>
      <c r="J374" s="10">
        <f t="shared" si="5"/>
        <v>9</v>
      </c>
    </row>
    <row r="375" spans="1:10" x14ac:dyDescent="0.2">
      <c r="A375" s="6">
        <v>42736</v>
      </c>
      <c r="B375">
        <v>2006</v>
      </c>
      <c r="C375">
        <v>1118</v>
      </c>
      <c r="D375">
        <v>374</v>
      </c>
      <c r="E375">
        <v>6000</v>
      </c>
      <c r="F375" t="s">
        <v>25</v>
      </c>
      <c r="G375">
        <v>12</v>
      </c>
      <c r="H375" t="s">
        <v>68</v>
      </c>
      <c r="I375">
        <v>13</v>
      </c>
      <c r="J375" s="10">
        <f t="shared" si="5"/>
        <v>12</v>
      </c>
    </row>
    <row r="376" spans="1:10" x14ac:dyDescent="0.2">
      <c r="A376" s="6">
        <v>42735</v>
      </c>
      <c r="B376">
        <v>2008</v>
      </c>
      <c r="C376">
        <v>1118</v>
      </c>
      <c r="D376">
        <v>375</v>
      </c>
      <c r="E376">
        <v>6500</v>
      </c>
      <c r="F376" t="s">
        <v>25</v>
      </c>
      <c r="G376">
        <v>12</v>
      </c>
      <c r="H376" t="s">
        <v>68</v>
      </c>
      <c r="I376">
        <v>11</v>
      </c>
      <c r="J376" s="10">
        <f t="shared" si="5"/>
        <v>12</v>
      </c>
    </row>
    <row r="377" spans="1:10" x14ac:dyDescent="0.2">
      <c r="A377" s="6">
        <v>42725</v>
      </c>
      <c r="B377">
        <v>2006</v>
      </c>
      <c r="C377">
        <v>1118</v>
      </c>
      <c r="D377">
        <v>376</v>
      </c>
      <c r="E377">
        <v>5300</v>
      </c>
      <c r="F377" t="s">
        <v>25</v>
      </c>
      <c r="G377">
        <v>6</v>
      </c>
      <c r="H377" t="s">
        <v>68</v>
      </c>
      <c r="I377">
        <v>13</v>
      </c>
      <c r="J377" s="10">
        <f t="shared" si="5"/>
        <v>6</v>
      </c>
    </row>
    <row r="378" spans="1:10" x14ac:dyDescent="0.2">
      <c r="A378" s="6">
        <v>42713</v>
      </c>
      <c r="B378">
        <v>2006</v>
      </c>
      <c r="C378">
        <v>1118</v>
      </c>
      <c r="D378">
        <v>377</v>
      </c>
      <c r="E378">
        <v>6500</v>
      </c>
      <c r="F378" t="s">
        <v>25</v>
      </c>
      <c r="G378">
        <v>6</v>
      </c>
      <c r="H378" t="s">
        <v>68</v>
      </c>
      <c r="I378">
        <v>13</v>
      </c>
      <c r="J378" s="10">
        <f t="shared" si="5"/>
        <v>6</v>
      </c>
    </row>
    <row r="379" spans="1:10" x14ac:dyDescent="0.2">
      <c r="A379" s="6">
        <v>42705</v>
      </c>
      <c r="B379">
        <v>2008</v>
      </c>
      <c r="C379">
        <v>1118</v>
      </c>
      <c r="D379">
        <v>378</v>
      </c>
      <c r="E379">
        <v>5500</v>
      </c>
      <c r="F379" t="s">
        <v>25</v>
      </c>
      <c r="G379">
        <v>40</v>
      </c>
      <c r="H379" t="s">
        <v>26</v>
      </c>
      <c r="I379">
        <v>11</v>
      </c>
      <c r="J379" s="10">
        <f t="shared" si="5"/>
        <v>1</v>
      </c>
    </row>
    <row r="380" spans="1:10" x14ac:dyDescent="0.2">
      <c r="A380" s="6">
        <v>42702</v>
      </c>
      <c r="B380">
        <v>2008</v>
      </c>
      <c r="C380">
        <v>1118</v>
      </c>
      <c r="D380">
        <v>379</v>
      </c>
      <c r="E380">
        <v>6200</v>
      </c>
      <c r="F380" t="s">
        <v>25</v>
      </c>
      <c r="G380">
        <v>11</v>
      </c>
      <c r="H380" t="s">
        <v>68</v>
      </c>
      <c r="I380">
        <v>11</v>
      </c>
      <c r="J380" s="10">
        <f t="shared" si="5"/>
        <v>11</v>
      </c>
    </row>
    <row r="381" spans="1:10" x14ac:dyDescent="0.2">
      <c r="A381" s="6">
        <v>42688</v>
      </c>
      <c r="B381">
        <v>2008</v>
      </c>
      <c r="C381">
        <v>1118</v>
      </c>
      <c r="D381">
        <v>380</v>
      </c>
      <c r="E381">
        <v>5500</v>
      </c>
      <c r="F381" t="s">
        <v>25</v>
      </c>
      <c r="G381">
        <v>63</v>
      </c>
      <c r="H381" t="s">
        <v>26</v>
      </c>
      <c r="I381">
        <v>11</v>
      </c>
      <c r="J381" s="10">
        <f t="shared" si="5"/>
        <v>2</v>
      </c>
    </row>
    <row r="382" spans="1:10" x14ac:dyDescent="0.2">
      <c r="A382" s="6">
        <v>42688</v>
      </c>
      <c r="B382">
        <v>2008</v>
      </c>
      <c r="C382">
        <v>1118</v>
      </c>
      <c r="D382">
        <v>381</v>
      </c>
      <c r="E382">
        <v>6000</v>
      </c>
      <c r="F382" t="s">
        <v>25</v>
      </c>
      <c r="G382">
        <v>8</v>
      </c>
      <c r="H382" t="s">
        <v>68</v>
      </c>
      <c r="I382">
        <v>11</v>
      </c>
      <c r="J382" s="10">
        <f t="shared" si="5"/>
        <v>8</v>
      </c>
    </row>
    <row r="383" spans="1:10" x14ac:dyDescent="0.2">
      <c r="A383" s="6">
        <v>42684</v>
      </c>
      <c r="B383">
        <v>2008</v>
      </c>
      <c r="C383">
        <v>1118</v>
      </c>
      <c r="D383">
        <v>382</v>
      </c>
      <c r="E383">
        <v>6000</v>
      </c>
      <c r="F383" t="s">
        <v>25</v>
      </c>
      <c r="G383">
        <v>30</v>
      </c>
      <c r="H383" t="s">
        <v>26</v>
      </c>
      <c r="I383">
        <v>11</v>
      </c>
      <c r="J383" s="10">
        <f t="shared" si="5"/>
        <v>1</v>
      </c>
    </row>
    <row r="384" spans="1:10" x14ac:dyDescent="0.2">
      <c r="A384" s="6">
        <v>42668</v>
      </c>
      <c r="B384">
        <v>2008</v>
      </c>
      <c r="C384">
        <v>1118</v>
      </c>
      <c r="D384">
        <v>383</v>
      </c>
      <c r="E384">
        <v>5600</v>
      </c>
      <c r="F384" t="s">
        <v>25</v>
      </c>
      <c r="G384">
        <v>9</v>
      </c>
      <c r="H384" t="s">
        <v>68</v>
      </c>
      <c r="I384">
        <v>11</v>
      </c>
      <c r="J384" s="10">
        <f t="shared" si="5"/>
        <v>9</v>
      </c>
    </row>
    <row r="385" spans="1:10" x14ac:dyDescent="0.2">
      <c r="A385" s="6">
        <v>42662</v>
      </c>
      <c r="B385">
        <v>2008</v>
      </c>
      <c r="C385">
        <v>1118</v>
      </c>
      <c r="D385">
        <v>384</v>
      </c>
      <c r="E385">
        <v>6500</v>
      </c>
      <c r="F385" t="s">
        <v>25</v>
      </c>
      <c r="G385">
        <v>6</v>
      </c>
      <c r="H385" t="s">
        <v>68</v>
      </c>
      <c r="I385">
        <v>11</v>
      </c>
      <c r="J385" s="10">
        <f t="shared" si="5"/>
        <v>6</v>
      </c>
    </row>
    <row r="386" spans="1:10" x14ac:dyDescent="0.2">
      <c r="A386" s="6">
        <v>42660</v>
      </c>
      <c r="B386">
        <v>2009</v>
      </c>
      <c r="C386">
        <v>1118</v>
      </c>
      <c r="D386">
        <v>385</v>
      </c>
      <c r="E386">
        <v>6000</v>
      </c>
      <c r="F386" t="s">
        <v>25</v>
      </c>
      <c r="G386">
        <v>3</v>
      </c>
      <c r="H386" t="s">
        <v>68</v>
      </c>
      <c r="I386">
        <v>10</v>
      </c>
      <c r="J386" s="10">
        <f t="shared" ref="J386:J449" si="6">IF(H386="days",ROUND(G386/30,0),IF(H386="years",G386*12,G386))</f>
        <v>3</v>
      </c>
    </row>
    <row r="387" spans="1:10" x14ac:dyDescent="0.2">
      <c r="A387" s="6">
        <v>42658</v>
      </c>
      <c r="B387">
        <v>2007</v>
      </c>
      <c r="C387">
        <v>1118</v>
      </c>
      <c r="D387">
        <v>386</v>
      </c>
      <c r="E387">
        <v>6000</v>
      </c>
      <c r="F387" t="s">
        <v>25</v>
      </c>
      <c r="G387">
        <v>150</v>
      </c>
      <c r="H387" t="s">
        <v>26</v>
      </c>
      <c r="I387">
        <v>12</v>
      </c>
      <c r="J387" s="10">
        <f t="shared" si="6"/>
        <v>5</v>
      </c>
    </row>
    <row r="388" spans="1:10" x14ac:dyDescent="0.2">
      <c r="A388" s="6">
        <v>42656</v>
      </c>
      <c r="B388">
        <v>2008</v>
      </c>
      <c r="C388">
        <v>1118</v>
      </c>
      <c r="D388">
        <v>387</v>
      </c>
      <c r="E388">
        <v>6950</v>
      </c>
      <c r="F388" t="s">
        <v>25</v>
      </c>
      <c r="G388">
        <v>6</v>
      </c>
      <c r="H388" t="s">
        <v>68</v>
      </c>
      <c r="I388">
        <v>11</v>
      </c>
      <c r="J388" s="10">
        <f t="shared" si="6"/>
        <v>6</v>
      </c>
    </row>
    <row r="389" spans="1:10" x14ac:dyDescent="0.2">
      <c r="A389" s="6">
        <v>42650</v>
      </c>
      <c r="B389">
        <v>2007</v>
      </c>
      <c r="C389">
        <v>1118</v>
      </c>
      <c r="D389">
        <v>388</v>
      </c>
      <c r="E389">
        <v>6200</v>
      </c>
      <c r="F389" t="s">
        <v>25</v>
      </c>
      <c r="G389">
        <v>12</v>
      </c>
      <c r="H389" t="s">
        <v>68</v>
      </c>
      <c r="I389">
        <v>12</v>
      </c>
      <c r="J389" s="10">
        <f t="shared" si="6"/>
        <v>12</v>
      </c>
    </row>
    <row r="390" spans="1:10" x14ac:dyDescent="0.2">
      <c r="A390" s="6">
        <v>42646</v>
      </c>
      <c r="B390">
        <v>2008</v>
      </c>
      <c r="C390">
        <v>1118</v>
      </c>
      <c r="D390">
        <v>389</v>
      </c>
      <c r="E390">
        <v>6850</v>
      </c>
      <c r="F390" t="s">
        <v>25</v>
      </c>
      <c r="G390">
        <v>6</v>
      </c>
      <c r="H390" t="s">
        <v>68</v>
      </c>
      <c r="I390">
        <v>11</v>
      </c>
      <c r="J390" s="10">
        <f t="shared" si="6"/>
        <v>6</v>
      </c>
    </row>
    <row r="391" spans="1:10" x14ac:dyDescent="0.2">
      <c r="A391" s="6">
        <v>42646</v>
      </c>
      <c r="B391">
        <v>2006</v>
      </c>
      <c r="C391">
        <v>1118</v>
      </c>
      <c r="D391">
        <v>390</v>
      </c>
      <c r="E391">
        <v>6300</v>
      </c>
      <c r="F391" t="s">
        <v>25</v>
      </c>
      <c r="G391">
        <v>100</v>
      </c>
      <c r="H391" t="s">
        <v>26</v>
      </c>
      <c r="I391">
        <v>13</v>
      </c>
      <c r="J391" s="10">
        <f t="shared" si="6"/>
        <v>3</v>
      </c>
    </row>
    <row r="392" spans="1:10" x14ac:dyDescent="0.2">
      <c r="A392" s="6">
        <v>42633</v>
      </c>
      <c r="B392">
        <v>2006</v>
      </c>
      <c r="C392">
        <v>1118</v>
      </c>
      <c r="D392">
        <v>391</v>
      </c>
      <c r="E392">
        <v>6450</v>
      </c>
      <c r="F392" t="s">
        <v>25</v>
      </c>
      <c r="G392">
        <v>13</v>
      </c>
      <c r="H392" t="s">
        <v>68</v>
      </c>
      <c r="I392">
        <v>13</v>
      </c>
      <c r="J392" s="10">
        <f t="shared" si="6"/>
        <v>13</v>
      </c>
    </row>
    <row r="393" spans="1:10" x14ac:dyDescent="0.2">
      <c r="A393" s="6">
        <v>42633</v>
      </c>
      <c r="B393">
        <v>2006</v>
      </c>
      <c r="C393">
        <v>1118</v>
      </c>
      <c r="D393">
        <v>392</v>
      </c>
      <c r="E393">
        <v>6450</v>
      </c>
      <c r="F393" t="s">
        <v>25</v>
      </c>
      <c r="G393">
        <v>13</v>
      </c>
      <c r="H393" t="s">
        <v>68</v>
      </c>
      <c r="I393">
        <v>13</v>
      </c>
      <c r="J393" s="10">
        <f t="shared" si="6"/>
        <v>13</v>
      </c>
    </row>
    <row r="394" spans="1:10" x14ac:dyDescent="0.2">
      <c r="A394" s="6">
        <v>42632</v>
      </c>
      <c r="B394">
        <v>2009</v>
      </c>
      <c r="C394">
        <v>1118</v>
      </c>
      <c r="D394">
        <v>393</v>
      </c>
      <c r="E394">
        <v>6400</v>
      </c>
      <c r="F394" t="s">
        <v>25</v>
      </c>
      <c r="G394">
        <v>7</v>
      </c>
      <c r="H394" t="s">
        <v>68</v>
      </c>
      <c r="I394">
        <v>10</v>
      </c>
      <c r="J394" s="10">
        <f t="shared" si="6"/>
        <v>7</v>
      </c>
    </row>
    <row r="395" spans="1:10" x14ac:dyDescent="0.2">
      <c r="A395" s="6">
        <v>42627</v>
      </c>
      <c r="B395">
        <v>2007</v>
      </c>
      <c r="C395">
        <v>1118</v>
      </c>
      <c r="D395">
        <v>394</v>
      </c>
      <c r="E395">
        <v>6450</v>
      </c>
      <c r="F395" t="s">
        <v>25</v>
      </c>
      <c r="G395">
        <v>12</v>
      </c>
      <c r="H395" t="s">
        <v>68</v>
      </c>
      <c r="I395">
        <v>12</v>
      </c>
      <c r="J395" s="10">
        <f t="shared" si="6"/>
        <v>12</v>
      </c>
    </row>
    <row r="396" spans="1:10" x14ac:dyDescent="0.2">
      <c r="A396" s="6">
        <v>42626</v>
      </c>
      <c r="B396">
        <v>2006</v>
      </c>
      <c r="C396">
        <v>1118</v>
      </c>
      <c r="D396">
        <v>395</v>
      </c>
      <c r="E396">
        <v>7500</v>
      </c>
      <c r="F396" t="s">
        <v>25</v>
      </c>
      <c r="G396">
        <v>6</v>
      </c>
      <c r="H396" t="s">
        <v>68</v>
      </c>
      <c r="I396">
        <v>13</v>
      </c>
      <c r="J396" s="10">
        <f t="shared" si="6"/>
        <v>6</v>
      </c>
    </row>
    <row r="397" spans="1:10" x14ac:dyDescent="0.2">
      <c r="A397" s="6">
        <v>42614</v>
      </c>
      <c r="B397">
        <v>2006</v>
      </c>
      <c r="C397">
        <v>1118</v>
      </c>
      <c r="D397">
        <v>396</v>
      </c>
      <c r="E397">
        <v>7500</v>
      </c>
      <c r="F397" t="s">
        <v>25</v>
      </c>
      <c r="G397">
        <v>2</v>
      </c>
      <c r="H397" t="s">
        <v>69</v>
      </c>
      <c r="I397">
        <v>13</v>
      </c>
      <c r="J397" s="10">
        <f t="shared" si="6"/>
        <v>24</v>
      </c>
    </row>
    <row r="398" spans="1:10" x14ac:dyDescent="0.2">
      <c r="A398" s="6">
        <v>42611</v>
      </c>
      <c r="B398">
        <v>2007</v>
      </c>
      <c r="C398">
        <v>1118</v>
      </c>
      <c r="D398">
        <v>397</v>
      </c>
      <c r="E398">
        <v>7000</v>
      </c>
      <c r="F398" t="s">
        <v>25</v>
      </c>
      <c r="G398">
        <v>4</v>
      </c>
      <c r="H398" t="s">
        <v>68</v>
      </c>
      <c r="I398">
        <v>12</v>
      </c>
      <c r="J398" s="10">
        <f t="shared" si="6"/>
        <v>4</v>
      </c>
    </row>
    <row r="399" spans="1:10" x14ac:dyDescent="0.2">
      <c r="A399" s="6">
        <v>42597</v>
      </c>
      <c r="B399">
        <v>2006</v>
      </c>
      <c r="C399">
        <v>1118</v>
      </c>
      <c r="D399">
        <v>398</v>
      </c>
      <c r="E399">
        <v>7650</v>
      </c>
      <c r="F399" t="s">
        <v>25</v>
      </c>
      <c r="G399">
        <v>7</v>
      </c>
      <c r="H399" t="s">
        <v>68</v>
      </c>
      <c r="I399">
        <v>13</v>
      </c>
      <c r="J399" s="10">
        <f t="shared" si="6"/>
        <v>7</v>
      </c>
    </row>
    <row r="400" spans="1:10" x14ac:dyDescent="0.2">
      <c r="A400" s="6">
        <v>42585</v>
      </c>
      <c r="B400">
        <v>2007</v>
      </c>
      <c r="C400">
        <v>1118</v>
      </c>
      <c r="D400">
        <v>399</v>
      </c>
      <c r="E400">
        <v>6000</v>
      </c>
      <c r="F400" t="s">
        <v>25</v>
      </c>
      <c r="G400">
        <v>7</v>
      </c>
      <c r="H400" t="s">
        <v>68</v>
      </c>
      <c r="I400">
        <v>12</v>
      </c>
      <c r="J400" s="10">
        <f t="shared" si="6"/>
        <v>7</v>
      </c>
    </row>
    <row r="401" spans="1:10" x14ac:dyDescent="0.2">
      <c r="A401" s="6">
        <v>42583</v>
      </c>
      <c r="B401">
        <v>2008</v>
      </c>
      <c r="C401">
        <v>1118</v>
      </c>
      <c r="D401">
        <v>400</v>
      </c>
      <c r="E401">
        <v>7600</v>
      </c>
      <c r="F401" t="s">
        <v>25</v>
      </c>
      <c r="G401">
        <v>5</v>
      </c>
      <c r="H401" t="s">
        <v>68</v>
      </c>
      <c r="I401">
        <v>11</v>
      </c>
      <c r="J401" s="10">
        <f t="shared" si="6"/>
        <v>5</v>
      </c>
    </row>
    <row r="402" spans="1:10" x14ac:dyDescent="0.2">
      <c r="A402" s="6">
        <v>42576</v>
      </c>
      <c r="B402">
        <v>2007</v>
      </c>
      <c r="C402">
        <v>1118</v>
      </c>
      <c r="D402">
        <v>401</v>
      </c>
      <c r="E402">
        <v>6050</v>
      </c>
      <c r="F402" t="s">
        <v>25</v>
      </c>
      <c r="G402">
        <v>6</v>
      </c>
      <c r="H402" t="s">
        <v>68</v>
      </c>
      <c r="I402">
        <v>12</v>
      </c>
      <c r="J402" s="10">
        <f t="shared" si="6"/>
        <v>6</v>
      </c>
    </row>
    <row r="403" spans="1:10" x14ac:dyDescent="0.2">
      <c r="A403" s="6">
        <v>42571</v>
      </c>
      <c r="B403">
        <v>2007</v>
      </c>
      <c r="C403">
        <v>1118</v>
      </c>
      <c r="D403">
        <v>402</v>
      </c>
      <c r="E403">
        <v>6000</v>
      </c>
      <c r="F403" t="s">
        <v>25</v>
      </c>
      <c r="G403">
        <v>6</v>
      </c>
      <c r="H403" t="s">
        <v>68</v>
      </c>
      <c r="I403">
        <v>12</v>
      </c>
      <c r="J403" s="10">
        <f t="shared" si="6"/>
        <v>6</v>
      </c>
    </row>
    <row r="404" spans="1:10" x14ac:dyDescent="0.2">
      <c r="A404" s="6">
        <v>42570</v>
      </c>
      <c r="B404">
        <v>2007</v>
      </c>
      <c r="C404">
        <v>1118</v>
      </c>
      <c r="D404">
        <v>403</v>
      </c>
      <c r="E404">
        <v>6250</v>
      </c>
      <c r="F404" t="s">
        <v>25</v>
      </c>
      <c r="G404">
        <v>40</v>
      </c>
      <c r="H404" t="s">
        <v>26</v>
      </c>
      <c r="I404">
        <v>12</v>
      </c>
      <c r="J404" s="10">
        <f t="shared" si="6"/>
        <v>1</v>
      </c>
    </row>
    <row r="405" spans="1:10" x14ac:dyDescent="0.2">
      <c r="A405" s="6">
        <v>42570</v>
      </c>
      <c r="B405">
        <v>2006</v>
      </c>
      <c r="C405">
        <v>1118</v>
      </c>
      <c r="D405">
        <v>404</v>
      </c>
      <c r="E405">
        <v>5850</v>
      </c>
      <c r="F405" t="s">
        <v>25</v>
      </c>
      <c r="G405">
        <v>3</v>
      </c>
      <c r="H405" t="s">
        <v>68</v>
      </c>
      <c r="I405">
        <v>13</v>
      </c>
      <c r="J405" s="10">
        <f t="shared" si="6"/>
        <v>3</v>
      </c>
    </row>
    <row r="406" spans="1:10" x14ac:dyDescent="0.2">
      <c r="A406" s="6">
        <v>42559</v>
      </c>
      <c r="B406">
        <v>2008</v>
      </c>
      <c r="C406">
        <v>1118</v>
      </c>
      <c r="D406">
        <v>405</v>
      </c>
      <c r="E406">
        <v>7000</v>
      </c>
      <c r="F406" t="s">
        <v>25</v>
      </c>
      <c r="G406">
        <v>5</v>
      </c>
      <c r="H406" t="s">
        <v>68</v>
      </c>
      <c r="I406">
        <v>11</v>
      </c>
      <c r="J406" s="10">
        <f t="shared" si="6"/>
        <v>5</v>
      </c>
    </row>
    <row r="407" spans="1:10" x14ac:dyDescent="0.2">
      <c r="A407" s="6">
        <v>42535</v>
      </c>
      <c r="B407">
        <v>2006</v>
      </c>
      <c r="C407">
        <v>1118</v>
      </c>
      <c r="D407">
        <v>406</v>
      </c>
      <c r="E407">
        <v>6000</v>
      </c>
      <c r="F407" t="s">
        <v>25</v>
      </c>
      <c r="G407">
        <v>6</v>
      </c>
      <c r="H407" t="s">
        <v>68</v>
      </c>
      <c r="I407">
        <v>13</v>
      </c>
      <c r="J407" s="10">
        <f t="shared" si="6"/>
        <v>6</v>
      </c>
    </row>
    <row r="408" spans="1:10" x14ac:dyDescent="0.2">
      <c r="A408" s="6">
        <v>42535</v>
      </c>
      <c r="B408">
        <v>2009</v>
      </c>
      <c r="C408">
        <v>1118</v>
      </c>
      <c r="D408">
        <v>407</v>
      </c>
      <c r="E408">
        <v>6250</v>
      </c>
      <c r="F408" t="s">
        <v>25</v>
      </c>
      <c r="G408">
        <v>6</v>
      </c>
      <c r="H408" t="s">
        <v>68</v>
      </c>
      <c r="I408">
        <v>10</v>
      </c>
      <c r="J408" s="10">
        <f t="shared" si="6"/>
        <v>6</v>
      </c>
    </row>
    <row r="409" spans="1:10" x14ac:dyDescent="0.2">
      <c r="A409" s="6">
        <v>42529</v>
      </c>
      <c r="B409">
        <v>2007</v>
      </c>
      <c r="C409">
        <v>1118</v>
      </c>
      <c r="D409">
        <v>408</v>
      </c>
      <c r="E409">
        <v>7000</v>
      </c>
      <c r="F409" t="s">
        <v>25</v>
      </c>
      <c r="G409">
        <v>5</v>
      </c>
      <c r="H409" t="s">
        <v>68</v>
      </c>
      <c r="I409">
        <v>12</v>
      </c>
      <c r="J409" s="10">
        <f t="shared" si="6"/>
        <v>5</v>
      </c>
    </row>
    <row r="410" spans="1:10" x14ac:dyDescent="0.2">
      <c r="A410" s="6">
        <v>42527</v>
      </c>
      <c r="B410">
        <v>2008</v>
      </c>
      <c r="C410">
        <v>1118</v>
      </c>
      <c r="D410">
        <v>409</v>
      </c>
      <c r="E410">
        <v>7350</v>
      </c>
      <c r="F410" t="s">
        <v>25</v>
      </c>
      <c r="G410">
        <v>9</v>
      </c>
      <c r="H410" t="s">
        <v>68</v>
      </c>
      <c r="I410">
        <v>11</v>
      </c>
      <c r="J410" s="10">
        <f t="shared" si="6"/>
        <v>9</v>
      </c>
    </row>
    <row r="411" spans="1:10" x14ac:dyDescent="0.2">
      <c r="A411" s="6">
        <v>42522</v>
      </c>
      <c r="B411">
        <v>2006</v>
      </c>
      <c r="C411">
        <v>1118</v>
      </c>
      <c r="D411">
        <v>410</v>
      </c>
      <c r="E411">
        <v>7750</v>
      </c>
      <c r="F411" t="s">
        <v>25</v>
      </c>
      <c r="G411">
        <v>12</v>
      </c>
      <c r="H411" t="s">
        <v>68</v>
      </c>
      <c r="I411">
        <v>13</v>
      </c>
      <c r="J411" s="10">
        <f t="shared" si="6"/>
        <v>12</v>
      </c>
    </row>
    <row r="412" spans="1:10" x14ac:dyDescent="0.2">
      <c r="A412" s="6">
        <v>42514</v>
      </c>
      <c r="B412">
        <v>2007</v>
      </c>
      <c r="C412">
        <v>1118</v>
      </c>
      <c r="D412">
        <v>411</v>
      </c>
      <c r="E412">
        <v>7000</v>
      </c>
      <c r="F412" t="s">
        <v>25</v>
      </c>
      <c r="G412">
        <v>30</v>
      </c>
      <c r="H412" t="s">
        <v>26</v>
      </c>
      <c r="I412">
        <v>12</v>
      </c>
      <c r="J412" s="10">
        <f t="shared" si="6"/>
        <v>1</v>
      </c>
    </row>
    <row r="413" spans="1:10" x14ac:dyDescent="0.2">
      <c r="A413" s="6">
        <v>42514</v>
      </c>
      <c r="B413">
        <v>2008</v>
      </c>
      <c r="C413">
        <v>1118</v>
      </c>
      <c r="D413">
        <v>412</v>
      </c>
      <c r="E413">
        <v>6350</v>
      </c>
      <c r="F413" t="s">
        <v>25</v>
      </c>
      <c r="G413">
        <v>6</v>
      </c>
      <c r="H413" t="s">
        <v>68</v>
      </c>
      <c r="I413">
        <v>11</v>
      </c>
      <c r="J413" s="10">
        <f t="shared" si="6"/>
        <v>6</v>
      </c>
    </row>
    <row r="414" spans="1:10" x14ac:dyDescent="0.2">
      <c r="A414" s="6">
        <v>42510</v>
      </c>
      <c r="B414">
        <v>2006</v>
      </c>
      <c r="C414">
        <v>1118</v>
      </c>
      <c r="D414">
        <v>413</v>
      </c>
      <c r="E414">
        <v>7400</v>
      </c>
      <c r="F414" t="s">
        <v>25</v>
      </c>
      <c r="G414">
        <v>4</v>
      </c>
      <c r="H414" t="s">
        <v>68</v>
      </c>
      <c r="I414">
        <v>13</v>
      </c>
      <c r="J414" s="10">
        <f t="shared" si="6"/>
        <v>4</v>
      </c>
    </row>
    <row r="415" spans="1:10" x14ac:dyDescent="0.2">
      <c r="A415" s="6">
        <v>42510</v>
      </c>
      <c r="B415">
        <v>2008</v>
      </c>
      <c r="C415">
        <v>1118</v>
      </c>
      <c r="D415">
        <v>414</v>
      </c>
      <c r="E415">
        <v>7400</v>
      </c>
      <c r="F415" t="s">
        <v>25</v>
      </c>
      <c r="G415">
        <v>6</v>
      </c>
      <c r="H415" t="s">
        <v>68</v>
      </c>
      <c r="I415">
        <v>11</v>
      </c>
      <c r="J415" s="10">
        <f t="shared" si="6"/>
        <v>6</v>
      </c>
    </row>
    <row r="416" spans="1:10" x14ac:dyDescent="0.2">
      <c r="A416" s="6">
        <v>42510</v>
      </c>
      <c r="B416">
        <v>2006</v>
      </c>
      <c r="C416">
        <v>1118</v>
      </c>
      <c r="D416">
        <v>415</v>
      </c>
      <c r="E416">
        <v>7900</v>
      </c>
      <c r="F416" t="s">
        <v>25</v>
      </c>
      <c r="G416">
        <v>6</v>
      </c>
      <c r="H416" t="s">
        <v>68</v>
      </c>
      <c r="I416">
        <v>13</v>
      </c>
      <c r="J416" s="10">
        <f t="shared" si="6"/>
        <v>6</v>
      </c>
    </row>
    <row r="417" spans="1:10" x14ac:dyDescent="0.2">
      <c r="A417" s="6">
        <v>42508</v>
      </c>
      <c r="B417">
        <v>2006</v>
      </c>
      <c r="C417">
        <v>1118</v>
      </c>
      <c r="D417">
        <v>416</v>
      </c>
      <c r="E417">
        <v>6350</v>
      </c>
      <c r="F417" t="s">
        <v>25</v>
      </c>
      <c r="G417">
        <v>6</v>
      </c>
      <c r="H417" t="s">
        <v>68</v>
      </c>
      <c r="I417">
        <v>13</v>
      </c>
      <c r="J417" s="10">
        <f t="shared" si="6"/>
        <v>6</v>
      </c>
    </row>
    <row r="418" spans="1:10" x14ac:dyDescent="0.2">
      <c r="A418" s="6">
        <v>42507</v>
      </c>
      <c r="B418">
        <v>2007</v>
      </c>
      <c r="C418">
        <v>1118</v>
      </c>
      <c r="D418">
        <v>417</v>
      </c>
      <c r="E418">
        <v>7500</v>
      </c>
      <c r="F418" t="s">
        <v>25</v>
      </c>
      <c r="G418">
        <v>7</v>
      </c>
      <c r="H418" t="s">
        <v>68</v>
      </c>
      <c r="I418">
        <v>12</v>
      </c>
      <c r="J418" s="10">
        <f t="shared" si="6"/>
        <v>7</v>
      </c>
    </row>
    <row r="419" spans="1:10" x14ac:dyDescent="0.2">
      <c r="A419" s="6">
        <v>42506</v>
      </c>
      <c r="B419">
        <v>2008</v>
      </c>
      <c r="C419">
        <v>1118</v>
      </c>
      <c r="D419">
        <v>418</v>
      </c>
      <c r="E419">
        <v>6200</v>
      </c>
      <c r="F419" t="s">
        <v>25</v>
      </c>
      <c r="G419">
        <v>6</v>
      </c>
      <c r="H419" t="s">
        <v>68</v>
      </c>
      <c r="I419">
        <v>11</v>
      </c>
      <c r="J419" s="10">
        <f t="shared" si="6"/>
        <v>6</v>
      </c>
    </row>
    <row r="420" spans="1:10" x14ac:dyDescent="0.2">
      <c r="A420" s="6">
        <v>42486</v>
      </c>
      <c r="B420">
        <v>2006</v>
      </c>
      <c r="C420">
        <v>1118</v>
      </c>
      <c r="D420">
        <v>419</v>
      </c>
      <c r="E420">
        <v>8300</v>
      </c>
      <c r="F420" t="s">
        <v>25</v>
      </c>
      <c r="G420">
        <v>6</v>
      </c>
      <c r="H420" t="s">
        <v>68</v>
      </c>
      <c r="I420">
        <v>13</v>
      </c>
      <c r="J420" s="10">
        <f t="shared" si="6"/>
        <v>6</v>
      </c>
    </row>
    <row r="421" spans="1:10" x14ac:dyDescent="0.2">
      <c r="A421" s="6">
        <v>42486</v>
      </c>
      <c r="B421">
        <v>2008</v>
      </c>
      <c r="C421">
        <v>1118</v>
      </c>
      <c r="D421">
        <v>420</v>
      </c>
      <c r="E421">
        <v>7950</v>
      </c>
      <c r="F421" t="s">
        <v>25</v>
      </c>
      <c r="G421">
        <v>6</v>
      </c>
      <c r="H421" t="s">
        <v>68</v>
      </c>
      <c r="I421">
        <v>11</v>
      </c>
      <c r="J421" s="10">
        <f t="shared" si="6"/>
        <v>6</v>
      </c>
    </row>
    <row r="422" spans="1:10" x14ac:dyDescent="0.2">
      <c r="A422" s="6">
        <v>42482</v>
      </c>
      <c r="B422">
        <v>2008</v>
      </c>
      <c r="C422">
        <v>1118</v>
      </c>
      <c r="D422">
        <v>421</v>
      </c>
      <c r="E422">
        <v>6750</v>
      </c>
      <c r="F422" t="s">
        <v>25</v>
      </c>
      <c r="G422">
        <v>180</v>
      </c>
      <c r="H422" t="s">
        <v>26</v>
      </c>
      <c r="I422">
        <v>11</v>
      </c>
      <c r="J422" s="10">
        <f t="shared" si="6"/>
        <v>6</v>
      </c>
    </row>
    <row r="423" spans="1:10" x14ac:dyDescent="0.2">
      <c r="A423" s="6">
        <v>42481</v>
      </c>
      <c r="B423">
        <v>2009</v>
      </c>
      <c r="C423">
        <v>1118</v>
      </c>
      <c r="D423">
        <v>422</v>
      </c>
      <c r="E423">
        <v>6200</v>
      </c>
      <c r="F423" t="s">
        <v>25</v>
      </c>
      <c r="G423">
        <v>12</v>
      </c>
      <c r="H423" t="s">
        <v>68</v>
      </c>
      <c r="I423">
        <v>10</v>
      </c>
      <c r="J423" s="10">
        <f t="shared" si="6"/>
        <v>12</v>
      </c>
    </row>
    <row r="424" spans="1:10" x14ac:dyDescent="0.2">
      <c r="A424" s="6">
        <v>42478</v>
      </c>
      <c r="B424">
        <v>2007</v>
      </c>
      <c r="C424">
        <v>1118</v>
      </c>
      <c r="D424">
        <v>423</v>
      </c>
      <c r="E424">
        <v>7900</v>
      </c>
      <c r="F424" t="s">
        <v>25</v>
      </c>
      <c r="G424">
        <v>12</v>
      </c>
      <c r="H424" t="s">
        <v>68</v>
      </c>
      <c r="I424">
        <v>12</v>
      </c>
      <c r="J424" s="10">
        <f t="shared" si="6"/>
        <v>12</v>
      </c>
    </row>
    <row r="425" spans="1:10" x14ac:dyDescent="0.2">
      <c r="A425" s="6">
        <v>42472</v>
      </c>
      <c r="B425">
        <v>2006</v>
      </c>
      <c r="C425">
        <v>1118</v>
      </c>
      <c r="D425">
        <v>424</v>
      </c>
      <c r="E425">
        <v>6000</v>
      </c>
      <c r="F425" t="s">
        <v>25</v>
      </c>
      <c r="G425">
        <v>4</v>
      </c>
      <c r="H425" t="s">
        <v>68</v>
      </c>
      <c r="I425">
        <v>13</v>
      </c>
      <c r="J425" s="10">
        <f t="shared" si="6"/>
        <v>4</v>
      </c>
    </row>
    <row r="426" spans="1:10" x14ac:dyDescent="0.2">
      <c r="A426" s="6">
        <v>42468</v>
      </c>
      <c r="B426">
        <v>2007</v>
      </c>
      <c r="C426">
        <v>1118</v>
      </c>
      <c r="D426">
        <v>425</v>
      </c>
      <c r="E426">
        <v>7900</v>
      </c>
      <c r="F426" t="s">
        <v>25</v>
      </c>
      <c r="G426">
        <v>7</v>
      </c>
      <c r="H426" t="s">
        <v>68</v>
      </c>
      <c r="I426">
        <v>12</v>
      </c>
      <c r="J426" s="10">
        <f t="shared" si="6"/>
        <v>7</v>
      </c>
    </row>
    <row r="427" spans="1:10" x14ac:dyDescent="0.2">
      <c r="A427" s="6">
        <v>42466</v>
      </c>
      <c r="B427">
        <v>2006</v>
      </c>
      <c r="C427">
        <v>1118</v>
      </c>
      <c r="D427">
        <v>426</v>
      </c>
      <c r="E427">
        <v>6200</v>
      </c>
      <c r="F427" t="s">
        <v>25</v>
      </c>
      <c r="G427">
        <v>60</v>
      </c>
      <c r="H427" t="s">
        <v>26</v>
      </c>
      <c r="I427">
        <v>13</v>
      </c>
      <c r="J427" s="10">
        <f t="shared" si="6"/>
        <v>2</v>
      </c>
    </row>
    <row r="428" spans="1:10" x14ac:dyDescent="0.2">
      <c r="A428" s="6">
        <v>42450</v>
      </c>
      <c r="B428">
        <v>2006</v>
      </c>
      <c r="C428">
        <v>1118</v>
      </c>
      <c r="D428">
        <v>427</v>
      </c>
      <c r="E428">
        <v>6200</v>
      </c>
      <c r="F428" t="s">
        <v>25</v>
      </c>
      <c r="G428">
        <v>180</v>
      </c>
      <c r="H428" t="s">
        <v>26</v>
      </c>
      <c r="I428">
        <v>13</v>
      </c>
      <c r="J428" s="10">
        <f t="shared" si="6"/>
        <v>6</v>
      </c>
    </row>
    <row r="429" spans="1:10" x14ac:dyDescent="0.2">
      <c r="A429" s="6">
        <v>42450</v>
      </c>
      <c r="B429">
        <v>2009</v>
      </c>
      <c r="C429">
        <v>1118</v>
      </c>
      <c r="D429">
        <v>428</v>
      </c>
      <c r="E429">
        <v>6000</v>
      </c>
      <c r="F429" t="s">
        <v>25</v>
      </c>
      <c r="G429">
        <v>6</v>
      </c>
      <c r="H429" t="s">
        <v>68</v>
      </c>
      <c r="I429">
        <v>10</v>
      </c>
      <c r="J429" s="10">
        <f t="shared" si="6"/>
        <v>6</v>
      </c>
    </row>
    <row r="430" spans="1:10" x14ac:dyDescent="0.2">
      <c r="A430" s="6">
        <v>42446</v>
      </c>
      <c r="B430">
        <v>2008</v>
      </c>
      <c r="C430">
        <v>1118</v>
      </c>
      <c r="D430">
        <v>429</v>
      </c>
      <c r="E430">
        <v>6400</v>
      </c>
      <c r="F430" t="s">
        <v>25</v>
      </c>
      <c r="G430">
        <v>3</v>
      </c>
      <c r="H430" t="s">
        <v>68</v>
      </c>
      <c r="I430">
        <v>11</v>
      </c>
      <c r="J430" s="10">
        <f t="shared" si="6"/>
        <v>3</v>
      </c>
    </row>
    <row r="431" spans="1:10" x14ac:dyDescent="0.2">
      <c r="A431" s="6">
        <v>42439</v>
      </c>
      <c r="B431">
        <v>2009</v>
      </c>
      <c r="C431">
        <v>1118</v>
      </c>
      <c r="D431">
        <v>430</v>
      </c>
      <c r="E431">
        <v>7000</v>
      </c>
      <c r="F431" t="s">
        <v>25</v>
      </c>
      <c r="G431">
        <v>6</v>
      </c>
      <c r="H431" t="s">
        <v>68</v>
      </c>
      <c r="I431">
        <v>10</v>
      </c>
      <c r="J431" s="10">
        <f t="shared" si="6"/>
        <v>6</v>
      </c>
    </row>
    <row r="432" spans="1:10" x14ac:dyDescent="0.2">
      <c r="A432" s="6">
        <v>42436</v>
      </c>
      <c r="B432">
        <v>2008</v>
      </c>
      <c r="C432">
        <v>1118</v>
      </c>
      <c r="D432">
        <v>431</v>
      </c>
      <c r="E432">
        <v>8000</v>
      </c>
      <c r="F432" t="s">
        <v>25</v>
      </c>
      <c r="G432">
        <v>12</v>
      </c>
      <c r="H432" t="s">
        <v>68</v>
      </c>
      <c r="I432">
        <v>11</v>
      </c>
      <c r="J432" s="10">
        <f t="shared" si="6"/>
        <v>12</v>
      </c>
    </row>
    <row r="433" spans="1:10" x14ac:dyDescent="0.2">
      <c r="A433" s="6">
        <v>42436</v>
      </c>
      <c r="B433">
        <v>2007</v>
      </c>
      <c r="C433">
        <v>1118</v>
      </c>
      <c r="D433">
        <v>432</v>
      </c>
      <c r="E433">
        <v>7200</v>
      </c>
      <c r="F433" t="s">
        <v>25</v>
      </c>
      <c r="G433">
        <v>13</v>
      </c>
      <c r="H433" t="s">
        <v>68</v>
      </c>
      <c r="I433">
        <v>12</v>
      </c>
      <c r="J433" s="10">
        <f t="shared" si="6"/>
        <v>13</v>
      </c>
    </row>
    <row r="434" spans="1:10" x14ac:dyDescent="0.2">
      <c r="A434" s="6">
        <v>42431</v>
      </c>
      <c r="B434">
        <v>2008</v>
      </c>
      <c r="C434">
        <v>1118</v>
      </c>
      <c r="D434">
        <v>433</v>
      </c>
      <c r="E434">
        <v>7700</v>
      </c>
      <c r="F434" t="s">
        <v>25</v>
      </c>
      <c r="G434">
        <v>6</v>
      </c>
      <c r="H434" t="s">
        <v>68</v>
      </c>
      <c r="I434">
        <v>11</v>
      </c>
      <c r="J434" s="10">
        <f t="shared" si="6"/>
        <v>6</v>
      </c>
    </row>
    <row r="435" spans="1:10" x14ac:dyDescent="0.2">
      <c r="A435" s="6">
        <v>42431</v>
      </c>
      <c r="B435">
        <v>2006</v>
      </c>
      <c r="C435">
        <v>1118</v>
      </c>
      <c r="D435">
        <v>434</v>
      </c>
      <c r="E435">
        <v>7900</v>
      </c>
      <c r="F435" t="s">
        <v>25</v>
      </c>
      <c r="G435">
        <v>6</v>
      </c>
      <c r="H435" t="s">
        <v>68</v>
      </c>
      <c r="I435">
        <v>13</v>
      </c>
      <c r="J435" s="10">
        <f t="shared" si="6"/>
        <v>6</v>
      </c>
    </row>
    <row r="436" spans="1:10" x14ac:dyDescent="0.2">
      <c r="A436" s="6">
        <v>42430</v>
      </c>
      <c r="B436">
        <v>2006</v>
      </c>
      <c r="C436">
        <v>1118</v>
      </c>
      <c r="D436">
        <v>435</v>
      </c>
      <c r="E436">
        <v>7500</v>
      </c>
      <c r="F436" t="s">
        <v>25</v>
      </c>
      <c r="G436">
        <v>7</v>
      </c>
      <c r="H436" t="s">
        <v>68</v>
      </c>
      <c r="I436">
        <v>13</v>
      </c>
      <c r="J436" s="10">
        <f t="shared" si="6"/>
        <v>7</v>
      </c>
    </row>
    <row r="437" spans="1:10" x14ac:dyDescent="0.2">
      <c r="A437" s="6">
        <v>42425</v>
      </c>
      <c r="B437">
        <v>2006</v>
      </c>
      <c r="C437">
        <v>1118</v>
      </c>
      <c r="D437">
        <v>436</v>
      </c>
      <c r="E437">
        <v>6500</v>
      </c>
      <c r="F437" t="s">
        <v>25</v>
      </c>
      <c r="G437">
        <v>13</v>
      </c>
      <c r="H437" t="s">
        <v>68</v>
      </c>
      <c r="I437">
        <v>13</v>
      </c>
      <c r="J437" s="10">
        <f t="shared" si="6"/>
        <v>13</v>
      </c>
    </row>
    <row r="438" spans="1:10" x14ac:dyDescent="0.2">
      <c r="A438" s="6">
        <v>42423</v>
      </c>
      <c r="B438">
        <v>2008</v>
      </c>
      <c r="C438">
        <v>1118</v>
      </c>
      <c r="D438">
        <v>437</v>
      </c>
      <c r="E438">
        <v>6150</v>
      </c>
      <c r="F438" t="s">
        <v>25</v>
      </c>
      <c r="G438">
        <v>2</v>
      </c>
      <c r="H438" t="s">
        <v>68</v>
      </c>
      <c r="I438">
        <v>11</v>
      </c>
      <c r="J438" s="10">
        <f t="shared" si="6"/>
        <v>2</v>
      </c>
    </row>
    <row r="439" spans="1:10" x14ac:dyDescent="0.2">
      <c r="A439" s="6">
        <v>42417</v>
      </c>
      <c r="B439">
        <v>2007</v>
      </c>
      <c r="C439">
        <v>1118</v>
      </c>
      <c r="D439">
        <v>438</v>
      </c>
      <c r="E439">
        <v>7250</v>
      </c>
      <c r="F439" t="s">
        <v>25</v>
      </c>
      <c r="G439">
        <v>10</v>
      </c>
      <c r="H439" t="s">
        <v>68</v>
      </c>
      <c r="I439">
        <v>12</v>
      </c>
      <c r="J439" s="10">
        <f t="shared" si="6"/>
        <v>10</v>
      </c>
    </row>
    <row r="440" spans="1:10" x14ac:dyDescent="0.2">
      <c r="A440" s="6">
        <v>42417</v>
      </c>
      <c r="B440">
        <v>2007</v>
      </c>
      <c r="C440">
        <v>1118</v>
      </c>
      <c r="D440">
        <v>439</v>
      </c>
      <c r="E440">
        <v>6500</v>
      </c>
      <c r="F440" t="s">
        <v>25</v>
      </c>
      <c r="G440">
        <v>8</v>
      </c>
      <c r="H440" t="s">
        <v>68</v>
      </c>
      <c r="I440">
        <v>12</v>
      </c>
      <c r="J440" s="10">
        <f t="shared" si="6"/>
        <v>8</v>
      </c>
    </row>
    <row r="441" spans="1:10" x14ac:dyDescent="0.2">
      <c r="A441" s="6">
        <v>42417</v>
      </c>
      <c r="B441">
        <v>2007</v>
      </c>
      <c r="C441">
        <v>1118</v>
      </c>
      <c r="D441">
        <v>440</v>
      </c>
      <c r="E441">
        <v>6150</v>
      </c>
      <c r="F441" t="s">
        <v>25</v>
      </c>
      <c r="G441">
        <v>6</v>
      </c>
      <c r="H441" t="s">
        <v>68</v>
      </c>
      <c r="I441">
        <v>12</v>
      </c>
      <c r="J441" s="10">
        <f t="shared" si="6"/>
        <v>6</v>
      </c>
    </row>
    <row r="442" spans="1:10" x14ac:dyDescent="0.2">
      <c r="A442" s="6">
        <v>42415</v>
      </c>
      <c r="B442">
        <v>2006</v>
      </c>
      <c r="C442">
        <v>1118</v>
      </c>
      <c r="D442">
        <v>441</v>
      </c>
      <c r="E442">
        <v>6500</v>
      </c>
      <c r="F442" t="s">
        <v>25</v>
      </c>
      <c r="G442">
        <v>9</v>
      </c>
      <c r="H442" t="s">
        <v>68</v>
      </c>
      <c r="I442">
        <v>13</v>
      </c>
      <c r="J442" s="10">
        <f t="shared" si="6"/>
        <v>9</v>
      </c>
    </row>
    <row r="443" spans="1:10" x14ac:dyDescent="0.2">
      <c r="A443" s="6">
        <v>42415</v>
      </c>
      <c r="B443">
        <v>2006</v>
      </c>
      <c r="C443">
        <v>1118</v>
      </c>
      <c r="D443">
        <v>442</v>
      </c>
      <c r="E443">
        <v>6500</v>
      </c>
      <c r="F443" t="s">
        <v>25</v>
      </c>
      <c r="G443">
        <v>8</v>
      </c>
      <c r="H443" t="s">
        <v>68</v>
      </c>
      <c r="I443">
        <v>13</v>
      </c>
      <c r="J443" s="10">
        <f t="shared" si="6"/>
        <v>8</v>
      </c>
    </row>
    <row r="444" spans="1:10" x14ac:dyDescent="0.2">
      <c r="A444" s="6">
        <v>42401</v>
      </c>
      <c r="B444">
        <v>2006</v>
      </c>
      <c r="C444">
        <v>1118</v>
      </c>
      <c r="D444">
        <v>443</v>
      </c>
      <c r="E444">
        <v>7000</v>
      </c>
      <c r="F444" t="s">
        <v>25</v>
      </c>
      <c r="G444">
        <v>10</v>
      </c>
      <c r="H444" t="s">
        <v>68</v>
      </c>
      <c r="I444">
        <v>13</v>
      </c>
      <c r="J444" s="10">
        <f t="shared" si="6"/>
        <v>10</v>
      </c>
    </row>
    <row r="445" spans="1:10" x14ac:dyDescent="0.2">
      <c r="A445" s="6">
        <v>42401</v>
      </c>
      <c r="B445">
        <v>2007</v>
      </c>
      <c r="C445">
        <v>1118</v>
      </c>
      <c r="D445">
        <v>444</v>
      </c>
      <c r="E445">
        <v>6500</v>
      </c>
      <c r="F445" t="s">
        <v>25</v>
      </c>
      <c r="G445">
        <v>3</v>
      </c>
      <c r="H445" t="s">
        <v>68</v>
      </c>
      <c r="I445">
        <v>12</v>
      </c>
      <c r="J445" s="10">
        <f t="shared" si="6"/>
        <v>3</v>
      </c>
    </row>
    <row r="446" spans="1:10" x14ac:dyDescent="0.2">
      <c r="A446" s="6">
        <v>42401</v>
      </c>
      <c r="B446">
        <v>2007</v>
      </c>
      <c r="C446">
        <v>1118</v>
      </c>
      <c r="D446">
        <v>445</v>
      </c>
      <c r="E446">
        <v>7000</v>
      </c>
      <c r="F446" t="s">
        <v>25</v>
      </c>
      <c r="G446">
        <v>12</v>
      </c>
      <c r="H446" t="s">
        <v>68</v>
      </c>
      <c r="I446">
        <v>12</v>
      </c>
      <c r="J446" s="10">
        <f t="shared" si="6"/>
        <v>12</v>
      </c>
    </row>
    <row r="447" spans="1:10" x14ac:dyDescent="0.2">
      <c r="A447" s="6">
        <v>42394</v>
      </c>
      <c r="B447">
        <v>2006</v>
      </c>
      <c r="C447">
        <v>1118</v>
      </c>
      <c r="D447">
        <v>446</v>
      </c>
      <c r="E447">
        <v>6200</v>
      </c>
      <c r="F447" t="s">
        <v>25</v>
      </c>
      <c r="G447">
        <v>70</v>
      </c>
      <c r="H447" t="s">
        <v>26</v>
      </c>
      <c r="I447">
        <v>13</v>
      </c>
      <c r="J447" s="10">
        <f t="shared" si="6"/>
        <v>2</v>
      </c>
    </row>
    <row r="448" spans="1:10" x14ac:dyDescent="0.2">
      <c r="A448" s="6">
        <v>42394</v>
      </c>
      <c r="B448">
        <v>2009</v>
      </c>
      <c r="C448">
        <v>1118</v>
      </c>
      <c r="D448">
        <v>447</v>
      </c>
      <c r="E448">
        <v>6000</v>
      </c>
      <c r="F448" t="s">
        <v>25</v>
      </c>
      <c r="G448">
        <v>7</v>
      </c>
      <c r="H448" t="s">
        <v>68</v>
      </c>
      <c r="I448">
        <v>10</v>
      </c>
      <c r="J448" s="10">
        <f t="shared" si="6"/>
        <v>7</v>
      </c>
    </row>
    <row r="449" spans="1:10" x14ac:dyDescent="0.2">
      <c r="A449" s="6">
        <v>42394</v>
      </c>
      <c r="B449">
        <v>2009</v>
      </c>
      <c r="C449">
        <v>1118</v>
      </c>
      <c r="D449">
        <v>448</v>
      </c>
      <c r="E449">
        <v>6000</v>
      </c>
      <c r="F449" t="s">
        <v>25</v>
      </c>
      <c r="G449">
        <v>3</v>
      </c>
      <c r="H449" t="s">
        <v>68</v>
      </c>
      <c r="I449">
        <v>10</v>
      </c>
      <c r="J449" s="10">
        <f t="shared" si="6"/>
        <v>3</v>
      </c>
    </row>
    <row r="450" spans="1:10" x14ac:dyDescent="0.2">
      <c r="A450" s="6">
        <v>42390</v>
      </c>
      <c r="B450">
        <v>2007</v>
      </c>
      <c r="C450">
        <v>1118</v>
      </c>
      <c r="D450">
        <v>449</v>
      </c>
      <c r="E450">
        <v>6150</v>
      </c>
      <c r="F450" t="s">
        <v>25</v>
      </c>
      <c r="G450">
        <v>9</v>
      </c>
      <c r="H450" t="s">
        <v>68</v>
      </c>
      <c r="I450">
        <v>12</v>
      </c>
      <c r="J450" s="10">
        <f t="shared" ref="J450:J513" si="7">IF(H450="days",ROUND(G450/30,0),IF(H450="years",G450*12,G450))</f>
        <v>9</v>
      </c>
    </row>
    <row r="451" spans="1:10" x14ac:dyDescent="0.2">
      <c r="A451" s="6">
        <v>42384</v>
      </c>
      <c r="B451">
        <v>2007</v>
      </c>
      <c r="C451">
        <v>1118</v>
      </c>
      <c r="D451">
        <v>450</v>
      </c>
      <c r="E451">
        <v>6950</v>
      </c>
      <c r="F451" t="s">
        <v>25</v>
      </c>
      <c r="G451">
        <v>6</v>
      </c>
      <c r="H451" t="s">
        <v>68</v>
      </c>
      <c r="I451">
        <v>12</v>
      </c>
      <c r="J451" s="10">
        <f t="shared" si="7"/>
        <v>6</v>
      </c>
    </row>
    <row r="452" spans="1:10" x14ac:dyDescent="0.2">
      <c r="A452" s="6">
        <v>42370</v>
      </c>
      <c r="B452">
        <v>2008</v>
      </c>
      <c r="C452">
        <v>1118</v>
      </c>
      <c r="D452">
        <v>451</v>
      </c>
      <c r="E452">
        <v>6900</v>
      </c>
      <c r="F452" t="s">
        <v>25</v>
      </c>
      <c r="G452">
        <v>6</v>
      </c>
      <c r="H452" t="s">
        <v>68</v>
      </c>
      <c r="I452">
        <v>11</v>
      </c>
      <c r="J452" s="10">
        <f t="shared" si="7"/>
        <v>6</v>
      </c>
    </row>
    <row r="453" spans="1:10" x14ac:dyDescent="0.2">
      <c r="A453" s="6">
        <v>43508</v>
      </c>
      <c r="B453">
        <v>2009</v>
      </c>
      <c r="C453">
        <v>1131</v>
      </c>
      <c r="D453">
        <v>452</v>
      </c>
      <c r="E453">
        <v>6700</v>
      </c>
      <c r="F453" t="s">
        <v>25</v>
      </c>
      <c r="G453">
        <v>56</v>
      </c>
      <c r="H453" t="s">
        <v>26</v>
      </c>
      <c r="I453">
        <v>10</v>
      </c>
      <c r="J453" s="10">
        <f t="shared" si="7"/>
        <v>2</v>
      </c>
    </row>
    <row r="454" spans="1:10" x14ac:dyDescent="0.2">
      <c r="A454" s="6">
        <v>43229</v>
      </c>
      <c r="B454">
        <v>2009</v>
      </c>
      <c r="C454">
        <v>1131</v>
      </c>
      <c r="D454">
        <v>453</v>
      </c>
      <c r="E454">
        <v>9150</v>
      </c>
      <c r="F454" t="s">
        <v>25</v>
      </c>
      <c r="G454">
        <v>7</v>
      </c>
      <c r="H454" t="s">
        <v>68</v>
      </c>
      <c r="I454">
        <v>10</v>
      </c>
      <c r="J454" s="10">
        <f t="shared" si="7"/>
        <v>7</v>
      </c>
    </row>
    <row r="455" spans="1:10" x14ac:dyDescent="0.2">
      <c r="A455" s="6">
        <v>43489</v>
      </c>
      <c r="B455">
        <v>2006</v>
      </c>
      <c r="C455">
        <v>1155</v>
      </c>
      <c r="D455">
        <v>454</v>
      </c>
      <c r="E455">
        <v>7500</v>
      </c>
      <c r="F455" t="s">
        <v>25</v>
      </c>
      <c r="G455">
        <v>4</v>
      </c>
      <c r="H455" t="s">
        <v>68</v>
      </c>
      <c r="I455">
        <v>13</v>
      </c>
      <c r="J455" s="10">
        <f t="shared" si="7"/>
        <v>4</v>
      </c>
    </row>
    <row r="456" spans="1:10" x14ac:dyDescent="0.2">
      <c r="A456" s="6">
        <v>43381</v>
      </c>
      <c r="B456">
        <v>2007</v>
      </c>
      <c r="C456">
        <v>1155</v>
      </c>
      <c r="D456">
        <v>455</v>
      </c>
      <c r="E456">
        <v>8500</v>
      </c>
      <c r="F456" t="s">
        <v>25</v>
      </c>
      <c r="G456">
        <v>3</v>
      </c>
      <c r="H456" t="s">
        <v>68</v>
      </c>
      <c r="I456">
        <v>12</v>
      </c>
      <c r="J456" s="10">
        <f t="shared" si="7"/>
        <v>3</v>
      </c>
    </row>
    <row r="457" spans="1:10" x14ac:dyDescent="0.2">
      <c r="A457" s="6">
        <v>43283</v>
      </c>
      <c r="B457">
        <v>2007</v>
      </c>
      <c r="C457">
        <v>1155</v>
      </c>
      <c r="D457">
        <v>456</v>
      </c>
      <c r="E457">
        <v>8750</v>
      </c>
      <c r="F457" t="s">
        <v>25</v>
      </c>
      <c r="G457">
        <v>3</v>
      </c>
      <c r="H457" t="s">
        <v>68</v>
      </c>
      <c r="I457">
        <v>12</v>
      </c>
      <c r="J457" s="10">
        <f t="shared" si="7"/>
        <v>3</v>
      </c>
    </row>
    <row r="458" spans="1:10" x14ac:dyDescent="0.2">
      <c r="A458" s="6">
        <v>42912</v>
      </c>
      <c r="B458">
        <v>2007</v>
      </c>
      <c r="C458">
        <v>1155</v>
      </c>
      <c r="D458">
        <v>457</v>
      </c>
      <c r="E458">
        <v>7200</v>
      </c>
      <c r="F458" t="s">
        <v>25</v>
      </c>
      <c r="G458">
        <v>3</v>
      </c>
      <c r="H458" t="s">
        <v>68</v>
      </c>
      <c r="I458">
        <v>12</v>
      </c>
      <c r="J458" s="10">
        <f t="shared" si="7"/>
        <v>3</v>
      </c>
    </row>
    <row r="459" spans="1:10" x14ac:dyDescent="0.2">
      <c r="A459" s="6">
        <v>42797</v>
      </c>
      <c r="B459">
        <v>2007</v>
      </c>
      <c r="C459">
        <v>1155</v>
      </c>
      <c r="D459">
        <v>458</v>
      </c>
      <c r="E459">
        <v>7200</v>
      </c>
      <c r="F459" t="s">
        <v>25</v>
      </c>
      <c r="G459">
        <v>6</v>
      </c>
      <c r="H459" t="s">
        <v>68</v>
      </c>
      <c r="I459">
        <v>12</v>
      </c>
      <c r="J459" s="10">
        <f t="shared" si="7"/>
        <v>6</v>
      </c>
    </row>
    <row r="460" spans="1:10" x14ac:dyDescent="0.2">
      <c r="A460" s="6">
        <v>42705</v>
      </c>
      <c r="B460">
        <v>2006</v>
      </c>
      <c r="C460">
        <v>1155</v>
      </c>
      <c r="D460">
        <v>459</v>
      </c>
      <c r="E460">
        <v>6000</v>
      </c>
      <c r="F460" t="s">
        <v>25</v>
      </c>
      <c r="G460">
        <v>5</v>
      </c>
      <c r="H460" t="s">
        <v>68</v>
      </c>
      <c r="I460">
        <v>13</v>
      </c>
      <c r="J460" s="10">
        <f t="shared" si="7"/>
        <v>5</v>
      </c>
    </row>
    <row r="461" spans="1:10" x14ac:dyDescent="0.2">
      <c r="A461" s="6">
        <v>42615</v>
      </c>
      <c r="B461">
        <v>2007</v>
      </c>
      <c r="C461">
        <v>1155</v>
      </c>
      <c r="D461">
        <v>460</v>
      </c>
      <c r="E461">
        <v>7650</v>
      </c>
      <c r="F461" t="s">
        <v>25</v>
      </c>
      <c r="G461">
        <v>7</v>
      </c>
      <c r="H461" t="s">
        <v>68</v>
      </c>
      <c r="I461">
        <v>12</v>
      </c>
      <c r="J461" s="10">
        <f t="shared" si="7"/>
        <v>7</v>
      </c>
    </row>
    <row r="462" spans="1:10" x14ac:dyDescent="0.2">
      <c r="A462" s="6">
        <v>42478</v>
      </c>
      <c r="B462">
        <v>2006</v>
      </c>
      <c r="C462">
        <v>1155</v>
      </c>
      <c r="D462">
        <v>461</v>
      </c>
      <c r="E462">
        <v>8400</v>
      </c>
      <c r="F462" t="s">
        <v>25</v>
      </c>
      <c r="G462">
        <v>6</v>
      </c>
      <c r="H462" t="s">
        <v>68</v>
      </c>
      <c r="I462">
        <v>13</v>
      </c>
      <c r="J462" s="10">
        <f t="shared" si="7"/>
        <v>6</v>
      </c>
    </row>
    <row r="463" spans="1:10" x14ac:dyDescent="0.2">
      <c r="A463" s="6">
        <v>42612</v>
      </c>
      <c r="B463">
        <v>2008</v>
      </c>
      <c r="C463">
        <v>1200</v>
      </c>
      <c r="D463">
        <v>462</v>
      </c>
      <c r="E463">
        <v>6600</v>
      </c>
      <c r="F463" t="s">
        <v>25</v>
      </c>
      <c r="G463">
        <v>90</v>
      </c>
      <c r="H463" t="s">
        <v>26</v>
      </c>
      <c r="I463">
        <v>11</v>
      </c>
      <c r="J463" s="10">
        <f t="shared" si="7"/>
        <v>3</v>
      </c>
    </row>
    <row r="464" spans="1:10" x14ac:dyDescent="0.2">
      <c r="A464" s="6">
        <v>42508</v>
      </c>
      <c r="B464">
        <v>2008</v>
      </c>
      <c r="C464">
        <v>1200</v>
      </c>
      <c r="D464">
        <v>463</v>
      </c>
      <c r="E464">
        <v>6600</v>
      </c>
      <c r="F464" t="s">
        <v>25</v>
      </c>
      <c r="G464">
        <v>6</v>
      </c>
      <c r="H464" t="s">
        <v>68</v>
      </c>
      <c r="I464">
        <v>11</v>
      </c>
      <c r="J464" s="10">
        <f t="shared" si="7"/>
        <v>6</v>
      </c>
    </row>
    <row r="465" spans="1:10" x14ac:dyDescent="0.2">
      <c r="A465" s="6">
        <v>43528</v>
      </c>
      <c r="B465">
        <v>2006</v>
      </c>
      <c r="C465">
        <v>1220</v>
      </c>
      <c r="D465">
        <v>464</v>
      </c>
      <c r="E465">
        <v>8950</v>
      </c>
      <c r="F465" t="s">
        <v>25</v>
      </c>
      <c r="G465">
        <v>7</v>
      </c>
      <c r="H465" t="s">
        <v>68</v>
      </c>
      <c r="I465">
        <v>13</v>
      </c>
      <c r="J465" s="10">
        <f t="shared" si="7"/>
        <v>7</v>
      </c>
    </row>
    <row r="466" spans="1:10" x14ac:dyDescent="0.2">
      <c r="A466" s="6">
        <v>43067</v>
      </c>
      <c r="B466">
        <v>2006</v>
      </c>
      <c r="C466">
        <v>1220</v>
      </c>
      <c r="D466">
        <v>465</v>
      </c>
      <c r="E466">
        <v>9900</v>
      </c>
      <c r="F466" t="s">
        <v>25</v>
      </c>
      <c r="G466">
        <v>3</v>
      </c>
      <c r="H466" t="s">
        <v>68</v>
      </c>
      <c r="I466">
        <v>13</v>
      </c>
      <c r="J466" s="10">
        <f t="shared" si="7"/>
        <v>3</v>
      </c>
    </row>
    <row r="467" spans="1:10" x14ac:dyDescent="0.2">
      <c r="A467" s="6">
        <v>42840</v>
      </c>
      <c r="B467">
        <v>2006</v>
      </c>
      <c r="C467">
        <v>1220</v>
      </c>
      <c r="D467">
        <v>466</v>
      </c>
      <c r="E467">
        <v>8200</v>
      </c>
      <c r="F467" t="s">
        <v>25</v>
      </c>
      <c r="G467">
        <v>3</v>
      </c>
      <c r="H467" t="s">
        <v>68</v>
      </c>
      <c r="I467">
        <v>13</v>
      </c>
      <c r="J467" s="10">
        <f t="shared" si="7"/>
        <v>3</v>
      </c>
    </row>
    <row r="468" spans="1:10" x14ac:dyDescent="0.2">
      <c r="A468" s="6">
        <v>42618</v>
      </c>
      <c r="B468">
        <v>2006</v>
      </c>
      <c r="C468">
        <v>1220</v>
      </c>
      <c r="D468">
        <v>467</v>
      </c>
      <c r="E468">
        <v>9000</v>
      </c>
      <c r="F468" t="s">
        <v>25</v>
      </c>
      <c r="G468">
        <v>6</v>
      </c>
      <c r="H468" t="s">
        <v>68</v>
      </c>
      <c r="I468">
        <v>13</v>
      </c>
      <c r="J468" s="10">
        <f t="shared" si="7"/>
        <v>6</v>
      </c>
    </row>
    <row r="469" spans="1:10" x14ac:dyDescent="0.2">
      <c r="A469" s="6">
        <v>43514</v>
      </c>
      <c r="B469">
        <v>2007</v>
      </c>
      <c r="C469">
        <v>1284</v>
      </c>
      <c r="D469">
        <v>468</v>
      </c>
      <c r="E469">
        <v>8650</v>
      </c>
      <c r="F469" t="s">
        <v>25</v>
      </c>
      <c r="G469">
        <v>8</v>
      </c>
      <c r="H469" t="s">
        <v>68</v>
      </c>
      <c r="I469">
        <v>12</v>
      </c>
      <c r="J469" s="10">
        <f t="shared" si="7"/>
        <v>8</v>
      </c>
    </row>
    <row r="470" spans="1:10" x14ac:dyDescent="0.2">
      <c r="A470" s="6">
        <v>43496</v>
      </c>
      <c r="B470">
        <v>2008</v>
      </c>
      <c r="C470">
        <v>1284</v>
      </c>
      <c r="D470">
        <v>469</v>
      </c>
      <c r="E470">
        <v>8700</v>
      </c>
      <c r="F470" t="s">
        <v>25</v>
      </c>
      <c r="G470">
        <v>12</v>
      </c>
      <c r="H470" t="s">
        <v>68</v>
      </c>
      <c r="I470">
        <v>11</v>
      </c>
      <c r="J470" s="10">
        <f t="shared" si="7"/>
        <v>12</v>
      </c>
    </row>
    <row r="471" spans="1:10" x14ac:dyDescent="0.2">
      <c r="A471" s="6">
        <v>43453</v>
      </c>
      <c r="B471">
        <v>2008</v>
      </c>
      <c r="C471">
        <v>1284</v>
      </c>
      <c r="D471">
        <v>470</v>
      </c>
      <c r="E471">
        <v>7350</v>
      </c>
      <c r="F471" t="s">
        <v>25</v>
      </c>
      <c r="G471">
        <v>6</v>
      </c>
      <c r="H471" t="s">
        <v>68</v>
      </c>
      <c r="I471">
        <v>11</v>
      </c>
      <c r="J471" s="10">
        <f t="shared" si="7"/>
        <v>6</v>
      </c>
    </row>
    <row r="472" spans="1:10" x14ac:dyDescent="0.2">
      <c r="A472" s="6">
        <v>43411</v>
      </c>
      <c r="B472">
        <v>2008</v>
      </c>
      <c r="C472">
        <v>1284</v>
      </c>
      <c r="D472">
        <v>471</v>
      </c>
      <c r="E472">
        <v>8300</v>
      </c>
      <c r="F472" t="s">
        <v>25</v>
      </c>
      <c r="G472">
        <v>4</v>
      </c>
      <c r="H472" t="s">
        <v>68</v>
      </c>
      <c r="I472">
        <v>11</v>
      </c>
      <c r="J472" s="10">
        <f t="shared" si="7"/>
        <v>4</v>
      </c>
    </row>
    <row r="473" spans="1:10" x14ac:dyDescent="0.2">
      <c r="A473" s="6">
        <v>43355</v>
      </c>
      <c r="B473">
        <v>2007</v>
      </c>
      <c r="C473">
        <v>1284</v>
      </c>
      <c r="D473">
        <v>472</v>
      </c>
      <c r="E473">
        <v>10000</v>
      </c>
      <c r="F473" t="s">
        <v>25</v>
      </c>
      <c r="G473">
        <v>12</v>
      </c>
      <c r="H473" t="s">
        <v>68</v>
      </c>
      <c r="I473">
        <v>12</v>
      </c>
      <c r="J473" s="10">
        <f t="shared" si="7"/>
        <v>12</v>
      </c>
    </row>
    <row r="474" spans="1:10" x14ac:dyDescent="0.2">
      <c r="A474" s="6">
        <v>43215</v>
      </c>
      <c r="B474">
        <v>2008</v>
      </c>
      <c r="C474">
        <v>1284</v>
      </c>
      <c r="D474">
        <v>473</v>
      </c>
      <c r="E474">
        <v>9500</v>
      </c>
      <c r="F474" t="s">
        <v>25</v>
      </c>
      <c r="G474">
        <v>6</v>
      </c>
      <c r="H474" t="s">
        <v>68</v>
      </c>
      <c r="I474">
        <v>11</v>
      </c>
      <c r="J474" s="10">
        <f t="shared" si="7"/>
        <v>6</v>
      </c>
    </row>
    <row r="475" spans="1:10" x14ac:dyDescent="0.2">
      <c r="A475" s="6">
        <v>43036</v>
      </c>
      <c r="B475">
        <v>2007</v>
      </c>
      <c r="C475">
        <v>1284</v>
      </c>
      <c r="D475">
        <v>474</v>
      </c>
      <c r="E475">
        <v>8850</v>
      </c>
      <c r="F475" t="s">
        <v>25</v>
      </c>
      <c r="G475">
        <v>13</v>
      </c>
      <c r="H475" t="s">
        <v>68</v>
      </c>
      <c r="I475">
        <v>12</v>
      </c>
      <c r="J475" s="10">
        <f t="shared" si="7"/>
        <v>13</v>
      </c>
    </row>
    <row r="476" spans="1:10" x14ac:dyDescent="0.2">
      <c r="A476" s="6">
        <v>43529</v>
      </c>
      <c r="B476">
        <v>2008</v>
      </c>
      <c r="C476">
        <v>1296</v>
      </c>
      <c r="D476">
        <v>475</v>
      </c>
      <c r="E476">
        <v>8500</v>
      </c>
      <c r="F476" t="s">
        <v>25</v>
      </c>
      <c r="G476">
        <v>12</v>
      </c>
      <c r="H476" t="s">
        <v>68</v>
      </c>
      <c r="I476">
        <v>11</v>
      </c>
      <c r="J476" s="10">
        <f t="shared" si="7"/>
        <v>12</v>
      </c>
    </row>
    <row r="477" spans="1:10" x14ac:dyDescent="0.2">
      <c r="A477" s="6">
        <v>43511</v>
      </c>
      <c r="B477">
        <v>2007</v>
      </c>
      <c r="C477">
        <v>1296</v>
      </c>
      <c r="D477">
        <v>476</v>
      </c>
      <c r="E477">
        <v>8700</v>
      </c>
      <c r="F477" t="s">
        <v>25</v>
      </c>
      <c r="G477">
        <v>9</v>
      </c>
      <c r="H477" t="s">
        <v>68</v>
      </c>
      <c r="I477">
        <v>12</v>
      </c>
      <c r="J477" s="10">
        <f t="shared" si="7"/>
        <v>9</v>
      </c>
    </row>
    <row r="478" spans="1:10" x14ac:dyDescent="0.2">
      <c r="A478" s="6">
        <v>43486</v>
      </c>
      <c r="B478">
        <v>2007</v>
      </c>
      <c r="C478">
        <v>1296</v>
      </c>
      <c r="D478">
        <v>477</v>
      </c>
      <c r="E478">
        <v>8500</v>
      </c>
      <c r="F478" t="s">
        <v>25</v>
      </c>
      <c r="G478">
        <v>10</v>
      </c>
      <c r="H478" t="s">
        <v>68</v>
      </c>
      <c r="I478">
        <v>12</v>
      </c>
      <c r="J478" s="10">
        <f t="shared" si="7"/>
        <v>10</v>
      </c>
    </row>
    <row r="479" spans="1:10" x14ac:dyDescent="0.2">
      <c r="A479" s="6">
        <v>43418</v>
      </c>
      <c r="B479">
        <v>2008</v>
      </c>
      <c r="C479">
        <v>1296</v>
      </c>
      <c r="D479">
        <v>478</v>
      </c>
      <c r="E479">
        <v>7000</v>
      </c>
      <c r="F479" t="s">
        <v>25</v>
      </c>
      <c r="G479">
        <v>45</v>
      </c>
      <c r="H479" t="s">
        <v>26</v>
      </c>
      <c r="I479">
        <v>11</v>
      </c>
      <c r="J479" s="10">
        <f t="shared" si="7"/>
        <v>2</v>
      </c>
    </row>
    <row r="480" spans="1:10" x14ac:dyDescent="0.2">
      <c r="A480" s="6">
        <v>43395</v>
      </c>
      <c r="B480">
        <v>2008</v>
      </c>
      <c r="C480">
        <v>1296</v>
      </c>
      <c r="D480">
        <v>479</v>
      </c>
      <c r="E480">
        <v>7000</v>
      </c>
      <c r="F480" t="s">
        <v>25</v>
      </c>
      <c r="G480">
        <v>12</v>
      </c>
      <c r="H480" t="s">
        <v>68</v>
      </c>
      <c r="I480">
        <v>11</v>
      </c>
      <c r="J480" s="10">
        <f t="shared" si="7"/>
        <v>12</v>
      </c>
    </row>
    <row r="481" spans="1:10" x14ac:dyDescent="0.2">
      <c r="A481" s="6">
        <v>43391</v>
      </c>
      <c r="B481">
        <v>2006</v>
      </c>
      <c r="C481">
        <v>1296</v>
      </c>
      <c r="D481">
        <v>480</v>
      </c>
      <c r="E481">
        <v>11200</v>
      </c>
      <c r="F481" t="s">
        <v>25</v>
      </c>
      <c r="G481">
        <v>6</v>
      </c>
      <c r="H481" t="s">
        <v>68</v>
      </c>
      <c r="I481">
        <v>13</v>
      </c>
      <c r="J481" s="10">
        <f t="shared" si="7"/>
        <v>6</v>
      </c>
    </row>
    <row r="482" spans="1:10" x14ac:dyDescent="0.2">
      <c r="A482" s="6">
        <v>43357</v>
      </c>
      <c r="B482">
        <v>2007</v>
      </c>
      <c r="C482">
        <v>1296</v>
      </c>
      <c r="D482">
        <v>481</v>
      </c>
      <c r="E482">
        <v>10000</v>
      </c>
      <c r="F482" t="s">
        <v>25</v>
      </c>
      <c r="G482">
        <v>15</v>
      </c>
      <c r="H482" t="s">
        <v>68</v>
      </c>
      <c r="I482">
        <v>12</v>
      </c>
      <c r="J482" s="10">
        <f t="shared" si="7"/>
        <v>15</v>
      </c>
    </row>
    <row r="483" spans="1:10" x14ac:dyDescent="0.2">
      <c r="A483" s="6">
        <v>43355</v>
      </c>
      <c r="B483">
        <v>2008</v>
      </c>
      <c r="C483">
        <v>1296</v>
      </c>
      <c r="D483">
        <v>482</v>
      </c>
      <c r="E483">
        <v>9300</v>
      </c>
      <c r="F483" t="s">
        <v>25</v>
      </c>
      <c r="G483">
        <v>5</v>
      </c>
      <c r="H483" t="s">
        <v>68</v>
      </c>
      <c r="I483">
        <v>11</v>
      </c>
      <c r="J483" s="10">
        <f t="shared" si="7"/>
        <v>5</v>
      </c>
    </row>
    <row r="484" spans="1:10" x14ac:dyDescent="0.2">
      <c r="A484" s="6">
        <v>43335</v>
      </c>
      <c r="B484">
        <v>2007</v>
      </c>
      <c r="C484">
        <v>1296</v>
      </c>
      <c r="D484">
        <v>483</v>
      </c>
      <c r="E484">
        <v>10000</v>
      </c>
      <c r="F484" t="s">
        <v>25</v>
      </c>
      <c r="G484">
        <v>13</v>
      </c>
      <c r="H484" t="s">
        <v>68</v>
      </c>
      <c r="I484">
        <v>12</v>
      </c>
      <c r="J484" s="10">
        <f t="shared" si="7"/>
        <v>13</v>
      </c>
    </row>
    <row r="485" spans="1:10" x14ac:dyDescent="0.2">
      <c r="A485" s="6">
        <v>43203</v>
      </c>
      <c r="B485">
        <v>2008</v>
      </c>
      <c r="C485">
        <v>1296</v>
      </c>
      <c r="D485">
        <v>484</v>
      </c>
      <c r="E485">
        <v>9500</v>
      </c>
      <c r="F485" t="s">
        <v>25</v>
      </c>
      <c r="G485">
        <v>6</v>
      </c>
      <c r="H485" t="s">
        <v>68</v>
      </c>
      <c r="I485">
        <v>11</v>
      </c>
      <c r="J485" s="10">
        <f t="shared" si="7"/>
        <v>6</v>
      </c>
    </row>
    <row r="486" spans="1:10" x14ac:dyDescent="0.2">
      <c r="A486" s="6">
        <v>43201</v>
      </c>
      <c r="B486">
        <v>2008</v>
      </c>
      <c r="C486">
        <v>1296</v>
      </c>
      <c r="D486">
        <v>485</v>
      </c>
      <c r="E486">
        <v>9500</v>
      </c>
      <c r="F486" t="s">
        <v>25</v>
      </c>
      <c r="G486">
        <v>12</v>
      </c>
      <c r="H486" t="s">
        <v>68</v>
      </c>
      <c r="I486">
        <v>11</v>
      </c>
      <c r="J486" s="10">
        <f t="shared" si="7"/>
        <v>12</v>
      </c>
    </row>
    <row r="487" spans="1:10" x14ac:dyDescent="0.2">
      <c r="A487" s="6">
        <v>43179</v>
      </c>
      <c r="B487">
        <v>2006</v>
      </c>
      <c r="C487">
        <v>1296</v>
      </c>
      <c r="D487">
        <v>486</v>
      </c>
      <c r="E487">
        <v>10500</v>
      </c>
      <c r="F487" t="s">
        <v>25</v>
      </c>
      <c r="G487">
        <v>7</v>
      </c>
      <c r="H487" t="s">
        <v>68</v>
      </c>
      <c r="I487">
        <v>13</v>
      </c>
      <c r="J487" s="10">
        <f t="shared" si="7"/>
        <v>7</v>
      </c>
    </row>
    <row r="488" spans="1:10" x14ac:dyDescent="0.2">
      <c r="A488" s="6">
        <v>43179</v>
      </c>
      <c r="B488">
        <v>2007</v>
      </c>
      <c r="C488">
        <v>1296</v>
      </c>
      <c r="D488">
        <v>487</v>
      </c>
      <c r="E488">
        <v>10500</v>
      </c>
      <c r="F488" t="s">
        <v>25</v>
      </c>
      <c r="G488">
        <v>6</v>
      </c>
      <c r="H488" t="s">
        <v>68</v>
      </c>
      <c r="I488">
        <v>12</v>
      </c>
      <c r="J488" s="10">
        <f t="shared" si="7"/>
        <v>6</v>
      </c>
    </row>
    <row r="489" spans="1:10" x14ac:dyDescent="0.2">
      <c r="A489" s="6">
        <v>43164</v>
      </c>
      <c r="B489">
        <v>2007</v>
      </c>
      <c r="C489">
        <v>1296</v>
      </c>
      <c r="D489">
        <v>488</v>
      </c>
      <c r="E489">
        <v>9900</v>
      </c>
      <c r="F489" t="s">
        <v>25</v>
      </c>
      <c r="G489">
        <v>13</v>
      </c>
      <c r="H489" t="s">
        <v>68</v>
      </c>
      <c r="I489">
        <v>12</v>
      </c>
      <c r="J489" s="10">
        <f t="shared" si="7"/>
        <v>13</v>
      </c>
    </row>
    <row r="490" spans="1:10" x14ac:dyDescent="0.2">
      <c r="A490" s="6">
        <v>43059</v>
      </c>
      <c r="B490">
        <v>2008</v>
      </c>
      <c r="C490">
        <v>1296</v>
      </c>
      <c r="D490">
        <v>489</v>
      </c>
      <c r="E490">
        <v>7650</v>
      </c>
      <c r="F490" t="s">
        <v>25</v>
      </c>
      <c r="G490">
        <v>5</v>
      </c>
      <c r="H490" t="s">
        <v>68</v>
      </c>
      <c r="I490">
        <v>11</v>
      </c>
      <c r="J490" s="10">
        <f t="shared" si="7"/>
        <v>5</v>
      </c>
    </row>
    <row r="491" spans="1:10" x14ac:dyDescent="0.2">
      <c r="A491" s="6">
        <v>43040</v>
      </c>
      <c r="B491">
        <v>2008</v>
      </c>
      <c r="C491">
        <v>1296</v>
      </c>
      <c r="D491">
        <v>490</v>
      </c>
      <c r="E491">
        <v>7500</v>
      </c>
      <c r="F491" t="s">
        <v>25</v>
      </c>
      <c r="G491">
        <v>5</v>
      </c>
      <c r="H491" t="s">
        <v>68</v>
      </c>
      <c r="I491">
        <v>11</v>
      </c>
      <c r="J491" s="10">
        <f t="shared" si="7"/>
        <v>5</v>
      </c>
    </row>
    <row r="492" spans="1:10" x14ac:dyDescent="0.2">
      <c r="A492" s="6">
        <v>43019</v>
      </c>
      <c r="B492">
        <v>2007</v>
      </c>
      <c r="C492">
        <v>1296</v>
      </c>
      <c r="D492">
        <v>491</v>
      </c>
      <c r="E492">
        <v>8650</v>
      </c>
      <c r="F492" t="s">
        <v>25</v>
      </c>
      <c r="G492">
        <v>12</v>
      </c>
      <c r="H492" t="s">
        <v>68</v>
      </c>
      <c r="I492">
        <v>12</v>
      </c>
      <c r="J492" s="10">
        <f t="shared" si="7"/>
        <v>12</v>
      </c>
    </row>
    <row r="493" spans="1:10" x14ac:dyDescent="0.2">
      <c r="A493" s="6">
        <v>42996</v>
      </c>
      <c r="B493">
        <v>2007</v>
      </c>
      <c r="C493">
        <v>1296</v>
      </c>
      <c r="D493">
        <v>492</v>
      </c>
      <c r="E493">
        <v>8500</v>
      </c>
      <c r="F493" t="s">
        <v>25</v>
      </c>
      <c r="G493">
        <v>12</v>
      </c>
      <c r="H493" t="s">
        <v>68</v>
      </c>
      <c r="I493">
        <v>12</v>
      </c>
      <c r="J493" s="10">
        <f t="shared" si="7"/>
        <v>12</v>
      </c>
    </row>
    <row r="494" spans="1:10" x14ac:dyDescent="0.2">
      <c r="A494" s="6">
        <v>42979</v>
      </c>
      <c r="B494">
        <v>2008</v>
      </c>
      <c r="C494">
        <v>1296</v>
      </c>
      <c r="D494">
        <v>493</v>
      </c>
      <c r="E494">
        <v>7150</v>
      </c>
      <c r="F494" t="s">
        <v>25</v>
      </c>
      <c r="G494">
        <v>8</v>
      </c>
      <c r="H494" t="s">
        <v>68</v>
      </c>
      <c r="I494">
        <v>11</v>
      </c>
      <c r="J494" s="10">
        <f t="shared" si="7"/>
        <v>8</v>
      </c>
    </row>
    <row r="495" spans="1:10" x14ac:dyDescent="0.2">
      <c r="A495" s="6">
        <v>42975</v>
      </c>
      <c r="B495">
        <v>2007</v>
      </c>
      <c r="C495">
        <v>1296</v>
      </c>
      <c r="D495">
        <v>494</v>
      </c>
      <c r="E495">
        <v>7950</v>
      </c>
      <c r="F495" t="s">
        <v>25</v>
      </c>
      <c r="G495">
        <v>7</v>
      </c>
      <c r="H495" t="s">
        <v>68</v>
      </c>
      <c r="I495">
        <v>12</v>
      </c>
      <c r="J495" s="10">
        <f t="shared" si="7"/>
        <v>7</v>
      </c>
    </row>
    <row r="496" spans="1:10" x14ac:dyDescent="0.2">
      <c r="A496" s="6">
        <v>42948</v>
      </c>
      <c r="B496">
        <v>2008</v>
      </c>
      <c r="C496">
        <v>1296</v>
      </c>
      <c r="D496">
        <v>495</v>
      </c>
      <c r="E496">
        <v>7650</v>
      </c>
      <c r="F496" t="s">
        <v>25</v>
      </c>
      <c r="G496">
        <v>3</v>
      </c>
      <c r="H496" t="s">
        <v>68</v>
      </c>
      <c r="I496">
        <v>11</v>
      </c>
      <c r="J496" s="10">
        <f t="shared" si="7"/>
        <v>3</v>
      </c>
    </row>
    <row r="497" spans="1:10" x14ac:dyDescent="0.2">
      <c r="A497" s="6">
        <v>42948</v>
      </c>
      <c r="B497">
        <v>2007</v>
      </c>
      <c r="C497">
        <v>1296</v>
      </c>
      <c r="D497">
        <v>496</v>
      </c>
      <c r="E497">
        <v>7800</v>
      </c>
      <c r="F497" t="s">
        <v>25</v>
      </c>
      <c r="G497">
        <v>90</v>
      </c>
      <c r="H497" t="s">
        <v>26</v>
      </c>
      <c r="I497">
        <v>12</v>
      </c>
      <c r="J497" s="10">
        <f t="shared" si="7"/>
        <v>3</v>
      </c>
    </row>
    <row r="498" spans="1:10" x14ac:dyDescent="0.2">
      <c r="A498" s="6">
        <v>42921</v>
      </c>
      <c r="B498">
        <v>2008</v>
      </c>
      <c r="C498">
        <v>1296</v>
      </c>
      <c r="D498">
        <v>497</v>
      </c>
      <c r="E498">
        <v>6650</v>
      </c>
      <c r="F498" t="s">
        <v>25</v>
      </c>
      <c r="G498">
        <v>4</v>
      </c>
      <c r="H498" t="s">
        <v>68</v>
      </c>
      <c r="I498">
        <v>11</v>
      </c>
      <c r="J498" s="10">
        <f t="shared" si="7"/>
        <v>4</v>
      </c>
    </row>
    <row r="499" spans="1:10" x14ac:dyDescent="0.2">
      <c r="A499" s="6">
        <v>42917</v>
      </c>
      <c r="B499">
        <v>2008</v>
      </c>
      <c r="C499">
        <v>1296</v>
      </c>
      <c r="D499">
        <v>498</v>
      </c>
      <c r="E499">
        <v>7500</v>
      </c>
      <c r="F499" t="s">
        <v>25</v>
      </c>
      <c r="G499">
        <v>60</v>
      </c>
      <c r="H499" t="s">
        <v>26</v>
      </c>
      <c r="I499">
        <v>11</v>
      </c>
      <c r="J499" s="10">
        <f t="shared" si="7"/>
        <v>2</v>
      </c>
    </row>
    <row r="500" spans="1:10" x14ac:dyDescent="0.2">
      <c r="A500" s="6">
        <v>42887</v>
      </c>
      <c r="B500">
        <v>2008</v>
      </c>
      <c r="C500">
        <v>1296</v>
      </c>
      <c r="D500">
        <v>499</v>
      </c>
      <c r="E500">
        <v>7000</v>
      </c>
      <c r="F500" t="s">
        <v>25</v>
      </c>
      <c r="G500">
        <v>42</v>
      </c>
      <c r="H500" t="s">
        <v>26</v>
      </c>
      <c r="I500">
        <v>11</v>
      </c>
      <c r="J500" s="10">
        <f t="shared" si="7"/>
        <v>1</v>
      </c>
    </row>
    <row r="501" spans="1:10" x14ac:dyDescent="0.2">
      <c r="A501" s="6">
        <v>42887</v>
      </c>
      <c r="B501">
        <v>2008</v>
      </c>
      <c r="C501">
        <v>1296</v>
      </c>
      <c r="D501">
        <v>500</v>
      </c>
      <c r="E501">
        <v>6600</v>
      </c>
      <c r="F501" t="s">
        <v>25</v>
      </c>
      <c r="G501">
        <v>5</v>
      </c>
      <c r="H501" t="s">
        <v>68</v>
      </c>
      <c r="I501">
        <v>11</v>
      </c>
      <c r="J501" s="10">
        <f t="shared" si="7"/>
        <v>5</v>
      </c>
    </row>
    <row r="502" spans="1:10" x14ac:dyDescent="0.2">
      <c r="A502" s="6">
        <v>42826</v>
      </c>
      <c r="B502">
        <v>2007</v>
      </c>
      <c r="C502">
        <v>1296</v>
      </c>
      <c r="D502">
        <v>501</v>
      </c>
      <c r="E502">
        <v>8000</v>
      </c>
      <c r="F502" t="s">
        <v>25</v>
      </c>
      <c r="G502">
        <v>24</v>
      </c>
      <c r="H502" t="s">
        <v>68</v>
      </c>
      <c r="I502">
        <v>12</v>
      </c>
      <c r="J502" s="10">
        <f t="shared" si="7"/>
        <v>24</v>
      </c>
    </row>
    <row r="503" spans="1:10" x14ac:dyDescent="0.2">
      <c r="A503" s="6">
        <v>42826</v>
      </c>
      <c r="B503">
        <v>2007</v>
      </c>
      <c r="C503">
        <v>1296</v>
      </c>
      <c r="D503">
        <v>502</v>
      </c>
      <c r="E503">
        <v>8000</v>
      </c>
      <c r="F503" t="s">
        <v>25</v>
      </c>
      <c r="G503">
        <v>12</v>
      </c>
      <c r="H503" t="s">
        <v>68</v>
      </c>
      <c r="I503">
        <v>12</v>
      </c>
      <c r="J503" s="10">
        <f t="shared" si="7"/>
        <v>12</v>
      </c>
    </row>
    <row r="504" spans="1:10" x14ac:dyDescent="0.2">
      <c r="A504" s="6">
        <v>42800</v>
      </c>
      <c r="B504">
        <v>2007</v>
      </c>
      <c r="C504">
        <v>1296</v>
      </c>
      <c r="D504">
        <v>503</v>
      </c>
      <c r="E504">
        <v>7850</v>
      </c>
      <c r="F504" t="s">
        <v>25</v>
      </c>
      <c r="G504">
        <v>13</v>
      </c>
      <c r="H504" t="s">
        <v>68</v>
      </c>
      <c r="I504">
        <v>12</v>
      </c>
      <c r="J504" s="10">
        <f t="shared" si="7"/>
        <v>13</v>
      </c>
    </row>
    <row r="505" spans="1:10" x14ac:dyDescent="0.2">
      <c r="A505" s="6">
        <v>42787</v>
      </c>
      <c r="B505">
        <v>2007</v>
      </c>
      <c r="C505">
        <v>1296</v>
      </c>
      <c r="D505">
        <v>504</v>
      </c>
      <c r="E505">
        <v>8950</v>
      </c>
      <c r="F505" t="s">
        <v>25</v>
      </c>
      <c r="G505">
        <v>7</v>
      </c>
      <c r="H505" t="s">
        <v>68</v>
      </c>
      <c r="I505">
        <v>12</v>
      </c>
      <c r="J505" s="10">
        <f t="shared" si="7"/>
        <v>7</v>
      </c>
    </row>
    <row r="506" spans="1:10" x14ac:dyDescent="0.2">
      <c r="A506" s="6">
        <v>42786</v>
      </c>
      <c r="B506">
        <v>2007</v>
      </c>
      <c r="C506">
        <v>1296</v>
      </c>
      <c r="D506">
        <v>505</v>
      </c>
      <c r="E506">
        <v>7650</v>
      </c>
      <c r="F506" t="s">
        <v>25</v>
      </c>
      <c r="G506">
        <v>6</v>
      </c>
      <c r="H506" t="s">
        <v>68</v>
      </c>
      <c r="I506">
        <v>12</v>
      </c>
      <c r="J506" s="10">
        <f t="shared" si="7"/>
        <v>6</v>
      </c>
    </row>
    <row r="507" spans="1:10" x14ac:dyDescent="0.2">
      <c r="A507" s="6">
        <v>42755</v>
      </c>
      <c r="B507">
        <v>2006</v>
      </c>
      <c r="C507">
        <v>1296</v>
      </c>
      <c r="D507">
        <v>506</v>
      </c>
      <c r="E507">
        <v>7800</v>
      </c>
      <c r="F507" t="s">
        <v>25</v>
      </c>
      <c r="G507">
        <v>9</v>
      </c>
      <c r="H507" t="s">
        <v>68</v>
      </c>
      <c r="I507">
        <v>13</v>
      </c>
      <c r="J507" s="10">
        <f t="shared" si="7"/>
        <v>9</v>
      </c>
    </row>
    <row r="508" spans="1:10" x14ac:dyDescent="0.2">
      <c r="A508" s="6">
        <v>42750</v>
      </c>
      <c r="B508">
        <v>2008</v>
      </c>
      <c r="C508">
        <v>1296</v>
      </c>
      <c r="D508">
        <v>507</v>
      </c>
      <c r="E508">
        <v>6000</v>
      </c>
      <c r="F508" t="s">
        <v>25</v>
      </c>
      <c r="G508">
        <v>5</v>
      </c>
      <c r="H508" t="s">
        <v>68</v>
      </c>
      <c r="I508">
        <v>11</v>
      </c>
      <c r="J508" s="10">
        <f t="shared" si="7"/>
        <v>5</v>
      </c>
    </row>
    <row r="509" spans="1:10" x14ac:dyDescent="0.2">
      <c r="A509" s="6">
        <v>42710</v>
      </c>
      <c r="B509">
        <v>2008</v>
      </c>
      <c r="C509">
        <v>1296</v>
      </c>
      <c r="D509">
        <v>508</v>
      </c>
      <c r="E509">
        <v>5500</v>
      </c>
      <c r="F509" t="s">
        <v>25</v>
      </c>
      <c r="G509">
        <v>12</v>
      </c>
      <c r="H509" t="s">
        <v>68</v>
      </c>
      <c r="I509">
        <v>11</v>
      </c>
      <c r="J509" s="10">
        <f t="shared" si="7"/>
        <v>12</v>
      </c>
    </row>
    <row r="510" spans="1:10" x14ac:dyDescent="0.2">
      <c r="A510" s="6">
        <v>42705</v>
      </c>
      <c r="B510">
        <v>2008</v>
      </c>
      <c r="C510">
        <v>1296</v>
      </c>
      <c r="D510">
        <v>509</v>
      </c>
      <c r="E510">
        <v>5500</v>
      </c>
      <c r="F510" t="s">
        <v>25</v>
      </c>
      <c r="G510">
        <v>12</v>
      </c>
      <c r="H510" t="s">
        <v>68</v>
      </c>
      <c r="I510">
        <v>11</v>
      </c>
      <c r="J510" s="10">
        <f t="shared" si="7"/>
        <v>12</v>
      </c>
    </row>
    <row r="511" spans="1:10" x14ac:dyDescent="0.2">
      <c r="A511" s="6">
        <v>42694</v>
      </c>
      <c r="B511">
        <v>2007</v>
      </c>
      <c r="C511">
        <v>1296</v>
      </c>
      <c r="D511">
        <v>510</v>
      </c>
      <c r="E511">
        <v>8000</v>
      </c>
      <c r="F511" t="s">
        <v>25</v>
      </c>
      <c r="G511">
        <v>4.5</v>
      </c>
      <c r="H511" t="s">
        <v>68</v>
      </c>
      <c r="I511">
        <v>12</v>
      </c>
      <c r="J511" s="10">
        <f t="shared" si="7"/>
        <v>4.5</v>
      </c>
    </row>
    <row r="512" spans="1:10" x14ac:dyDescent="0.2">
      <c r="A512" s="6">
        <v>42667</v>
      </c>
      <c r="B512">
        <v>2008</v>
      </c>
      <c r="C512">
        <v>1296</v>
      </c>
      <c r="D512">
        <v>511</v>
      </c>
      <c r="E512">
        <v>7250</v>
      </c>
      <c r="F512" t="s">
        <v>25</v>
      </c>
      <c r="G512">
        <v>5</v>
      </c>
      <c r="H512" t="s">
        <v>68</v>
      </c>
      <c r="I512">
        <v>11</v>
      </c>
      <c r="J512" s="10">
        <f t="shared" si="7"/>
        <v>5</v>
      </c>
    </row>
    <row r="513" spans="1:10" x14ac:dyDescent="0.2">
      <c r="A513" s="6">
        <v>42658</v>
      </c>
      <c r="B513">
        <v>2007</v>
      </c>
      <c r="C513">
        <v>1296</v>
      </c>
      <c r="D513">
        <v>512</v>
      </c>
      <c r="E513">
        <v>8250</v>
      </c>
      <c r="F513" t="s">
        <v>25</v>
      </c>
      <c r="G513">
        <v>4</v>
      </c>
      <c r="H513" t="s">
        <v>68</v>
      </c>
      <c r="I513">
        <v>12</v>
      </c>
      <c r="J513" s="10">
        <f t="shared" si="7"/>
        <v>4</v>
      </c>
    </row>
    <row r="514" spans="1:10" x14ac:dyDescent="0.2">
      <c r="A514" s="6">
        <v>42618</v>
      </c>
      <c r="B514">
        <v>2007</v>
      </c>
      <c r="C514">
        <v>1296</v>
      </c>
      <c r="D514">
        <v>513</v>
      </c>
      <c r="E514">
        <v>8100</v>
      </c>
      <c r="F514" t="s">
        <v>25</v>
      </c>
      <c r="G514">
        <v>9</v>
      </c>
      <c r="H514" t="s">
        <v>68</v>
      </c>
      <c r="I514">
        <v>12</v>
      </c>
      <c r="J514" s="10">
        <f t="shared" ref="J514:J577" si="8">IF(H514="days",ROUND(G514/30,0),IF(H514="years",G514*12,G514))</f>
        <v>9</v>
      </c>
    </row>
    <row r="515" spans="1:10" x14ac:dyDescent="0.2">
      <c r="A515" s="6">
        <v>42614</v>
      </c>
      <c r="B515">
        <v>2007</v>
      </c>
      <c r="C515">
        <v>1296</v>
      </c>
      <c r="D515">
        <v>514</v>
      </c>
      <c r="E515">
        <v>9150</v>
      </c>
      <c r="F515" t="s">
        <v>25</v>
      </c>
      <c r="G515">
        <v>6</v>
      </c>
      <c r="H515" t="s">
        <v>68</v>
      </c>
      <c r="I515">
        <v>12</v>
      </c>
      <c r="J515" s="10">
        <f t="shared" si="8"/>
        <v>6</v>
      </c>
    </row>
    <row r="516" spans="1:10" x14ac:dyDescent="0.2">
      <c r="A516" s="6">
        <v>42612</v>
      </c>
      <c r="B516">
        <v>2008</v>
      </c>
      <c r="C516">
        <v>1296</v>
      </c>
      <c r="D516">
        <v>515</v>
      </c>
      <c r="E516">
        <v>7650</v>
      </c>
      <c r="F516" t="s">
        <v>25</v>
      </c>
      <c r="G516">
        <v>6</v>
      </c>
      <c r="H516" t="s">
        <v>68</v>
      </c>
      <c r="I516">
        <v>11</v>
      </c>
      <c r="J516" s="10">
        <f t="shared" si="8"/>
        <v>6</v>
      </c>
    </row>
    <row r="517" spans="1:10" x14ac:dyDescent="0.2">
      <c r="A517" s="6">
        <v>42597</v>
      </c>
      <c r="B517">
        <v>2007</v>
      </c>
      <c r="C517">
        <v>1296</v>
      </c>
      <c r="D517">
        <v>516</v>
      </c>
      <c r="E517">
        <v>8100</v>
      </c>
      <c r="F517" t="s">
        <v>25</v>
      </c>
      <c r="G517">
        <v>6</v>
      </c>
      <c r="H517" t="s">
        <v>68</v>
      </c>
      <c r="I517">
        <v>12</v>
      </c>
      <c r="J517" s="10">
        <f t="shared" si="8"/>
        <v>6</v>
      </c>
    </row>
    <row r="518" spans="1:10" x14ac:dyDescent="0.2">
      <c r="A518" s="6">
        <v>42594</v>
      </c>
      <c r="B518">
        <v>2007</v>
      </c>
      <c r="C518">
        <v>1296</v>
      </c>
      <c r="D518">
        <v>517</v>
      </c>
      <c r="E518">
        <v>8100</v>
      </c>
      <c r="F518" t="s">
        <v>25</v>
      </c>
      <c r="G518">
        <v>6</v>
      </c>
      <c r="H518" t="s">
        <v>68</v>
      </c>
      <c r="I518">
        <v>12</v>
      </c>
      <c r="J518" s="10">
        <f t="shared" si="8"/>
        <v>6</v>
      </c>
    </row>
    <row r="519" spans="1:10" x14ac:dyDescent="0.2">
      <c r="A519" s="6">
        <v>42592</v>
      </c>
      <c r="B519">
        <v>2008</v>
      </c>
      <c r="C519">
        <v>1296</v>
      </c>
      <c r="D519">
        <v>518</v>
      </c>
      <c r="E519">
        <v>6800</v>
      </c>
      <c r="F519" t="s">
        <v>25</v>
      </c>
      <c r="G519">
        <v>7</v>
      </c>
      <c r="H519" t="s">
        <v>68</v>
      </c>
      <c r="I519">
        <v>11</v>
      </c>
      <c r="J519" s="10">
        <f t="shared" si="8"/>
        <v>7</v>
      </c>
    </row>
    <row r="520" spans="1:10" x14ac:dyDescent="0.2">
      <c r="A520" s="6">
        <v>42564</v>
      </c>
      <c r="B520">
        <v>2007</v>
      </c>
      <c r="C520">
        <v>1296</v>
      </c>
      <c r="D520">
        <v>519</v>
      </c>
      <c r="E520">
        <v>8000</v>
      </c>
      <c r="F520" t="s">
        <v>25</v>
      </c>
      <c r="G520">
        <v>12</v>
      </c>
      <c r="H520" t="s">
        <v>68</v>
      </c>
      <c r="I520">
        <v>12</v>
      </c>
      <c r="J520" s="10">
        <f t="shared" si="8"/>
        <v>12</v>
      </c>
    </row>
    <row r="521" spans="1:10" x14ac:dyDescent="0.2">
      <c r="A521" s="6">
        <v>42552</v>
      </c>
      <c r="B521">
        <v>2007</v>
      </c>
      <c r="C521">
        <v>1296</v>
      </c>
      <c r="D521">
        <v>520</v>
      </c>
      <c r="E521">
        <v>8000</v>
      </c>
      <c r="F521" t="s">
        <v>25</v>
      </c>
      <c r="G521">
        <v>7</v>
      </c>
      <c r="H521" t="s">
        <v>68</v>
      </c>
      <c r="I521">
        <v>12</v>
      </c>
      <c r="J521" s="10">
        <f t="shared" si="8"/>
        <v>7</v>
      </c>
    </row>
    <row r="522" spans="1:10" x14ac:dyDescent="0.2">
      <c r="A522" s="6">
        <v>42534</v>
      </c>
      <c r="B522">
        <v>2007</v>
      </c>
      <c r="C522">
        <v>1296</v>
      </c>
      <c r="D522">
        <v>521</v>
      </c>
      <c r="E522">
        <v>7900</v>
      </c>
      <c r="F522" t="s">
        <v>25</v>
      </c>
      <c r="G522">
        <v>9</v>
      </c>
      <c r="H522" t="s">
        <v>68</v>
      </c>
      <c r="I522">
        <v>12</v>
      </c>
      <c r="J522" s="10">
        <f t="shared" si="8"/>
        <v>9</v>
      </c>
    </row>
    <row r="523" spans="1:10" x14ac:dyDescent="0.2">
      <c r="A523" s="6">
        <v>42530</v>
      </c>
      <c r="B523">
        <v>2008</v>
      </c>
      <c r="C523">
        <v>1296</v>
      </c>
      <c r="D523">
        <v>522</v>
      </c>
      <c r="E523">
        <v>7900</v>
      </c>
      <c r="F523" t="s">
        <v>25</v>
      </c>
      <c r="G523">
        <v>5</v>
      </c>
      <c r="H523" t="s">
        <v>68</v>
      </c>
      <c r="I523">
        <v>11</v>
      </c>
      <c r="J523" s="10">
        <f t="shared" si="8"/>
        <v>5</v>
      </c>
    </row>
    <row r="524" spans="1:10" x14ac:dyDescent="0.2">
      <c r="A524" s="6">
        <v>42510</v>
      </c>
      <c r="B524">
        <v>2007</v>
      </c>
      <c r="C524">
        <v>1296</v>
      </c>
      <c r="D524">
        <v>523</v>
      </c>
      <c r="E524">
        <v>8500</v>
      </c>
      <c r="F524" t="s">
        <v>25</v>
      </c>
      <c r="G524">
        <v>6</v>
      </c>
      <c r="H524" t="s">
        <v>68</v>
      </c>
      <c r="I524">
        <v>12</v>
      </c>
      <c r="J524" s="10">
        <f t="shared" si="8"/>
        <v>6</v>
      </c>
    </row>
    <row r="525" spans="1:10" x14ac:dyDescent="0.2">
      <c r="A525" s="6">
        <v>42502</v>
      </c>
      <c r="B525">
        <v>2008</v>
      </c>
      <c r="C525">
        <v>1296</v>
      </c>
      <c r="D525">
        <v>524</v>
      </c>
      <c r="E525">
        <v>8350</v>
      </c>
      <c r="F525" t="s">
        <v>25</v>
      </c>
      <c r="G525">
        <v>42</v>
      </c>
      <c r="H525" t="s">
        <v>26</v>
      </c>
      <c r="I525">
        <v>11</v>
      </c>
      <c r="J525" s="10">
        <f t="shared" si="8"/>
        <v>1</v>
      </c>
    </row>
    <row r="526" spans="1:10" x14ac:dyDescent="0.2">
      <c r="A526" s="6">
        <v>42480</v>
      </c>
      <c r="B526">
        <v>2007</v>
      </c>
      <c r="C526">
        <v>1296</v>
      </c>
      <c r="D526">
        <v>525</v>
      </c>
      <c r="E526">
        <v>7900</v>
      </c>
      <c r="F526" t="s">
        <v>25</v>
      </c>
      <c r="G526">
        <v>4</v>
      </c>
      <c r="H526" t="s">
        <v>68</v>
      </c>
      <c r="I526">
        <v>12</v>
      </c>
      <c r="J526" s="10">
        <f t="shared" si="8"/>
        <v>4</v>
      </c>
    </row>
    <row r="527" spans="1:10" x14ac:dyDescent="0.2">
      <c r="A527" s="6">
        <v>42461</v>
      </c>
      <c r="B527">
        <v>2008</v>
      </c>
      <c r="C527">
        <v>1296</v>
      </c>
      <c r="D527">
        <v>526</v>
      </c>
      <c r="E527">
        <v>8250</v>
      </c>
      <c r="F527" t="s">
        <v>25</v>
      </c>
      <c r="G527">
        <v>6</v>
      </c>
      <c r="H527" t="s">
        <v>68</v>
      </c>
      <c r="I527">
        <v>11</v>
      </c>
      <c r="J527" s="10">
        <f t="shared" si="8"/>
        <v>6</v>
      </c>
    </row>
    <row r="528" spans="1:10" x14ac:dyDescent="0.2">
      <c r="A528" s="6">
        <v>42430</v>
      </c>
      <c r="B528">
        <v>2007</v>
      </c>
      <c r="C528">
        <v>1296</v>
      </c>
      <c r="D528">
        <v>527</v>
      </c>
      <c r="E528">
        <v>8200</v>
      </c>
      <c r="F528" t="s">
        <v>25</v>
      </c>
      <c r="G528">
        <v>9</v>
      </c>
      <c r="H528" t="s">
        <v>68</v>
      </c>
      <c r="I528">
        <v>12</v>
      </c>
      <c r="J528" s="10">
        <f t="shared" si="8"/>
        <v>9</v>
      </c>
    </row>
    <row r="529" spans="1:10" x14ac:dyDescent="0.2">
      <c r="A529" s="6">
        <v>42430</v>
      </c>
      <c r="B529">
        <v>2006</v>
      </c>
      <c r="C529">
        <v>1296</v>
      </c>
      <c r="D529">
        <v>528</v>
      </c>
      <c r="E529">
        <v>8500</v>
      </c>
      <c r="F529" t="s">
        <v>25</v>
      </c>
      <c r="G529">
        <v>8</v>
      </c>
      <c r="H529" t="s">
        <v>68</v>
      </c>
      <c r="I529">
        <v>13</v>
      </c>
      <c r="J529" s="10">
        <f t="shared" si="8"/>
        <v>8</v>
      </c>
    </row>
    <row r="530" spans="1:10" x14ac:dyDescent="0.2">
      <c r="A530" s="6">
        <v>42415</v>
      </c>
      <c r="B530">
        <v>2007</v>
      </c>
      <c r="C530">
        <v>1296</v>
      </c>
      <c r="D530">
        <v>529</v>
      </c>
      <c r="E530">
        <v>10650</v>
      </c>
      <c r="F530" t="s">
        <v>25</v>
      </c>
      <c r="G530">
        <v>1.5</v>
      </c>
      <c r="H530" t="s">
        <v>68</v>
      </c>
      <c r="I530">
        <v>12</v>
      </c>
      <c r="J530" s="10">
        <f t="shared" si="8"/>
        <v>1.5</v>
      </c>
    </row>
    <row r="531" spans="1:10" x14ac:dyDescent="0.2">
      <c r="A531" s="6">
        <v>42411</v>
      </c>
      <c r="B531">
        <v>2008</v>
      </c>
      <c r="C531">
        <v>1296</v>
      </c>
      <c r="D531">
        <v>530</v>
      </c>
      <c r="E531">
        <v>7700</v>
      </c>
      <c r="F531" t="s">
        <v>25</v>
      </c>
      <c r="G531">
        <v>4</v>
      </c>
      <c r="H531" t="s">
        <v>68</v>
      </c>
      <c r="I531">
        <v>11</v>
      </c>
      <c r="J531" s="10">
        <f t="shared" si="8"/>
        <v>4</v>
      </c>
    </row>
    <row r="532" spans="1:10" x14ac:dyDescent="0.2">
      <c r="A532" s="6">
        <v>42404</v>
      </c>
      <c r="B532">
        <v>2007</v>
      </c>
      <c r="C532">
        <v>1296</v>
      </c>
      <c r="D532">
        <v>531</v>
      </c>
      <c r="E532">
        <v>7950</v>
      </c>
      <c r="F532" t="s">
        <v>25</v>
      </c>
      <c r="G532">
        <v>7</v>
      </c>
      <c r="H532" t="s">
        <v>68</v>
      </c>
      <c r="I532">
        <v>12</v>
      </c>
      <c r="J532" s="10">
        <f t="shared" si="8"/>
        <v>7</v>
      </c>
    </row>
    <row r="533" spans="1:10" x14ac:dyDescent="0.2">
      <c r="A533" s="6">
        <v>42403</v>
      </c>
      <c r="B533">
        <v>2007</v>
      </c>
      <c r="C533">
        <v>1296</v>
      </c>
      <c r="D533">
        <v>532</v>
      </c>
      <c r="E533">
        <v>9600</v>
      </c>
      <c r="F533" t="s">
        <v>25</v>
      </c>
      <c r="G533">
        <v>9</v>
      </c>
      <c r="H533" t="s">
        <v>68</v>
      </c>
      <c r="I533">
        <v>12</v>
      </c>
      <c r="J533" s="10">
        <f t="shared" si="8"/>
        <v>9</v>
      </c>
    </row>
    <row r="534" spans="1:10" x14ac:dyDescent="0.2">
      <c r="A534" s="6">
        <v>42401</v>
      </c>
      <c r="B534">
        <v>2008</v>
      </c>
      <c r="C534">
        <v>1296</v>
      </c>
      <c r="D534">
        <v>533</v>
      </c>
      <c r="E534">
        <v>7600</v>
      </c>
      <c r="F534" t="s">
        <v>25</v>
      </c>
      <c r="G534">
        <v>3</v>
      </c>
      <c r="H534" t="s">
        <v>68</v>
      </c>
      <c r="I534">
        <v>11</v>
      </c>
      <c r="J534" s="10">
        <f t="shared" si="8"/>
        <v>3</v>
      </c>
    </row>
    <row r="535" spans="1:10" x14ac:dyDescent="0.2">
      <c r="A535" s="6">
        <v>42398</v>
      </c>
      <c r="B535">
        <v>2008</v>
      </c>
      <c r="C535">
        <v>1296</v>
      </c>
      <c r="D535">
        <v>534</v>
      </c>
      <c r="E535">
        <v>6500</v>
      </c>
      <c r="F535" t="s">
        <v>25</v>
      </c>
      <c r="G535">
        <v>7</v>
      </c>
      <c r="H535" t="s">
        <v>68</v>
      </c>
      <c r="I535">
        <v>11</v>
      </c>
      <c r="J535" s="10">
        <f t="shared" si="8"/>
        <v>7</v>
      </c>
    </row>
    <row r="536" spans="1:10" x14ac:dyDescent="0.2">
      <c r="A536" s="6">
        <v>43523</v>
      </c>
      <c r="B536">
        <v>2010</v>
      </c>
      <c r="C536">
        <v>1304</v>
      </c>
      <c r="D536">
        <v>535</v>
      </c>
      <c r="E536">
        <v>7400</v>
      </c>
      <c r="F536" t="s">
        <v>25</v>
      </c>
      <c r="G536">
        <v>14</v>
      </c>
      <c r="H536" t="s">
        <v>68</v>
      </c>
      <c r="I536">
        <v>9</v>
      </c>
      <c r="J536" s="10">
        <f t="shared" si="8"/>
        <v>14</v>
      </c>
    </row>
    <row r="537" spans="1:10" x14ac:dyDescent="0.2">
      <c r="A537" s="6">
        <v>43501</v>
      </c>
      <c r="B537">
        <v>2009</v>
      </c>
      <c r="C537">
        <v>1304</v>
      </c>
      <c r="D537">
        <v>536</v>
      </c>
      <c r="E537">
        <v>6700</v>
      </c>
      <c r="F537" t="s">
        <v>25</v>
      </c>
      <c r="G537">
        <v>7</v>
      </c>
      <c r="H537" t="s">
        <v>68</v>
      </c>
      <c r="I537">
        <v>10</v>
      </c>
      <c r="J537" s="10">
        <f t="shared" si="8"/>
        <v>7</v>
      </c>
    </row>
    <row r="538" spans="1:10" x14ac:dyDescent="0.2">
      <c r="A538" s="6">
        <v>43395</v>
      </c>
      <c r="B538">
        <v>2010</v>
      </c>
      <c r="C538">
        <v>1304</v>
      </c>
      <c r="D538">
        <v>537</v>
      </c>
      <c r="E538">
        <v>6550</v>
      </c>
      <c r="F538" t="s">
        <v>25</v>
      </c>
      <c r="G538">
        <v>10</v>
      </c>
      <c r="H538" t="s">
        <v>68</v>
      </c>
      <c r="I538">
        <v>9</v>
      </c>
      <c r="J538" s="10">
        <f t="shared" si="8"/>
        <v>10</v>
      </c>
    </row>
    <row r="539" spans="1:10" x14ac:dyDescent="0.2">
      <c r="A539" s="6">
        <v>43388</v>
      </c>
      <c r="B539">
        <v>2009</v>
      </c>
      <c r="C539">
        <v>1304</v>
      </c>
      <c r="D539">
        <v>538</v>
      </c>
      <c r="E539">
        <v>7300</v>
      </c>
      <c r="F539" t="s">
        <v>25</v>
      </c>
      <c r="G539">
        <v>10</v>
      </c>
      <c r="H539" t="s">
        <v>68</v>
      </c>
      <c r="I539">
        <v>10</v>
      </c>
      <c r="J539" s="10">
        <f t="shared" si="8"/>
        <v>10</v>
      </c>
    </row>
    <row r="540" spans="1:10" x14ac:dyDescent="0.2">
      <c r="A540" s="6">
        <v>43378</v>
      </c>
      <c r="B540">
        <v>2007</v>
      </c>
      <c r="C540">
        <v>1304</v>
      </c>
      <c r="D540">
        <v>539</v>
      </c>
      <c r="E540">
        <v>7500</v>
      </c>
      <c r="F540" t="s">
        <v>25</v>
      </c>
      <c r="G540">
        <v>12</v>
      </c>
      <c r="H540" t="s">
        <v>68</v>
      </c>
      <c r="I540">
        <v>12</v>
      </c>
      <c r="J540" s="10">
        <f t="shared" si="8"/>
        <v>12</v>
      </c>
    </row>
    <row r="541" spans="1:10" x14ac:dyDescent="0.2">
      <c r="A541" s="6">
        <v>43255</v>
      </c>
      <c r="B541">
        <v>2009</v>
      </c>
      <c r="C541">
        <v>1304</v>
      </c>
      <c r="D541">
        <v>540</v>
      </c>
      <c r="E541">
        <v>9250</v>
      </c>
      <c r="F541" t="s">
        <v>25</v>
      </c>
      <c r="G541">
        <v>4</v>
      </c>
      <c r="H541" t="s">
        <v>68</v>
      </c>
      <c r="I541">
        <v>10</v>
      </c>
      <c r="J541" s="10">
        <f t="shared" si="8"/>
        <v>4</v>
      </c>
    </row>
    <row r="542" spans="1:10" x14ac:dyDescent="0.2">
      <c r="A542" s="6">
        <v>43083</v>
      </c>
      <c r="B542">
        <v>2010</v>
      </c>
      <c r="C542">
        <v>1304</v>
      </c>
      <c r="D542">
        <v>541</v>
      </c>
      <c r="E542">
        <v>7700</v>
      </c>
      <c r="F542" t="s">
        <v>25</v>
      </c>
      <c r="G542">
        <v>10</v>
      </c>
      <c r="H542" t="s">
        <v>68</v>
      </c>
      <c r="I542">
        <v>9</v>
      </c>
      <c r="J542" s="10">
        <f t="shared" si="8"/>
        <v>10</v>
      </c>
    </row>
    <row r="543" spans="1:10" x14ac:dyDescent="0.2">
      <c r="A543" s="6">
        <v>42977</v>
      </c>
      <c r="B543">
        <v>2007</v>
      </c>
      <c r="C543">
        <v>1304</v>
      </c>
      <c r="D543">
        <v>542</v>
      </c>
      <c r="E543">
        <v>7900</v>
      </c>
      <c r="F543" t="s">
        <v>25</v>
      </c>
      <c r="G543">
        <v>12</v>
      </c>
      <c r="H543" t="s">
        <v>68</v>
      </c>
      <c r="I543">
        <v>12</v>
      </c>
      <c r="J543" s="10">
        <f t="shared" si="8"/>
        <v>12</v>
      </c>
    </row>
    <row r="544" spans="1:10" x14ac:dyDescent="0.2">
      <c r="A544" s="6">
        <v>42948</v>
      </c>
      <c r="B544">
        <v>2009</v>
      </c>
      <c r="C544">
        <v>1304</v>
      </c>
      <c r="D544">
        <v>543</v>
      </c>
      <c r="E544">
        <v>6800</v>
      </c>
      <c r="F544" t="s">
        <v>25</v>
      </c>
      <c r="G544">
        <v>10</v>
      </c>
      <c r="H544" t="s">
        <v>68</v>
      </c>
      <c r="I544">
        <v>10</v>
      </c>
      <c r="J544" s="10">
        <f t="shared" si="8"/>
        <v>10</v>
      </c>
    </row>
    <row r="545" spans="1:10" x14ac:dyDescent="0.2">
      <c r="A545" s="6">
        <v>42936</v>
      </c>
      <c r="B545">
        <v>2010</v>
      </c>
      <c r="C545">
        <v>1304</v>
      </c>
      <c r="D545">
        <v>544</v>
      </c>
      <c r="E545">
        <v>6600</v>
      </c>
      <c r="F545" t="s">
        <v>25</v>
      </c>
      <c r="G545">
        <v>5</v>
      </c>
      <c r="H545" t="s">
        <v>68</v>
      </c>
      <c r="I545">
        <v>9</v>
      </c>
      <c r="J545" s="10">
        <f t="shared" si="8"/>
        <v>5</v>
      </c>
    </row>
    <row r="546" spans="1:10" x14ac:dyDescent="0.2">
      <c r="A546" s="6">
        <v>42781</v>
      </c>
      <c r="B546">
        <v>2010</v>
      </c>
      <c r="C546">
        <v>1304</v>
      </c>
      <c r="D546">
        <v>545</v>
      </c>
      <c r="E546">
        <v>6300</v>
      </c>
      <c r="F546" t="s">
        <v>25</v>
      </c>
      <c r="G546">
        <v>6</v>
      </c>
      <c r="H546" t="s">
        <v>68</v>
      </c>
      <c r="I546">
        <v>9</v>
      </c>
      <c r="J546" s="10">
        <f t="shared" si="8"/>
        <v>6</v>
      </c>
    </row>
    <row r="547" spans="1:10" x14ac:dyDescent="0.2">
      <c r="A547" s="6">
        <v>42643</v>
      </c>
      <c r="B547">
        <v>2009</v>
      </c>
      <c r="C547">
        <v>1304</v>
      </c>
      <c r="D547">
        <v>546</v>
      </c>
      <c r="E547">
        <v>7600</v>
      </c>
      <c r="F547" t="s">
        <v>25</v>
      </c>
      <c r="G547">
        <v>6</v>
      </c>
      <c r="H547" t="s">
        <v>68</v>
      </c>
      <c r="I547">
        <v>10</v>
      </c>
      <c r="J547" s="10">
        <f t="shared" si="8"/>
        <v>6</v>
      </c>
    </row>
    <row r="548" spans="1:10" x14ac:dyDescent="0.2">
      <c r="A548" s="6">
        <v>42590</v>
      </c>
      <c r="B548">
        <v>2010</v>
      </c>
      <c r="C548">
        <v>1304</v>
      </c>
      <c r="D548">
        <v>547</v>
      </c>
      <c r="E548">
        <v>6800</v>
      </c>
      <c r="F548" t="s">
        <v>25</v>
      </c>
      <c r="G548">
        <v>6</v>
      </c>
      <c r="H548" t="s">
        <v>68</v>
      </c>
      <c r="I548">
        <v>9</v>
      </c>
      <c r="J548" s="10">
        <f t="shared" si="8"/>
        <v>6</v>
      </c>
    </row>
    <row r="549" spans="1:10" x14ac:dyDescent="0.2">
      <c r="A549" s="6">
        <v>42394</v>
      </c>
      <c r="B549">
        <v>2010</v>
      </c>
      <c r="C549">
        <v>1304</v>
      </c>
      <c r="D549">
        <v>548</v>
      </c>
      <c r="E549">
        <v>6500</v>
      </c>
      <c r="F549" t="s">
        <v>25</v>
      </c>
      <c r="G549">
        <v>7</v>
      </c>
      <c r="H549" t="s">
        <v>68</v>
      </c>
      <c r="I549">
        <v>9</v>
      </c>
      <c r="J549" s="10">
        <f t="shared" si="8"/>
        <v>7</v>
      </c>
    </row>
    <row r="550" spans="1:10" x14ac:dyDescent="0.2">
      <c r="A550" s="6">
        <v>43623</v>
      </c>
      <c r="B550">
        <v>2010</v>
      </c>
      <c r="C550">
        <v>1338</v>
      </c>
      <c r="D550">
        <v>549</v>
      </c>
      <c r="E550">
        <v>8600</v>
      </c>
      <c r="F550" t="s">
        <v>25</v>
      </c>
      <c r="G550">
        <v>3</v>
      </c>
      <c r="H550" t="s">
        <v>68</v>
      </c>
      <c r="I550">
        <v>9</v>
      </c>
      <c r="J550" s="10">
        <f t="shared" si="8"/>
        <v>3</v>
      </c>
    </row>
    <row r="551" spans="1:10" x14ac:dyDescent="0.2">
      <c r="A551" s="6">
        <v>43510</v>
      </c>
      <c r="B551">
        <v>2008</v>
      </c>
      <c r="C551">
        <v>1338</v>
      </c>
      <c r="D551">
        <v>550</v>
      </c>
      <c r="E551">
        <v>8500</v>
      </c>
      <c r="F551" t="s">
        <v>25</v>
      </c>
      <c r="G551">
        <v>10</v>
      </c>
      <c r="H551" t="s">
        <v>68</v>
      </c>
      <c r="I551">
        <v>11</v>
      </c>
      <c r="J551" s="10">
        <f t="shared" si="8"/>
        <v>10</v>
      </c>
    </row>
    <row r="552" spans="1:10" x14ac:dyDescent="0.2">
      <c r="A552" s="6">
        <v>43417</v>
      </c>
      <c r="B552">
        <v>2007</v>
      </c>
      <c r="C552">
        <v>1338</v>
      </c>
      <c r="D552">
        <v>551</v>
      </c>
      <c r="E552">
        <v>7500</v>
      </c>
      <c r="F552" t="s">
        <v>25</v>
      </c>
      <c r="G552">
        <v>35</v>
      </c>
      <c r="H552" t="s">
        <v>26</v>
      </c>
      <c r="I552">
        <v>12</v>
      </c>
      <c r="J552" s="10">
        <f t="shared" si="8"/>
        <v>1</v>
      </c>
    </row>
    <row r="553" spans="1:10" x14ac:dyDescent="0.2">
      <c r="A553" s="6">
        <v>43312</v>
      </c>
      <c r="B553">
        <v>2010</v>
      </c>
      <c r="C553">
        <v>1338</v>
      </c>
      <c r="D553">
        <v>552</v>
      </c>
      <c r="E553">
        <v>9700</v>
      </c>
      <c r="F553" t="s">
        <v>25</v>
      </c>
      <c r="G553">
        <v>13</v>
      </c>
      <c r="H553" t="s">
        <v>68</v>
      </c>
      <c r="I553">
        <v>9</v>
      </c>
      <c r="J553" s="10">
        <f t="shared" si="8"/>
        <v>13</v>
      </c>
    </row>
    <row r="554" spans="1:10" x14ac:dyDescent="0.2">
      <c r="A554" s="6">
        <v>43311</v>
      </c>
      <c r="B554">
        <v>2007</v>
      </c>
      <c r="C554">
        <v>1338</v>
      </c>
      <c r="D554">
        <v>553</v>
      </c>
      <c r="E554">
        <v>9350</v>
      </c>
      <c r="F554" t="s">
        <v>25</v>
      </c>
      <c r="G554">
        <v>35</v>
      </c>
      <c r="H554" t="s">
        <v>26</v>
      </c>
      <c r="I554">
        <v>12</v>
      </c>
      <c r="J554" s="10">
        <f t="shared" si="8"/>
        <v>1</v>
      </c>
    </row>
    <row r="555" spans="1:10" x14ac:dyDescent="0.2">
      <c r="A555" s="6">
        <v>43195</v>
      </c>
      <c r="B555">
        <v>2010</v>
      </c>
      <c r="C555">
        <v>1338</v>
      </c>
      <c r="D555">
        <v>554</v>
      </c>
      <c r="E555">
        <v>11000</v>
      </c>
      <c r="F555" t="s">
        <v>25</v>
      </c>
      <c r="G555">
        <v>12</v>
      </c>
      <c r="H555" t="s">
        <v>68</v>
      </c>
      <c r="I555">
        <v>9</v>
      </c>
      <c r="J555" s="10">
        <f t="shared" si="8"/>
        <v>12</v>
      </c>
    </row>
    <row r="556" spans="1:10" x14ac:dyDescent="0.2">
      <c r="A556" s="6">
        <v>43185</v>
      </c>
      <c r="B556">
        <v>2008</v>
      </c>
      <c r="C556">
        <v>1338</v>
      </c>
      <c r="D556">
        <v>555</v>
      </c>
      <c r="E556">
        <v>10200</v>
      </c>
      <c r="F556" t="s">
        <v>25</v>
      </c>
      <c r="G556">
        <v>6</v>
      </c>
      <c r="H556" t="s">
        <v>68</v>
      </c>
      <c r="I556">
        <v>11</v>
      </c>
      <c r="J556" s="10">
        <f t="shared" si="8"/>
        <v>6</v>
      </c>
    </row>
    <row r="557" spans="1:10" x14ac:dyDescent="0.2">
      <c r="A557" s="6">
        <v>43131</v>
      </c>
      <c r="B557">
        <v>2010</v>
      </c>
      <c r="C557">
        <v>1338</v>
      </c>
      <c r="D557">
        <v>556</v>
      </c>
      <c r="E557">
        <v>9425</v>
      </c>
      <c r="F557" t="s">
        <v>25</v>
      </c>
      <c r="G557">
        <v>4</v>
      </c>
      <c r="H557" t="s">
        <v>68</v>
      </c>
      <c r="I557">
        <v>9</v>
      </c>
      <c r="J557" s="10">
        <f t="shared" si="8"/>
        <v>4</v>
      </c>
    </row>
    <row r="558" spans="1:10" x14ac:dyDescent="0.2">
      <c r="A558" s="6">
        <v>43103</v>
      </c>
      <c r="B558">
        <v>2007</v>
      </c>
      <c r="C558">
        <v>1338</v>
      </c>
      <c r="D558">
        <v>557</v>
      </c>
      <c r="E558">
        <v>7700</v>
      </c>
      <c r="F558" t="s">
        <v>25</v>
      </c>
      <c r="G558">
        <v>6</v>
      </c>
      <c r="H558" t="s">
        <v>68</v>
      </c>
      <c r="I558">
        <v>12</v>
      </c>
      <c r="J558" s="10">
        <f t="shared" si="8"/>
        <v>6</v>
      </c>
    </row>
    <row r="559" spans="1:10" x14ac:dyDescent="0.2">
      <c r="A559" s="6">
        <v>43045</v>
      </c>
      <c r="B559">
        <v>2010</v>
      </c>
      <c r="C559">
        <v>1338</v>
      </c>
      <c r="D559">
        <v>558</v>
      </c>
      <c r="E559">
        <v>7300</v>
      </c>
      <c r="F559" t="s">
        <v>25</v>
      </c>
      <c r="G559">
        <v>6</v>
      </c>
      <c r="H559" t="s">
        <v>68</v>
      </c>
      <c r="I559">
        <v>9</v>
      </c>
      <c r="J559" s="10">
        <f t="shared" si="8"/>
        <v>6</v>
      </c>
    </row>
    <row r="560" spans="1:10" x14ac:dyDescent="0.2">
      <c r="A560" s="6">
        <v>42954</v>
      </c>
      <c r="B560">
        <v>2007</v>
      </c>
      <c r="C560">
        <v>1338</v>
      </c>
      <c r="D560">
        <v>559</v>
      </c>
      <c r="E560">
        <v>6750</v>
      </c>
      <c r="F560" t="s">
        <v>25</v>
      </c>
      <c r="G560">
        <v>90</v>
      </c>
      <c r="H560" t="s">
        <v>26</v>
      </c>
      <c r="I560">
        <v>12</v>
      </c>
      <c r="J560" s="10">
        <f t="shared" si="8"/>
        <v>3</v>
      </c>
    </row>
    <row r="561" spans="1:10" x14ac:dyDescent="0.2">
      <c r="A561" s="6">
        <v>42898</v>
      </c>
      <c r="B561">
        <v>2010</v>
      </c>
      <c r="C561">
        <v>1338</v>
      </c>
      <c r="D561">
        <v>560</v>
      </c>
      <c r="E561">
        <v>7000</v>
      </c>
      <c r="F561" t="s">
        <v>25</v>
      </c>
      <c r="G561">
        <v>6</v>
      </c>
      <c r="H561" t="s">
        <v>68</v>
      </c>
      <c r="I561">
        <v>9</v>
      </c>
      <c r="J561" s="10">
        <f t="shared" si="8"/>
        <v>6</v>
      </c>
    </row>
    <row r="562" spans="1:10" x14ac:dyDescent="0.2">
      <c r="A562" s="6">
        <v>42852</v>
      </c>
      <c r="B562">
        <v>2010</v>
      </c>
      <c r="C562">
        <v>1338</v>
      </c>
      <c r="D562">
        <v>561</v>
      </c>
      <c r="E562">
        <v>8000</v>
      </c>
      <c r="F562" t="s">
        <v>25</v>
      </c>
      <c r="G562">
        <v>7</v>
      </c>
      <c r="H562" t="s">
        <v>68</v>
      </c>
      <c r="I562">
        <v>9</v>
      </c>
      <c r="J562" s="10">
        <f t="shared" si="8"/>
        <v>7</v>
      </c>
    </row>
    <row r="563" spans="1:10" x14ac:dyDescent="0.2">
      <c r="A563" s="6">
        <v>42773</v>
      </c>
      <c r="B563">
        <v>2008</v>
      </c>
      <c r="C563">
        <v>1338</v>
      </c>
      <c r="D563">
        <v>562</v>
      </c>
      <c r="E563">
        <v>7250</v>
      </c>
      <c r="F563" t="s">
        <v>25</v>
      </c>
      <c r="G563">
        <v>6</v>
      </c>
      <c r="H563" t="s">
        <v>68</v>
      </c>
      <c r="I563">
        <v>11</v>
      </c>
      <c r="J563" s="10">
        <f t="shared" si="8"/>
        <v>6</v>
      </c>
    </row>
    <row r="564" spans="1:10" x14ac:dyDescent="0.2">
      <c r="A564" s="6">
        <v>42739</v>
      </c>
      <c r="B564">
        <v>2010</v>
      </c>
      <c r="C564">
        <v>1338</v>
      </c>
      <c r="D564">
        <v>563</v>
      </c>
      <c r="E564">
        <v>7250</v>
      </c>
      <c r="F564" t="s">
        <v>25</v>
      </c>
      <c r="G564">
        <v>4</v>
      </c>
      <c r="H564" t="s">
        <v>68</v>
      </c>
      <c r="I564">
        <v>9</v>
      </c>
      <c r="J564" s="10">
        <f t="shared" si="8"/>
        <v>4</v>
      </c>
    </row>
    <row r="565" spans="1:10" x14ac:dyDescent="0.2">
      <c r="A565" s="6">
        <v>42704</v>
      </c>
      <c r="B565">
        <v>2008</v>
      </c>
      <c r="C565">
        <v>1338</v>
      </c>
      <c r="D565">
        <v>564</v>
      </c>
      <c r="E565">
        <v>7500</v>
      </c>
      <c r="F565" t="s">
        <v>25</v>
      </c>
      <c r="G565">
        <v>7</v>
      </c>
      <c r="H565" t="s">
        <v>68</v>
      </c>
      <c r="I565">
        <v>11</v>
      </c>
      <c r="J565" s="10">
        <f t="shared" si="8"/>
        <v>7</v>
      </c>
    </row>
    <row r="566" spans="1:10" x14ac:dyDescent="0.2">
      <c r="A566" s="6">
        <v>42664</v>
      </c>
      <c r="B566">
        <v>2007</v>
      </c>
      <c r="C566">
        <v>1338</v>
      </c>
      <c r="D566">
        <v>565</v>
      </c>
      <c r="E566">
        <v>6000</v>
      </c>
      <c r="F566" t="s">
        <v>25</v>
      </c>
      <c r="G566">
        <v>6</v>
      </c>
      <c r="H566" t="s">
        <v>68</v>
      </c>
      <c r="I566">
        <v>12</v>
      </c>
      <c r="J566" s="10">
        <f t="shared" si="8"/>
        <v>6</v>
      </c>
    </row>
    <row r="567" spans="1:10" x14ac:dyDescent="0.2">
      <c r="A567" s="6">
        <v>42614</v>
      </c>
      <c r="B567">
        <v>2010</v>
      </c>
      <c r="C567">
        <v>1338</v>
      </c>
      <c r="D567">
        <v>566</v>
      </c>
      <c r="E567">
        <v>7200</v>
      </c>
      <c r="F567" t="s">
        <v>25</v>
      </c>
      <c r="G567">
        <v>90</v>
      </c>
      <c r="H567" t="s">
        <v>26</v>
      </c>
      <c r="I567">
        <v>9</v>
      </c>
      <c r="J567" s="10">
        <f t="shared" si="8"/>
        <v>3</v>
      </c>
    </row>
    <row r="568" spans="1:10" x14ac:dyDescent="0.2">
      <c r="A568" s="6">
        <v>42587</v>
      </c>
      <c r="B568">
        <v>2008</v>
      </c>
      <c r="C568">
        <v>1338</v>
      </c>
      <c r="D568">
        <v>567</v>
      </c>
      <c r="E568">
        <v>7950</v>
      </c>
      <c r="F568" t="s">
        <v>25</v>
      </c>
      <c r="G568">
        <v>4</v>
      </c>
      <c r="H568" t="s">
        <v>68</v>
      </c>
      <c r="I568">
        <v>11</v>
      </c>
      <c r="J568" s="10">
        <f t="shared" si="8"/>
        <v>4</v>
      </c>
    </row>
    <row r="569" spans="1:10" x14ac:dyDescent="0.2">
      <c r="A569" s="6">
        <v>42478</v>
      </c>
      <c r="B569">
        <v>2008</v>
      </c>
      <c r="C569">
        <v>1338</v>
      </c>
      <c r="D569">
        <v>568</v>
      </c>
      <c r="E569">
        <v>8500</v>
      </c>
      <c r="F569" t="s">
        <v>25</v>
      </c>
      <c r="G569">
        <v>6</v>
      </c>
      <c r="H569" t="s">
        <v>68</v>
      </c>
      <c r="I569">
        <v>11</v>
      </c>
      <c r="J569" s="10">
        <f t="shared" si="8"/>
        <v>6</v>
      </c>
    </row>
    <row r="570" spans="1:10" x14ac:dyDescent="0.2">
      <c r="A570" s="6">
        <v>42468</v>
      </c>
      <c r="B570">
        <v>2010</v>
      </c>
      <c r="C570">
        <v>1338</v>
      </c>
      <c r="D570">
        <v>569</v>
      </c>
      <c r="E570">
        <v>7300</v>
      </c>
      <c r="F570" t="s">
        <v>25</v>
      </c>
      <c r="G570">
        <v>6</v>
      </c>
      <c r="H570" t="s">
        <v>68</v>
      </c>
      <c r="I570">
        <v>9</v>
      </c>
      <c r="J570" s="10">
        <f t="shared" si="8"/>
        <v>6</v>
      </c>
    </row>
    <row r="571" spans="1:10" x14ac:dyDescent="0.2">
      <c r="A571" s="6">
        <v>42452</v>
      </c>
      <c r="B571">
        <v>2010</v>
      </c>
      <c r="C571">
        <v>1338</v>
      </c>
      <c r="D571">
        <v>570</v>
      </c>
      <c r="E571">
        <v>7200</v>
      </c>
      <c r="F571" t="s">
        <v>25</v>
      </c>
      <c r="G571">
        <v>4</v>
      </c>
      <c r="H571" t="s">
        <v>68</v>
      </c>
      <c r="I571">
        <v>9</v>
      </c>
      <c r="J571" s="10">
        <f t="shared" si="8"/>
        <v>4</v>
      </c>
    </row>
    <row r="572" spans="1:10" x14ac:dyDescent="0.2">
      <c r="A572" s="6">
        <v>42429</v>
      </c>
      <c r="B572">
        <v>2007</v>
      </c>
      <c r="C572">
        <v>1338</v>
      </c>
      <c r="D572">
        <v>571</v>
      </c>
      <c r="E572">
        <v>6300</v>
      </c>
      <c r="F572" t="s">
        <v>25</v>
      </c>
      <c r="G572">
        <v>6</v>
      </c>
      <c r="H572" t="s">
        <v>68</v>
      </c>
      <c r="I572">
        <v>12</v>
      </c>
      <c r="J572" s="10">
        <f t="shared" si="8"/>
        <v>6</v>
      </c>
    </row>
    <row r="573" spans="1:10" x14ac:dyDescent="0.2">
      <c r="A573" s="6">
        <v>43551</v>
      </c>
      <c r="B573">
        <v>2008</v>
      </c>
      <c r="C573">
        <v>1341</v>
      </c>
      <c r="D573">
        <v>572</v>
      </c>
      <c r="E573">
        <v>7750</v>
      </c>
      <c r="F573" t="s">
        <v>25</v>
      </c>
      <c r="G573">
        <v>11</v>
      </c>
      <c r="H573" t="s">
        <v>68</v>
      </c>
      <c r="I573">
        <v>11</v>
      </c>
      <c r="J573" s="10">
        <f t="shared" si="8"/>
        <v>11</v>
      </c>
    </row>
    <row r="574" spans="1:10" x14ac:dyDescent="0.2">
      <c r="A574" s="6">
        <v>43497</v>
      </c>
      <c r="B574">
        <v>2008</v>
      </c>
      <c r="C574">
        <v>1341</v>
      </c>
      <c r="D574">
        <v>573</v>
      </c>
      <c r="E574">
        <v>8650</v>
      </c>
      <c r="F574" t="s">
        <v>25</v>
      </c>
      <c r="G574">
        <v>8</v>
      </c>
      <c r="H574" t="s">
        <v>68</v>
      </c>
      <c r="I574">
        <v>11</v>
      </c>
      <c r="J574" s="10">
        <f t="shared" si="8"/>
        <v>8</v>
      </c>
    </row>
    <row r="575" spans="1:10" x14ac:dyDescent="0.2">
      <c r="A575" s="6">
        <v>43417</v>
      </c>
      <c r="B575">
        <v>2008</v>
      </c>
      <c r="C575">
        <v>1341</v>
      </c>
      <c r="D575">
        <v>574</v>
      </c>
      <c r="E575">
        <v>7500</v>
      </c>
      <c r="F575" t="s">
        <v>25</v>
      </c>
      <c r="G575">
        <v>10</v>
      </c>
      <c r="H575" t="s">
        <v>68</v>
      </c>
      <c r="I575">
        <v>11</v>
      </c>
      <c r="J575" s="10">
        <f t="shared" si="8"/>
        <v>10</v>
      </c>
    </row>
    <row r="576" spans="1:10" x14ac:dyDescent="0.2">
      <c r="A576" s="6">
        <v>43283</v>
      </c>
      <c r="B576">
        <v>2006</v>
      </c>
      <c r="C576">
        <v>1341</v>
      </c>
      <c r="D576">
        <v>575</v>
      </c>
      <c r="E576">
        <v>9700</v>
      </c>
      <c r="F576" t="s">
        <v>25</v>
      </c>
      <c r="G576">
        <v>12</v>
      </c>
      <c r="H576" t="s">
        <v>68</v>
      </c>
      <c r="I576">
        <v>13</v>
      </c>
      <c r="J576" s="10">
        <f t="shared" si="8"/>
        <v>12</v>
      </c>
    </row>
    <row r="577" spans="1:10" x14ac:dyDescent="0.2">
      <c r="A577" s="6">
        <v>43264</v>
      </c>
      <c r="B577">
        <v>2008</v>
      </c>
      <c r="C577">
        <v>1341</v>
      </c>
      <c r="D577">
        <v>576</v>
      </c>
      <c r="E577">
        <v>9950</v>
      </c>
      <c r="F577" t="s">
        <v>25</v>
      </c>
      <c r="G577">
        <v>10</v>
      </c>
      <c r="H577" t="s">
        <v>68</v>
      </c>
      <c r="I577">
        <v>11</v>
      </c>
      <c r="J577" s="10">
        <f t="shared" si="8"/>
        <v>10</v>
      </c>
    </row>
    <row r="578" spans="1:10" x14ac:dyDescent="0.2">
      <c r="A578" s="6">
        <v>43257</v>
      </c>
      <c r="B578">
        <v>2006</v>
      </c>
      <c r="C578">
        <v>1341</v>
      </c>
      <c r="D578">
        <v>577</v>
      </c>
      <c r="E578">
        <v>10250</v>
      </c>
      <c r="F578" t="s">
        <v>25</v>
      </c>
      <c r="G578">
        <v>10</v>
      </c>
      <c r="H578" t="s">
        <v>68</v>
      </c>
      <c r="I578">
        <v>13</v>
      </c>
      <c r="J578" s="10">
        <f t="shared" ref="J578:J641" si="9">IF(H578="days",ROUND(G578/30,0),IF(H578="years",G578*12,G578))</f>
        <v>10</v>
      </c>
    </row>
    <row r="579" spans="1:10" x14ac:dyDescent="0.2">
      <c r="A579" s="6">
        <v>43171</v>
      </c>
      <c r="B579">
        <v>2009</v>
      </c>
      <c r="C579">
        <v>1341</v>
      </c>
      <c r="D579">
        <v>578</v>
      </c>
      <c r="E579">
        <v>10500</v>
      </c>
      <c r="F579" t="s">
        <v>25</v>
      </c>
      <c r="G579">
        <v>6</v>
      </c>
      <c r="H579" t="s">
        <v>68</v>
      </c>
      <c r="I579">
        <v>10</v>
      </c>
      <c r="J579" s="10">
        <f t="shared" si="9"/>
        <v>6</v>
      </c>
    </row>
    <row r="580" spans="1:10" x14ac:dyDescent="0.2">
      <c r="A580" s="6">
        <v>43160</v>
      </c>
      <c r="B580">
        <v>2009</v>
      </c>
      <c r="C580">
        <v>1341</v>
      </c>
      <c r="D580">
        <v>579</v>
      </c>
      <c r="E580">
        <v>10500</v>
      </c>
      <c r="F580" t="s">
        <v>25</v>
      </c>
      <c r="G580">
        <v>6</v>
      </c>
      <c r="H580" t="s">
        <v>68</v>
      </c>
      <c r="I580">
        <v>10</v>
      </c>
      <c r="J580" s="10">
        <f t="shared" si="9"/>
        <v>6</v>
      </c>
    </row>
    <row r="581" spans="1:10" x14ac:dyDescent="0.2">
      <c r="A581" s="6">
        <v>43159</v>
      </c>
      <c r="B581">
        <v>2008</v>
      </c>
      <c r="C581">
        <v>1341</v>
      </c>
      <c r="D581">
        <v>580</v>
      </c>
      <c r="E581">
        <v>8250</v>
      </c>
      <c r="F581" t="s">
        <v>25</v>
      </c>
      <c r="G581">
        <v>2</v>
      </c>
      <c r="H581" t="s">
        <v>68</v>
      </c>
      <c r="I581">
        <v>11</v>
      </c>
      <c r="J581" s="10">
        <f t="shared" si="9"/>
        <v>2</v>
      </c>
    </row>
    <row r="582" spans="1:10" x14ac:dyDescent="0.2">
      <c r="A582" s="6">
        <v>43136</v>
      </c>
      <c r="B582">
        <v>2008</v>
      </c>
      <c r="C582">
        <v>1341</v>
      </c>
      <c r="D582">
        <v>581</v>
      </c>
      <c r="E582">
        <v>8800</v>
      </c>
      <c r="F582" t="s">
        <v>25</v>
      </c>
      <c r="G582">
        <v>5</v>
      </c>
      <c r="H582" t="s">
        <v>68</v>
      </c>
      <c r="I582">
        <v>11</v>
      </c>
      <c r="J582" s="10">
        <f t="shared" si="9"/>
        <v>5</v>
      </c>
    </row>
    <row r="583" spans="1:10" x14ac:dyDescent="0.2">
      <c r="A583" s="6">
        <v>43060</v>
      </c>
      <c r="B583">
        <v>2007</v>
      </c>
      <c r="C583">
        <v>1341</v>
      </c>
      <c r="D583">
        <v>582</v>
      </c>
      <c r="E583">
        <v>7400</v>
      </c>
      <c r="F583" t="s">
        <v>25</v>
      </c>
      <c r="G583">
        <v>4</v>
      </c>
      <c r="H583" t="s">
        <v>68</v>
      </c>
      <c r="I583">
        <v>12</v>
      </c>
      <c r="J583" s="10">
        <f t="shared" si="9"/>
        <v>4</v>
      </c>
    </row>
    <row r="584" spans="1:10" x14ac:dyDescent="0.2">
      <c r="A584" s="6">
        <v>43054</v>
      </c>
      <c r="B584">
        <v>2006</v>
      </c>
      <c r="C584">
        <v>1341</v>
      </c>
      <c r="D584">
        <v>583</v>
      </c>
      <c r="E584">
        <v>8750</v>
      </c>
      <c r="F584" t="s">
        <v>25</v>
      </c>
      <c r="G584">
        <v>6</v>
      </c>
      <c r="H584" t="s">
        <v>68</v>
      </c>
      <c r="I584">
        <v>13</v>
      </c>
      <c r="J584" s="10">
        <f t="shared" si="9"/>
        <v>6</v>
      </c>
    </row>
    <row r="585" spans="1:10" x14ac:dyDescent="0.2">
      <c r="A585" s="6">
        <v>42948</v>
      </c>
      <c r="B585">
        <v>2007</v>
      </c>
      <c r="C585">
        <v>1341</v>
      </c>
      <c r="D585">
        <v>584</v>
      </c>
      <c r="E585">
        <v>7000</v>
      </c>
      <c r="F585" t="s">
        <v>25</v>
      </c>
      <c r="G585">
        <v>35</v>
      </c>
      <c r="H585" t="s">
        <v>26</v>
      </c>
      <c r="I585">
        <v>12</v>
      </c>
      <c r="J585" s="10">
        <f t="shared" si="9"/>
        <v>1</v>
      </c>
    </row>
    <row r="586" spans="1:10" x14ac:dyDescent="0.2">
      <c r="A586" s="6">
        <v>42940</v>
      </c>
      <c r="B586">
        <v>2008</v>
      </c>
      <c r="C586">
        <v>1341</v>
      </c>
      <c r="D586">
        <v>585</v>
      </c>
      <c r="E586">
        <v>7000</v>
      </c>
      <c r="F586" t="s">
        <v>25</v>
      </c>
      <c r="G586">
        <v>7</v>
      </c>
      <c r="H586" t="s">
        <v>68</v>
      </c>
      <c r="I586">
        <v>11</v>
      </c>
      <c r="J586" s="10">
        <f t="shared" si="9"/>
        <v>7</v>
      </c>
    </row>
    <row r="587" spans="1:10" x14ac:dyDescent="0.2">
      <c r="A587" s="6">
        <v>42940</v>
      </c>
      <c r="B587">
        <v>2009</v>
      </c>
      <c r="C587">
        <v>1341</v>
      </c>
      <c r="D587">
        <v>586</v>
      </c>
      <c r="E587">
        <v>7250</v>
      </c>
      <c r="F587" t="s">
        <v>25</v>
      </c>
      <c r="G587">
        <v>7</v>
      </c>
      <c r="H587" t="s">
        <v>68</v>
      </c>
      <c r="I587">
        <v>10</v>
      </c>
      <c r="J587" s="10">
        <f t="shared" si="9"/>
        <v>7</v>
      </c>
    </row>
    <row r="588" spans="1:10" x14ac:dyDescent="0.2">
      <c r="A588" s="6">
        <v>42885</v>
      </c>
      <c r="B588">
        <v>2006</v>
      </c>
      <c r="C588">
        <v>1341</v>
      </c>
      <c r="D588">
        <v>587</v>
      </c>
      <c r="E588">
        <v>7800</v>
      </c>
      <c r="F588" t="s">
        <v>25</v>
      </c>
      <c r="G588">
        <v>6</v>
      </c>
      <c r="H588" t="s">
        <v>68</v>
      </c>
      <c r="I588">
        <v>13</v>
      </c>
      <c r="J588" s="10">
        <f t="shared" si="9"/>
        <v>6</v>
      </c>
    </row>
    <row r="589" spans="1:10" x14ac:dyDescent="0.2">
      <c r="A589" s="6">
        <v>42870</v>
      </c>
      <c r="B589">
        <v>2008</v>
      </c>
      <c r="C589">
        <v>1341</v>
      </c>
      <c r="D589">
        <v>588</v>
      </c>
      <c r="E589">
        <v>6450</v>
      </c>
      <c r="F589" t="s">
        <v>25</v>
      </c>
      <c r="G589">
        <v>7</v>
      </c>
      <c r="H589" t="s">
        <v>68</v>
      </c>
      <c r="I589">
        <v>11</v>
      </c>
      <c r="J589" s="10">
        <f t="shared" si="9"/>
        <v>7</v>
      </c>
    </row>
    <row r="590" spans="1:10" x14ac:dyDescent="0.2">
      <c r="A590" s="6">
        <v>42760</v>
      </c>
      <c r="B590">
        <v>2007</v>
      </c>
      <c r="C590">
        <v>1341</v>
      </c>
      <c r="D590">
        <v>589</v>
      </c>
      <c r="E590">
        <v>6850</v>
      </c>
      <c r="F590" t="s">
        <v>25</v>
      </c>
      <c r="G590">
        <v>6</v>
      </c>
      <c r="H590" t="s">
        <v>68</v>
      </c>
      <c r="I590">
        <v>12</v>
      </c>
      <c r="J590" s="10">
        <f t="shared" si="9"/>
        <v>6</v>
      </c>
    </row>
    <row r="591" spans="1:10" x14ac:dyDescent="0.2">
      <c r="A591" s="6">
        <v>42758</v>
      </c>
      <c r="B591">
        <v>2006</v>
      </c>
      <c r="C591">
        <v>1341</v>
      </c>
      <c r="D591">
        <v>590</v>
      </c>
      <c r="E591">
        <v>7800</v>
      </c>
      <c r="F591" t="s">
        <v>25</v>
      </c>
      <c r="G591">
        <v>5</v>
      </c>
      <c r="H591" t="s">
        <v>68</v>
      </c>
      <c r="I591">
        <v>13</v>
      </c>
      <c r="J591" s="10">
        <f t="shared" si="9"/>
        <v>5</v>
      </c>
    </row>
    <row r="592" spans="1:10" x14ac:dyDescent="0.2">
      <c r="A592" s="6">
        <v>42723</v>
      </c>
      <c r="B592">
        <v>2008</v>
      </c>
      <c r="C592">
        <v>1341</v>
      </c>
      <c r="D592">
        <v>591</v>
      </c>
      <c r="E592">
        <v>7450</v>
      </c>
      <c r="F592" t="s">
        <v>25</v>
      </c>
      <c r="G592">
        <v>7</v>
      </c>
      <c r="H592" t="s">
        <v>68</v>
      </c>
      <c r="I592">
        <v>11</v>
      </c>
      <c r="J592" s="10">
        <f t="shared" si="9"/>
        <v>7</v>
      </c>
    </row>
    <row r="593" spans="1:10" x14ac:dyDescent="0.2">
      <c r="A593" s="6">
        <v>42694</v>
      </c>
      <c r="B593">
        <v>2006</v>
      </c>
      <c r="C593">
        <v>1341</v>
      </c>
      <c r="D593">
        <v>592</v>
      </c>
      <c r="E593">
        <v>7500</v>
      </c>
      <c r="F593" t="s">
        <v>25</v>
      </c>
      <c r="G593">
        <v>6</v>
      </c>
      <c r="H593" t="s">
        <v>68</v>
      </c>
      <c r="I593">
        <v>13</v>
      </c>
      <c r="J593" s="10">
        <f t="shared" si="9"/>
        <v>6</v>
      </c>
    </row>
    <row r="594" spans="1:10" x14ac:dyDescent="0.2">
      <c r="A594" s="6">
        <v>42663</v>
      </c>
      <c r="B594">
        <v>2007</v>
      </c>
      <c r="C594">
        <v>1341</v>
      </c>
      <c r="D594">
        <v>593</v>
      </c>
      <c r="E594">
        <v>8100</v>
      </c>
      <c r="F594" t="s">
        <v>25</v>
      </c>
      <c r="G594">
        <v>6</v>
      </c>
      <c r="H594" t="s">
        <v>68</v>
      </c>
      <c r="I594">
        <v>12</v>
      </c>
      <c r="J594" s="10">
        <f t="shared" si="9"/>
        <v>6</v>
      </c>
    </row>
    <row r="595" spans="1:10" x14ac:dyDescent="0.2">
      <c r="A595" s="6">
        <v>42626</v>
      </c>
      <c r="B595">
        <v>2006</v>
      </c>
      <c r="C595">
        <v>1341</v>
      </c>
      <c r="D595">
        <v>594</v>
      </c>
      <c r="E595">
        <v>7850</v>
      </c>
      <c r="F595" t="s">
        <v>25</v>
      </c>
      <c r="G595">
        <v>7</v>
      </c>
      <c r="H595" t="s">
        <v>68</v>
      </c>
      <c r="I595">
        <v>13</v>
      </c>
      <c r="J595" s="10">
        <f t="shared" si="9"/>
        <v>7</v>
      </c>
    </row>
    <row r="596" spans="1:10" x14ac:dyDescent="0.2">
      <c r="A596" s="6">
        <v>42607</v>
      </c>
      <c r="B596">
        <v>2006</v>
      </c>
      <c r="C596">
        <v>1341</v>
      </c>
      <c r="D596">
        <v>595</v>
      </c>
      <c r="E596">
        <v>8100</v>
      </c>
      <c r="F596" t="s">
        <v>25</v>
      </c>
      <c r="G596">
        <v>7</v>
      </c>
      <c r="H596" t="s">
        <v>68</v>
      </c>
      <c r="I596">
        <v>13</v>
      </c>
      <c r="J596" s="10">
        <f t="shared" si="9"/>
        <v>7</v>
      </c>
    </row>
    <row r="597" spans="1:10" x14ac:dyDescent="0.2">
      <c r="A597" s="6">
        <v>42592</v>
      </c>
      <c r="B597">
        <v>2008</v>
      </c>
      <c r="C597">
        <v>1341</v>
      </c>
      <c r="D597">
        <v>596</v>
      </c>
      <c r="E597">
        <v>7950</v>
      </c>
      <c r="F597" t="s">
        <v>25</v>
      </c>
      <c r="G597">
        <v>6</v>
      </c>
      <c r="H597" t="s">
        <v>68</v>
      </c>
      <c r="I597">
        <v>11</v>
      </c>
      <c r="J597" s="10">
        <f t="shared" si="9"/>
        <v>6</v>
      </c>
    </row>
    <row r="598" spans="1:10" x14ac:dyDescent="0.2">
      <c r="A598" s="6">
        <v>42570</v>
      </c>
      <c r="B598">
        <v>2007</v>
      </c>
      <c r="C598">
        <v>1341</v>
      </c>
      <c r="D598">
        <v>597</v>
      </c>
      <c r="E598">
        <v>8250</v>
      </c>
      <c r="F598" t="s">
        <v>25</v>
      </c>
      <c r="G598">
        <v>7</v>
      </c>
      <c r="H598" t="s">
        <v>68</v>
      </c>
      <c r="I598">
        <v>12</v>
      </c>
      <c r="J598" s="10">
        <f t="shared" si="9"/>
        <v>7</v>
      </c>
    </row>
    <row r="599" spans="1:10" x14ac:dyDescent="0.2">
      <c r="A599" s="6">
        <v>42502</v>
      </c>
      <c r="B599">
        <v>2006</v>
      </c>
      <c r="C599">
        <v>1341</v>
      </c>
      <c r="D599">
        <v>598</v>
      </c>
      <c r="E599">
        <v>8500</v>
      </c>
      <c r="F599" t="s">
        <v>25</v>
      </c>
      <c r="G599">
        <v>5</v>
      </c>
      <c r="H599" t="s">
        <v>68</v>
      </c>
      <c r="I599">
        <v>13</v>
      </c>
      <c r="J599" s="10">
        <f t="shared" si="9"/>
        <v>5</v>
      </c>
    </row>
    <row r="600" spans="1:10" x14ac:dyDescent="0.2">
      <c r="A600" s="6">
        <v>42461</v>
      </c>
      <c r="B600">
        <v>2006</v>
      </c>
      <c r="C600">
        <v>1341</v>
      </c>
      <c r="D600">
        <v>599</v>
      </c>
      <c r="E600">
        <v>9100</v>
      </c>
      <c r="F600" t="s">
        <v>25</v>
      </c>
      <c r="G600">
        <v>7</v>
      </c>
      <c r="H600" t="s">
        <v>68</v>
      </c>
      <c r="I600">
        <v>13</v>
      </c>
      <c r="J600" s="10">
        <f t="shared" si="9"/>
        <v>7</v>
      </c>
    </row>
    <row r="601" spans="1:10" x14ac:dyDescent="0.2">
      <c r="A601" s="6">
        <v>42452</v>
      </c>
      <c r="B601">
        <v>2008</v>
      </c>
      <c r="C601">
        <v>1341</v>
      </c>
      <c r="D601">
        <v>600</v>
      </c>
      <c r="E601">
        <v>7500</v>
      </c>
      <c r="F601" t="s">
        <v>25</v>
      </c>
      <c r="G601">
        <v>12</v>
      </c>
      <c r="H601" t="s">
        <v>68</v>
      </c>
      <c r="I601">
        <v>11</v>
      </c>
      <c r="J601" s="10">
        <f t="shared" si="9"/>
        <v>12</v>
      </c>
    </row>
    <row r="602" spans="1:10" x14ac:dyDescent="0.2">
      <c r="A602" s="6">
        <v>42375</v>
      </c>
      <c r="B602">
        <v>2008</v>
      </c>
      <c r="C602">
        <v>1341</v>
      </c>
      <c r="D602">
        <v>601</v>
      </c>
      <c r="E602">
        <v>7900</v>
      </c>
      <c r="F602" t="s">
        <v>25</v>
      </c>
      <c r="G602">
        <v>6</v>
      </c>
      <c r="H602" t="s">
        <v>68</v>
      </c>
      <c r="I602">
        <v>11</v>
      </c>
      <c r="J602" s="10">
        <f t="shared" si="9"/>
        <v>6</v>
      </c>
    </row>
    <row r="603" spans="1:10" x14ac:dyDescent="0.2">
      <c r="A603" s="6">
        <v>43635</v>
      </c>
      <c r="B603">
        <v>2009</v>
      </c>
      <c r="C603">
        <v>1347</v>
      </c>
      <c r="D603">
        <v>602</v>
      </c>
      <c r="E603">
        <v>7500</v>
      </c>
      <c r="F603" t="s">
        <v>25</v>
      </c>
      <c r="G603">
        <v>7</v>
      </c>
      <c r="H603" t="s">
        <v>68</v>
      </c>
      <c r="I603">
        <v>10</v>
      </c>
      <c r="J603" s="10">
        <f t="shared" si="9"/>
        <v>7</v>
      </c>
    </row>
    <row r="604" spans="1:10" x14ac:dyDescent="0.2">
      <c r="A604" s="6">
        <v>43511</v>
      </c>
      <c r="B604">
        <v>2009</v>
      </c>
      <c r="C604">
        <v>1347</v>
      </c>
      <c r="D604">
        <v>603</v>
      </c>
      <c r="E604">
        <v>8500</v>
      </c>
      <c r="F604" t="s">
        <v>25</v>
      </c>
      <c r="G604">
        <v>12</v>
      </c>
      <c r="H604" t="s">
        <v>68</v>
      </c>
      <c r="I604">
        <v>10</v>
      </c>
      <c r="J604" s="10">
        <f t="shared" si="9"/>
        <v>12</v>
      </c>
    </row>
    <row r="605" spans="1:10" x14ac:dyDescent="0.2">
      <c r="A605" s="6">
        <v>43439</v>
      </c>
      <c r="B605">
        <v>2010</v>
      </c>
      <c r="C605">
        <v>1347</v>
      </c>
      <c r="D605">
        <v>604</v>
      </c>
      <c r="E605">
        <v>8800</v>
      </c>
      <c r="F605" t="s">
        <v>25</v>
      </c>
      <c r="G605">
        <v>5</v>
      </c>
      <c r="H605" t="s">
        <v>68</v>
      </c>
      <c r="I605">
        <v>9</v>
      </c>
      <c r="J605" s="10">
        <f t="shared" si="9"/>
        <v>5</v>
      </c>
    </row>
    <row r="606" spans="1:10" x14ac:dyDescent="0.2">
      <c r="A606" s="6">
        <v>43417</v>
      </c>
      <c r="B606">
        <v>2009</v>
      </c>
      <c r="C606">
        <v>1347</v>
      </c>
      <c r="D606">
        <v>605</v>
      </c>
      <c r="E606">
        <v>7500</v>
      </c>
      <c r="F606" t="s">
        <v>25</v>
      </c>
      <c r="G606">
        <v>7</v>
      </c>
      <c r="H606" t="s">
        <v>68</v>
      </c>
      <c r="I606">
        <v>10</v>
      </c>
      <c r="J606" s="10">
        <f t="shared" si="9"/>
        <v>7</v>
      </c>
    </row>
    <row r="607" spans="1:10" x14ac:dyDescent="0.2">
      <c r="A607" s="6">
        <v>43397</v>
      </c>
      <c r="B607">
        <v>2009</v>
      </c>
      <c r="C607">
        <v>1347</v>
      </c>
      <c r="D607">
        <v>606</v>
      </c>
      <c r="E607">
        <v>9400</v>
      </c>
      <c r="F607" t="s">
        <v>25</v>
      </c>
      <c r="G607">
        <v>6</v>
      </c>
      <c r="H607" t="s">
        <v>68</v>
      </c>
      <c r="I607">
        <v>10</v>
      </c>
      <c r="J607" s="10">
        <f t="shared" si="9"/>
        <v>6</v>
      </c>
    </row>
    <row r="608" spans="1:10" x14ac:dyDescent="0.2">
      <c r="A608" s="6">
        <v>43374</v>
      </c>
      <c r="B608">
        <v>2010</v>
      </c>
      <c r="C608">
        <v>1347</v>
      </c>
      <c r="D608">
        <v>607</v>
      </c>
      <c r="E608">
        <v>9600</v>
      </c>
      <c r="F608" t="s">
        <v>25</v>
      </c>
      <c r="G608">
        <v>6</v>
      </c>
      <c r="H608" t="s">
        <v>68</v>
      </c>
      <c r="I608">
        <v>9</v>
      </c>
      <c r="J608" s="10">
        <f t="shared" si="9"/>
        <v>6</v>
      </c>
    </row>
    <row r="609" spans="1:10" x14ac:dyDescent="0.2">
      <c r="A609" s="6">
        <v>43367</v>
      </c>
      <c r="B609">
        <v>2010</v>
      </c>
      <c r="C609">
        <v>1347</v>
      </c>
      <c r="D609">
        <v>608</v>
      </c>
      <c r="E609">
        <v>10500</v>
      </c>
      <c r="F609" t="s">
        <v>25</v>
      </c>
      <c r="G609">
        <v>60</v>
      </c>
      <c r="H609" t="s">
        <v>26</v>
      </c>
      <c r="I609">
        <v>9</v>
      </c>
      <c r="J609" s="10">
        <f t="shared" si="9"/>
        <v>2</v>
      </c>
    </row>
    <row r="610" spans="1:10" x14ac:dyDescent="0.2">
      <c r="A610" s="6">
        <v>43206</v>
      </c>
      <c r="B610">
        <v>2010</v>
      </c>
      <c r="C610">
        <v>1347</v>
      </c>
      <c r="D610">
        <v>609</v>
      </c>
      <c r="E610">
        <v>9950</v>
      </c>
      <c r="F610" t="s">
        <v>25</v>
      </c>
      <c r="G610">
        <v>5</v>
      </c>
      <c r="H610" t="s">
        <v>68</v>
      </c>
      <c r="I610">
        <v>9</v>
      </c>
      <c r="J610" s="10">
        <f t="shared" si="9"/>
        <v>5</v>
      </c>
    </row>
    <row r="611" spans="1:10" x14ac:dyDescent="0.2">
      <c r="A611" s="6">
        <v>43054</v>
      </c>
      <c r="B611">
        <v>2010</v>
      </c>
      <c r="C611">
        <v>1347</v>
      </c>
      <c r="D611">
        <v>610</v>
      </c>
      <c r="E611">
        <v>8500</v>
      </c>
      <c r="F611" t="s">
        <v>25</v>
      </c>
      <c r="G611">
        <v>6</v>
      </c>
      <c r="H611" t="s">
        <v>68</v>
      </c>
      <c r="I611">
        <v>9</v>
      </c>
      <c r="J611" s="10">
        <f t="shared" si="9"/>
        <v>6</v>
      </c>
    </row>
    <row r="612" spans="1:10" x14ac:dyDescent="0.2">
      <c r="A612" s="6">
        <v>43028</v>
      </c>
      <c r="B612">
        <v>2009</v>
      </c>
      <c r="C612">
        <v>1347</v>
      </c>
      <c r="D612">
        <v>611</v>
      </c>
      <c r="E612">
        <v>8500</v>
      </c>
      <c r="F612" t="s">
        <v>25</v>
      </c>
      <c r="G612">
        <v>6</v>
      </c>
      <c r="H612" t="s">
        <v>68</v>
      </c>
      <c r="I612">
        <v>10</v>
      </c>
      <c r="J612" s="10">
        <f t="shared" si="9"/>
        <v>6</v>
      </c>
    </row>
    <row r="613" spans="1:10" x14ac:dyDescent="0.2">
      <c r="A613" s="6">
        <v>43017</v>
      </c>
      <c r="B613">
        <v>2010</v>
      </c>
      <c r="C613">
        <v>1347</v>
      </c>
      <c r="D613">
        <v>612</v>
      </c>
      <c r="E613">
        <v>8500</v>
      </c>
      <c r="F613" t="s">
        <v>25</v>
      </c>
      <c r="G613">
        <v>5</v>
      </c>
      <c r="H613" t="s">
        <v>68</v>
      </c>
      <c r="I613">
        <v>9</v>
      </c>
      <c r="J613" s="10">
        <f t="shared" si="9"/>
        <v>5</v>
      </c>
    </row>
    <row r="614" spans="1:10" x14ac:dyDescent="0.2">
      <c r="A614" s="6">
        <v>42942</v>
      </c>
      <c r="B614">
        <v>2009</v>
      </c>
      <c r="C614">
        <v>1347</v>
      </c>
      <c r="D614">
        <v>613</v>
      </c>
      <c r="E614">
        <v>7850</v>
      </c>
      <c r="F614" t="s">
        <v>25</v>
      </c>
      <c r="G614">
        <v>1</v>
      </c>
      <c r="H614" t="s">
        <v>68</v>
      </c>
      <c r="I614">
        <v>10</v>
      </c>
      <c r="J614" s="10">
        <f t="shared" si="9"/>
        <v>1</v>
      </c>
    </row>
    <row r="615" spans="1:10" x14ac:dyDescent="0.2">
      <c r="A615" s="6">
        <v>42795</v>
      </c>
      <c r="B615">
        <v>2009</v>
      </c>
      <c r="C615">
        <v>1347</v>
      </c>
      <c r="D615">
        <v>614</v>
      </c>
      <c r="E615">
        <v>7850</v>
      </c>
      <c r="F615" t="s">
        <v>25</v>
      </c>
      <c r="G615">
        <v>5</v>
      </c>
      <c r="H615" t="s">
        <v>68</v>
      </c>
      <c r="I615">
        <v>10</v>
      </c>
      <c r="J615" s="10">
        <f t="shared" si="9"/>
        <v>5</v>
      </c>
    </row>
    <row r="616" spans="1:10" x14ac:dyDescent="0.2">
      <c r="A616" s="6">
        <v>42643</v>
      </c>
      <c r="B616">
        <v>2010</v>
      </c>
      <c r="C616">
        <v>1347</v>
      </c>
      <c r="D616">
        <v>615</v>
      </c>
      <c r="E616">
        <v>8000</v>
      </c>
      <c r="F616" t="s">
        <v>25</v>
      </c>
      <c r="G616">
        <v>12</v>
      </c>
      <c r="H616" t="s">
        <v>68</v>
      </c>
      <c r="I616">
        <v>9</v>
      </c>
      <c r="J616" s="10">
        <f t="shared" si="9"/>
        <v>12</v>
      </c>
    </row>
    <row r="617" spans="1:10" x14ac:dyDescent="0.2">
      <c r="A617" s="6">
        <v>42506</v>
      </c>
      <c r="B617">
        <v>2010</v>
      </c>
      <c r="C617">
        <v>1347</v>
      </c>
      <c r="D617">
        <v>616</v>
      </c>
      <c r="E617">
        <v>8850</v>
      </c>
      <c r="F617" t="s">
        <v>25</v>
      </c>
      <c r="G617">
        <v>11</v>
      </c>
      <c r="H617" t="s">
        <v>68</v>
      </c>
      <c r="I617">
        <v>9</v>
      </c>
      <c r="J617" s="10">
        <f t="shared" si="9"/>
        <v>11</v>
      </c>
    </row>
    <row r="618" spans="1:10" x14ac:dyDescent="0.2">
      <c r="A618" s="6">
        <v>42478</v>
      </c>
      <c r="B618">
        <v>2009</v>
      </c>
      <c r="C618">
        <v>1347</v>
      </c>
      <c r="D618">
        <v>617</v>
      </c>
      <c r="E618">
        <v>8800</v>
      </c>
      <c r="F618" t="s">
        <v>25</v>
      </c>
      <c r="G618">
        <v>12</v>
      </c>
      <c r="H618" t="s">
        <v>68</v>
      </c>
      <c r="I618">
        <v>10</v>
      </c>
      <c r="J618" s="10">
        <f t="shared" si="9"/>
        <v>12</v>
      </c>
    </row>
    <row r="619" spans="1:10" x14ac:dyDescent="0.2">
      <c r="A619" s="6">
        <v>42452</v>
      </c>
      <c r="B619">
        <v>2010</v>
      </c>
      <c r="C619">
        <v>1347</v>
      </c>
      <c r="D619">
        <v>618</v>
      </c>
      <c r="E619">
        <v>7200</v>
      </c>
      <c r="F619" t="s">
        <v>25</v>
      </c>
      <c r="G619">
        <v>4</v>
      </c>
      <c r="H619" t="s">
        <v>68</v>
      </c>
      <c r="I619">
        <v>9</v>
      </c>
      <c r="J619" s="10">
        <f t="shared" si="9"/>
        <v>4</v>
      </c>
    </row>
    <row r="620" spans="1:10" x14ac:dyDescent="0.2">
      <c r="A620" s="6">
        <v>43579</v>
      </c>
      <c r="B620">
        <v>2007</v>
      </c>
      <c r="C620">
        <v>1350</v>
      </c>
      <c r="D620">
        <v>619</v>
      </c>
      <c r="E620">
        <v>7700</v>
      </c>
      <c r="F620" t="s">
        <v>25</v>
      </c>
      <c r="G620">
        <v>7</v>
      </c>
      <c r="H620" t="s">
        <v>68</v>
      </c>
      <c r="I620">
        <v>12</v>
      </c>
      <c r="J620" s="10">
        <f t="shared" si="9"/>
        <v>7</v>
      </c>
    </row>
    <row r="621" spans="1:10" x14ac:dyDescent="0.2">
      <c r="A621" s="6">
        <v>43298</v>
      </c>
      <c r="B621">
        <v>2007</v>
      </c>
      <c r="C621">
        <v>1350</v>
      </c>
      <c r="D621">
        <v>620</v>
      </c>
      <c r="E621">
        <v>9950</v>
      </c>
      <c r="F621" t="s">
        <v>25</v>
      </c>
      <c r="G621">
        <v>12</v>
      </c>
      <c r="H621" t="s">
        <v>68</v>
      </c>
      <c r="I621">
        <v>12</v>
      </c>
      <c r="J621" s="10">
        <f t="shared" si="9"/>
        <v>12</v>
      </c>
    </row>
    <row r="622" spans="1:10" x14ac:dyDescent="0.2">
      <c r="A622" s="6">
        <v>43144</v>
      </c>
      <c r="B622">
        <v>2007</v>
      </c>
      <c r="C622">
        <v>1350</v>
      </c>
      <c r="D622">
        <v>621</v>
      </c>
      <c r="E622">
        <v>9100</v>
      </c>
      <c r="F622" t="s">
        <v>25</v>
      </c>
      <c r="G622">
        <v>5</v>
      </c>
      <c r="H622" t="s">
        <v>68</v>
      </c>
      <c r="I622">
        <v>12</v>
      </c>
      <c r="J622" s="10">
        <f t="shared" si="9"/>
        <v>5</v>
      </c>
    </row>
    <row r="623" spans="1:10" x14ac:dyDescent="0.2">
      <c r="A623" s="6">
        <v>43077</v>
      </c>
      <c r="B623">
        <v>2007</v>
      </c>
      <c r="C623">
        <v>1350</v>
      </c>
      <c r="D623">
        <v>622</v>
      </c>
      <c r="E623">
        <v>8850</v>
      </c>
      <c r="F623" t="s">
        <v>25</v>
      </c>
      <c r="G623">
        <v>8</v>
      </c>
      <c r="H623" t="s">
        <v>68</v>
      </c>
      <c r="I623">
        <v>12</v>
      </c>
      <c r="J623" s="10">
        <f t="shared" si="9"/>
        <v>8</v>
      </c>
    </row>
    <row r="624" spans="1:10" x14ac:dyDescent="0.2">
      <c r="A624" s="6">
        <v>42951</v>
      </c>
      <c r="B624">
        <v>2007</v>
      </c>
      <c r="C624">
        <v>1350</v>
      </c>
      <c r="D624">
        <v>623</v>
      </c>
      <c r="E624">
        <v>7400</v>
      </c>
      <c r="F624" t="s">
        <v>25</v>
      </c>
      <c r="G624">
        <v>4</v>
      </c>
      <c r="H624" t="s">
        <v>68</v>
      </c>
      <c r="I624">
        <v>12</v>
      </c>
      <c r="J624" s="10">
        <f t="shared" si="9"/>
        <v>4</v>
      </c>
    </row>
    <row r="625" spans="1:10" x14ac:dyDescent="0.2">
      <c r="A625" s="6">
        <v>42649</v>
      </c>
      <c r="B625">
        <v>2007</v>
      </c>
      <c r="C625">
        <v>1350</v>
      </c>
      <c r="D625">
        <v>624</v>
      </c>
      <c r="E625">
        <v>8000</v>
      </c>
      <c r="F625" t="s">
        <v>25</v>
      </c>
      <c r="G625">
        <v>8</v>
      </c>
      <c r="H625" t="s">
        <v>68</v>
      </c>
      <c r="I625">
        <v>12</v>
      </c>
      <c r="J625" s="10">
        <f t="shared" si="9"/>
        <v>8</v>
      </c>
    </row>
    <row r="626" spans="1:10" x14ac:dyDescent="0.2">
      <c r="A626" s="6">
        <v>42569</v>
      </c>
      <c r="B626">
        <v>2007</v>
      </c>
      <c r="C626">
        <v>1350</v>
      </c>
      <c r="D626">
        <v>625</v>
      </c>
      <c r="E626">
        <v>8000</v>
      </c>
      <c r="F626" t="s">
        <v>25</v>
      </c>
      <c r="G626">
        <v>4</v>
      </c>
      <c r="H626" t="s">
        <v>68</v>
      </c>
      <c r="I626">
        <v>12</v>
      </c>
      <c r="J626" s="10">
        <f t="shared" si="9"/>
        <v>4</v>
      </c>
    </row>
    <row r="627" spans="1:10" x14ac:dyDescent="0.2">
      <c r="A627" s="6">
        <v>43469</v>
      </c>
      <c r="B627">
        <v>2006</v>
      </c>
      <c r="C627">
        <v>1368</v>
      </c>
      <c r="D627">
        <v>626</v>
      </c>
      <c r="E627">
        <v>6700</v>
      </c>
      <c r="F627" t="s">
        <v>25</v>
      </c>
      <c r="G627">
        <v>6</v>
      </c>
      <c r="H627" t="s">
        <v>68</v>
      </c>
      <c r="I627">
        <v>13</v>
      </c>
      <c r="J627" s="10">
        <f t="shared" si="9"/>
        <v>6</v>
      </c>
    </row>
    <row r="628" spans="1:10" x14ac:dyDescent="0.2">
      <c r="A628" s="6">
        <v>43358</v>
      </c>
      <c r="B628">
        <v>2006</v>
      </c>
      <c r="C628">
        <v>1368</v>
      </c>
      <c r="D628">
        <v>627</v>
      </c>
      <c r="E628">
        <v>7800</v>
      </c>
      <c r="F628" t="s">
        <v>25</v>
      </c>
      <c r="G628">
        <v>5</v>
      </c>
      <c r="H628" t="s">
        <v>68</v>
      </c>
      <c r="I628">
        <v>13</v>
      </c>
      <c r="J628" s="10">
        <f t="shared" si="9"/>
        <v>5</v>
      </c>
    </row>
    <row r="629" spans="1:10" x14ac:dyDescent="0.2">
      <c r="A629" s="6">
        <v>43185</v>
      </c>
      <c r="B629">
        <v>2006</v>
      </c>
      <c r="C629">
        <v>1368</v>
      </c>
      <c r="D629">
        <v>628</v>
      </c>
      <c r="E629">
        <v>10500</v>
      </c>
      <c r="F629" t="s">
        <v>25</v>
      </c>
      <c r="G629">
        <v>3</v>
      </c>
      <c r="H629" t="s">
        <v>68</v>
      </c>
      <c r="I629">
        <v>13</v>
      </c>
      <c r="J629" s="10">
        <f t="shared" si="9"/>
        <v>3</v>
      </c>
    </row>
    <row r="630" spans="1:10" x14ac:dyDescent="0.2">
      <c r="A630" s="6">
        <v>43137</v>
      </c>
      <c r="B630">
        <v>2006</v>
      </c>
      <c r="C630">
        <v>1368</v>
      </c>
      <c r="D630">
        <v>629</v>
      </c>
      <c r="E630">
        <v>9500</v>
      </c>
      <c r="F630" t="s">
        <v>25</v>
      </c>
      <c r="G630">
        <v>45</v>
      </c>
      <c r="H630" t="s">
        <v>26</v>
      </c>
      <c r="I630">
        <v>13</v>
      </c>
      <c r="J630" s="10">
        <f t="shared" si="9"/>
        <v>2</v>
      </c>
    </row>
    <row r="631" spans="1:10" x14ac:dyDescent="0.2">
      <c r="A631" s="6">
        <v>42948</v>
      </c>
      <c r="B631">
        <v>2006</v>
      </c>
      <c r="C631">
        <v>1368</v>
      </c>
      <c r="D631">
        <v>630</v>
      </c>
      <c r="E631">
        <v>7600</v>
      </c>
      <c r="F631" t="s">
        <v>25</v>
      </c>
      <c r="G631">
        <v>6</v>
      </c>
      <c r="H631" t="s">
        <v>68</v>
      </c>
      <c r="I631">
        <v>13</v>
      </c>
      <c r="J631" s="10">
        <f t="shared" si="9"/>
        <v>6</v>
      </c>
    </row>
    <row r="632" spans="1:10" x14ac:dyDescent="0.2">
      <c r="A632" s="6">
        <v>42522</v>
      </c>
      <c r="B632">
        <v>2006</v>
      </c>
      <c r="C632">
        <v>1368</v>
      </c>
      <c r="D632">
        <v>631</v>
      </c>
      <c r="E632">
        <v>9150</v>
      </c>
      <c r="F632" t="s">
        <v>25</v>
      </c>
      <c r="G632">
        <v>12</v>
      </c>
      <c r="H632" t="s">
        <v>68</v>
      </c>
      <c r="I632">
        <v>13</v>
      </c>
      <c r="J632" s="10">
        <f t="shared" si="9"/>
        <v>12</v>
      </c>
    </row>
    <row r="633" spans="1:10" x14ac:dyDescent="0.2">
      <c r="A633" s="6">
        <v>43523</v>
      </c>
      <c r="B633">
        <v>2007</v>
      </c>
      <c r="C633">
        <v>1402</v>
      </c>
      <c r="D633">
        <v>632</v>
      </c>
      <c r="E633">
        <v>7300</v>
      </c>
      <c r="F633" t="s">
        <v>25</v>
      </c>
      <c r="G633">
        <v>12</v>
      </c>
      <c r="H633" t="s">
        <v>68</v>
      </c>
      <c r="I633">
        <v>12</v>
      </c>
      <c r="J633" s="10">
        <f t="shared" si="9"/>
        <v>12</v>
      </c>
    </row>
    <row r="634" spans="1:10" x14ac:dyDescent="0.2">
      <c r="A634" s="6">
        <v>43388</v>
      </c>
      <c r="B634">
        <v>2006</v>
      </c>
      <c r="C634">
        <v>1402</v>
      </c>
      <c r="D634">
        <v>633</v>
      </c>
      <c r="E634">
        <v>7500</v>
      </c>
      <c r="F634" t="s">
        <v>25</v>
      </c>
      <c r="G634">
        <v>40</v>
      </c>
      <c r="H634" t="s">
        <v>26</v>
      </c>
      <c r="I634">
        <v>13</v>
      </c>
      <c r="J634" s="10">
        <f t="shared" si="9"/>
        <v>1</v>
      </c>
    </row>
    <row r="635" spans="1:10" x14ac:dyDescent="0.2">
      <c r="A635" s="6">
        <v>43358</v>
      </c>
      <c r="B635">
        <v>2008</v>
      </c>
      <c r="C635">
        <v>1402</v>
      </c>
      <c r="D635">
        <v>634</v>
      </c>
      <c r="E635">
        <v>7800</v>
      </c>
      <c r="F635" t="s">
        <v>25</v>
      </c>
      <c r="G635">
        <v>5</v>
      </c>
      <c r="H635" t="s">
        <v>68</v>
      </c>
      <c r="I635">
        <v>11</v>
      </c>
      <c r="J635" s="10">
        <f t="shared" si="9"/>
        <v>5</v>
      </c>
    </row>
    <row r="636" spans="1:10" x14ac:dyDescent="0.2">
      <c r="A636" s="6">
        <v>43358</v>
      </c>
      <c r="B636">
        <v>2008</v>
      </c>
      <c r="C636">
        <v>1402</v>
      </c>
      <c r="D636">
        <v>635</v>
      </c>
      <c r="E636">
        <v>8100</v>
      </c>
      <c r="F636" t="s">
        <v>25</v>
      </c>
      <c r="G636">
        <v>5</v>
      </c>
      <c r="H636" t="s">
        <v>68</v>
      </c>
      <c r="I636">
        <v>11</v>
      </c>
      <c r="J636" s="10">
        <f t="shared" si="9"/>
        <v>5</v>
      </c>
    </row>
    <row r="637" spans="1:10" x14ac:dyDescent="0.2">
      <c r="A637" s="6">
        <v>43313</v>
      </c>
      <c r="B637">
        <v>2006</v>
      </c>
      <c r="C637">
        <v>1402</v>
      </c>
      <c r="D637">
        <v>636</v>
      </c>
      <c r="E637">
        <v>8500</v>
      </c>
      <c r="F637" t="s">
        <v>25</v>
      </c>
      <c r="G637">
        <v>50</v>
      </c>
      <c r="H637" t="s">
        <v>26</v>
      </c>
      <c r="I637">
        <v>13</v>
      </c>
      <c r="J637" s="10">
        <f t="shared" si="9"/>
        <v>2</v>
      </c>
    </row>
    <row r="638" spans="1:10" x14ac:dyDescent="0.2">
      <c r="A638" s="6">
        <v>42948</v>
      </c>
      <c r="B638">
        <v>2008</v>
      </c>
      <c r="C638">
        <v>1402</v>
      </c>
      <c r="D638">
        <v>637</v>
      </c>
      <c r="E638">
        <v>7600</v>
      </c>
      <c r="F638" t="s">
        <v>25</v>
      </c>
      <c r="G638">
        <v>6</v>
      </c>
      <c r="H638" t="s">
        <v>68</v>
      </c>
      <c r="I638">
        <v>11</v>
      </c>
      <c r="J638" s="10">
        <f t="shared" si="9"/>
        <v>6</v>
      </c>
    </row>
    <row r="639" spans="1:10" x14ac:dyDescent="0.2">
      <c r="A639" s="6">
        <v>42795</v>
      </c>
      <c r="B639">
        <v>2008</v>
      </c>
      <c r="C639">
        <v>1402</v>
      </c>
      <c r="D639">
        <v>638</v>
      </c>
      <c r="E639">
        <v>7750</v>
      </c>
      <c r="F639" t="s">
        <v>25</v>
      </c>
      <c r="G639">
        <v>6</v>
      </c>
      <c r="H639" t="s">
        <v>68</v>
      </c>
      <c r="I639">
        <v>11</v>
      </c>
      <c r="J639" s="10">
        <f t="shared" si="9"/>
        <v>6</v>
      </c>
    </row>
    <row r="640" spans="1:10" x14ac:dyDescent="0.2">
      <c r="A640" s="6">
        <v>42740</v>
      </c>
      <c r="B640">
        <v>2008</v>
      </c>
      <c r="C640">
        <v>1402</v>
      </c>
      <c r="D640">
        <v>639</v>
      </c>
      <c r="E640">
        <v>7300</v>
      </c>
      <c r="F640" t="s">
        <v>25</v>
      </c>
      <c r="G640">
        <v>6</v>
      </c>
      <c r="H640" t="s">
        <v>68</v>
      </c>
      <c r="I640">
        <v>11</v>
      </c>
      <c r="J640" s="10">
        <f t="shared" si="9"/>
        <v>6</v>
      </c>
    </row>
    <row r="641" spans="1:10" x14ac:dyDescent="0.2">
      <c r="A641" s="6">
        <v>42740</v>
      </c>
      <c r="B641">
        <v>2006</v>
      </c>
      <c r="C641">
        <v>1402</v>
      </c>
      <c r="D641">
        <v>640</v>
      </c>
      <c r="E641">
        <v>7300</v>
      </c>
      <c r="F641" t="s">
        <v>25</v>
      </c>
      <c r="G641">
        <v>6</v>
      </c>
      <c r="H641" t="s">
        <v>68</v>
      </c>
      <c r="I641">
        <v>13</v>
      </c>
      <c r="J641" s="10">
        <f t="shared" si="9"/>
        <v>6</v>
      </c>
    </row>
    <row r="642" spans="1:10" x14ac:dyDescent="0.2">
      <c r="A642" s="6">
        <v>42606</v>
      </c>
      <c r="B642">
        <v>2008</v>
      </c>
      <c r="C642">
        <v>1402</v>
      </c>
      <c r="D642">
        <v>641</v>
      </c>
      <c r="E642">
        <v>9000</v>
      </c>
      <c r="F642" t="s">
        <v>25</v>
      </c>
      <c r="G642">
        <v>7</v>
      </c>
      <c r="H642" t="s">
        <v>68</v>
      </c>
      <c r="I642">
        <v>11</v>
      </c>
      <c r="J642" s="10">
        <f t="shared" ref="J642:J705" si="10">IF(H642="days",ROUND(G642/30,0),IF(H642="years",G642*12,G642))</f>
        <v>7</v>
      </c>
    </row>
    <row r="643" spans="1:10" x14ac:dyDescent="0.2">
      <c r="A643" s="6">
        <v>42522</v>
      </c>
      <c r="B643">
        <v>2006</v>
      </c>
      <c r="C643">
        <v>1402</v>
      </c>
      <c r="D643">
        <v>642</v>
      </c>
      <c r="E643">
        <v>8200</v>
      </c>
      <c r="F643" t="s">
        <v>25</v>
      </c>
      <c r="G643">
        <v>8</v>
      </c>
      <c r="H643" t="s">
        <v>68</v>
      </c>
      <c r="I643">
        <v>13</v>
      </c>
      <c r="J643" s="10">
        <f t="shared" si="10"/>
        <v>8</v>
      </c>
    </row>
    <row r="644" spans="1:10" x14ac:dyDescent="0.2">
      <c r="A644" s="6">
        <v>42379</v>
      </c>
      <c r="B644">
        <v>2007</v>
      </c>
      <c r="C644">
        <v>1402</v>
      </c>
      <c r="D644">
        <v>643</v>
      </c>
      <c r="E644">
        <v>7500</v>
      </c>
      <c r="F644" t="s">
        <v>25</v>
      </c>
      <c r="G644">
        <v>12</v>
      </c>
      <c r="H644" t="s">
        <v>68</v>
      </c>
      <c r="I644">
        <v>12</v>
      </c>
      <c r="J644" s="10">
        <f t="shared" si="10"/>
        <v>12</v>
      </c>
    </row>
    <row r="645" spans="1:10" x14ac:dyDescent="0.2">
      <c r="A645" s="6">
        <v>43539</v>
      </c>
      <c r="B645">
        <v>2009</v>
      </c>
      <c r="C645">
        <v>1404</v>
      </c>
      <c r="D645">
        <v>644</v>
      </c>
      <c r="E645">
        <v>11000</v>
      </c>
      <c r="F645" t="s">
        <v>25</v>
      </c>
      <c r="G645">
        <v>12</v>
      </c>
      <c r="H645" t="s">
        <v>68</v>
      </c>
      <c r="I645">
        <v>10</v>
      </c>
      <c r="J645" s="10">
        <f t="shared" si="10"/>
        <v>12</v>
      </c>
    </row>
    <row r="646" spans="1:10" x14ac:dyDescent="0.2">
      <c r="A646" s="6">
        <v>43313</v>
      </c>
      <c r="B646">
        <v>2009</v>
      </c>
      <c r="C646">
        <v>1404</v>
      </c>
      <c r="D646">
        <v>645</v>
      </c>
      <c r="E646">
        <v>10300</v>
      </c>
      <c r="F646" t="s">
        <v>25</v>
      </c>
      <c r="G646">
        <v>13</v>
      </c>
      <c r="H646" t="s">
        <v>68</v>
      </c>
      <c r="I646">
        <v>10</v>
      </c>
      <c r="J646" s="10">
        <f t="shared" si="10"/>
        <v>13</v>
      </c>
    </row>
    <row r="647" spans="1:10" x14ac:dyDescent="0.2">
      <c r="A647" s="6">
        <v>43301</v>
      </c>
      <c r="B647">
        <v>2009</v>
      </c>
      <c r="C647">
        <v>1404</v>
      </c>
      <c r="D647">
        <v>646</v>
      </c>
      <c r="E647">
        <v>13000</v>
      </c>
      <c r="F647" t="s">
        <v>25</v>
      </c>
      <c r="G647">
        <v>13</v>
      </c>
      <c r="H647" t="s">
        <v>68</v>
      </c>
      <c r="I647">
        <v>10</v>
      </c>
      <c r="J647" s="10">
        <f t="shared" si="10"/>
        <v>13</v>
      </c>
    </row>
    <row r="648" spans="1:10" x14ac:dyDescent="0.2">
      <c r="A648" s="6">
        <v>43257</v>
      </c>
      <c r="B648">
        <v>2009</v>
      </c>
      <c r="C648">
        <v>1404</v>
      </c>
      <c r="D648">
        <v>647</v>
      </c>
      <c r="E648">
        <v>13000</v>
      </c>
      <c r="F648" t="s">
        <v>25</v>
      </c>
      <c r="G648">
        <v>12</v>
      </c>
      <c r="H648" t="s">
        <v>68</v>
      </c>
      <c r="I648">
        <v>10</v>
      </c>
      <c r="J648" s="10">
        <f t="shared" si="10"/>
        <v>12</v>
      </c>
    </row>
    <row r="649" spans="1:10" x14ac:dyDescent="0.2">
      <c r="A649" s="6">
        <v>43201</v>
      </c>
      <c r="B649">
        <v>2008</v>
      </c>
      <c r="C649">
        <v>1404</v>
      </c>
      <c r="D649">
        <v>648</v>
      </c>
      <c r="E649">
        <v>9500</v>
      </c>
      <c r="F649" t="s">
        <v>25</v>
      </c>
      <c r="G649">
        <v>12</v>
      </c>
      <c r="H649" t="s">
        <v>68</v>
      </c>
      <c r="I649">
        <v>11</v>
      </c>
      <c r="J649" s="10">
        <f t="shared" si="10"/>
        <v>12</v>
      </c>
    </row>
    <row r="650" spans="1:10" x14ac:dyDescent="0.2">
      <c r="A650" s="6">
        <v>42948</v>
      </c>
      <c r="B650">
        <v>2009</v>
      </c>
      <c r="C650">
        <v>1404</v>
      </c>
      <c r="D650">
        <v>649</v>
      </c>
      <c r="E650">
        <v>8800</v>
      </c>
      <c r="F650" t="s">
        <v>25</v>
      </c>
      <c r="G650">
        <v>12</v>
      </c>
      <c r="H650" t="s">
        <v>68</v>
      </c>
      <c r="I650">
        <v>10</v>
      </c>
      <c r="J650" s="10">
        <f t="shared" si="10"/>
        <v>12</v>
      </c>
    </row>
    <row r="651" spans="1:10" x14ac:dyDescent="0.2">
      <c r="A651" s="6">
        <v>42835</v>
      </c>
      <c r="B651">
        <v>2008</v>
      </c>
      <c r="C651">
        <v>1404</v>
      </c>
      <c r="D651">
        <v>650</v>
      </c>
      <c r="E651">
        <v>9250</v>
      </c>
      <c r="F651" t="s">
        <v>25</v>
      </c>
      <c r="G651">
        <v>13</v>
      </c>
      <c r="H651" t="s">
        <v>68</v>
      </c>
      <c r="I651">
        <v>11</v>
      </c>
      <c r="J651" s="10">
        <f t="shared" si="10"/>
        <v>13</v>
      </c>
    </row>
    <row r="652" spans="1:10" x14ac:dyDescent="0.2">
      <c r="A652" s="6">
        <v>42796</v>
      </c>
      <c r="B652">
        <v>2009</v>
      </c>
      <c r="C652">
        <v>1404</v>
      </c>
      <c r="D652">
        <v>651</v>
      </c>
      <c r="E652">
        <v>8300</v>
      </c>
      <c r="F652" t="s">
        <v>25</v>
      </c>
      <c r="G652">
        <v>7</v>
      </c>
      <c r="H652" t="s">
        <v>68</v>
      </c>
      <c r="I652">
        <v>10</v>
      </c>
      <c r="J652" s="10">
        <f t="shared" si="10"/>
        <v>7</v>
      </c>
    </row>
    <row r="653" spans="1:10" x14ac:dyDescent="0.2">
      <c r="A653" s="6">
        <v>42795</v>
      </c>
      <c r="B653">
        <v>2009</v>
      </c>
      <c r="C653">
        <v>1404</v>
      </c>
      <c r="D653">
        <v>652</v>
      </c>
      <c r="E653">
        <v>9500</v>
      </c>
      <c r="F653" t="s">
        <v>25</v>
      </c>
      <c r="G653">
        <v>12</v>
      </c>
      <c r="H653" t="s">
        <v>68</v>
      </c>
      <c r="I653">
        <v>10</v>
      </c>
      <c r="J653" s="10">
        <f t="shared" si="10"/>
        <v>12</v>
      </c>
    </row>
    <row r="654" spans="1:10" x14ac:dyDescent="0.2">
      <c r="A654" s="6">
        <v>42795</v>
      </c>
      <c r="B654">
        <v>2009</v>
      </c>
      <c r="C654">
        <v>1404</v>
      </c>
      <c r="D654">
        <v>653</v>
      </c>
      <c r="E654">
        <v>9500</v>
      </c>
      <c r="F654" t="s">
        <v>25</v>
      </c>
      <c r="G654">
        <v>12</v>
      </c>
      <c r="H654" t="s">
        <v>68</v>
      </c>
      <c r="I654">
        <v>10</v>
      </c>
      <c r="J654" s="10">
        <f t="shared" si="10"/>
        <v>12</v>
      </c>
    </row>
    <row r="655" spans="1:10" x14ac:dyDescent="0.2">
      <c r="A655" s="6">
        <v>42769</v>
      </c>
      <c r="B655">
        <v>2008</v>
      </c>
      <c r="C655">
        <v>1404</v>
      </c>
      <c r="D655">
        <v>654</v>
      </c>
      <c r="E655">
        <v>7900</v>
      </c>
      <c r="F655" t="s">
        <v>25</v>
      </c>
      <c r="G655">
        <v>56</v>
      </c>
      <c r="H655" t="s">
        <v>26</v>
      </c>
      <c r="I655">
        <v>11</v>
      </c>
      <c r="J655" s="10">
        <f t="shared" si="10"/>
        <v>2</v>
      </c>
    </row>
    <row r="656" spans="1:10" x14ac:dyDescent="0.2">
      <c r="A656" s="6">
        <v>42705</v>
      </c>
      <c r="B656">
        <v>2008</v>
      </c>
      <c r="C656">
        <v>1404</v>
      </c>
      <c r="D656">
        <v>655</v>
      </c>
      <c r="E656">
        <v>9200</v>
      </c>
      <c r="F656" t="s">
        <v>25</v>
      </c>
      <c r="G656">
        <v>30</v>
      </c>
      <c r="H656" t="s">
        <v>26</v>
      </c>
      <c r="I656">
        <v>11</v>
      </c>
      <c r="J656" s="10">
        <f t="shared" si="10"/>
        <v>1</v>
      </c>
    </row>
    <row r="657" spans="1:10" x14ac:dyDescent="0.2">
      <c r="A657" s="6">
        <v>42571</v>
      </c>
      <c r="B657">
        <v>2009</v>
      </c>
      <c r="C657">
        <v>1404</v>
      </c>
      <c r="D657">
        <v>656</v>
      </c>
      <c r="E657">
        <v>9500</v>
      </c>
      <c r="F657" t="s">
        <v>25</v>
      </c>
      <c r="G657">
        <v>6</v>
      </c>
      <c r="H657" t="s">
        <v>68</v>
      </c>
      <c r="I657">
        <v>10</v>
      </c>
      <c r="J657" s="10">
        <f t="shared" si="10"/>
        <v>6</v>
      </c>
    </row>
    <row r="658" spans="1:10" x14ac:dyDescent="0.2">
      <c r="A658" s="6">
        <v>42486</v>
      </c>
      <c r="B658">
        <v>2009</v>
      </c>
      <c r="C658">
        <v>1404</v>
      </c>
      <c r="D658">
        <v>657</v>
      </c>
      <c r="E658">
        <v>13000</v>
      </c>
      <c r="F658" t="s">
        <v>25</v>
      </c>
      <c r="G658">
        <v>12</v>
      </c>
      <c r="H658" t="s">
        <v>68</v>
      </c>
      <c r="I658">
        <v>10</v>
      </c>
      <c r="J658" s="10">
        <f t="shared" si="10"/>
        <v>12</v>
      </c>
    </row>
    <row r="659" spans="1:10" x14ac:dyDescent="0.2">
      <c r="A659" s="6">
        <v>42486</v>
      </c>
      <c r="B659">
        <v>2009</v>
      </c>
      <c r="C659">
        <v>1404</v>
      </c>
      <c r="D659">
        <v>658</v>
      </c>
      <c r="E659">
        <v>13000</v>
      </c>
      <c r="F659" t="s">
        <v>25</v>
      </c>
      <c r="G659">
        <v>12</v>
      </c>
      <c r="H659" t="s">
        <v>68</v>
      </c>
      <c r="I659">
        <v>10</v>
      </c>
      <c r="J659" s="10">
        <f t="shared" si="10"/>
        <v>12</v>
      </c>
    </row>
    <row r="660" spans="1:10" x14ac:dyDescent="0.2">
      <c r="A660" s="6">
        <v>43566</v>
      </c>
      <c r="B660">
        <v>2008</v>
      </c>
      <c r="C660">
        <v>1421</v>
      </c>
      <c r="D660">
        <v>659</v>
      </c>
      <c r="E660">
        <v>9500</v>
      </c>
      <c r="F660" t="s">
        <v>25</v>
      </c>
      <c r="G660">
        <v>12</v>
      </c>
      <c r="H660" t="s">
        <v>68</v>
      </c>
      <c r="I660">
        <v>11</v>
      </c>
      <c r="J660" s="10">
        <f t="shared" si="10"/>
        <v>12</v>
      </c>
    </row>
    <row r="661" spans="1:10" x14ac:dyDescent="0.2">
      <c r="A661" s="6">
        <v>43221</v>
      </c>
      <c r="B661">
        <v>2008</v>
      </c>
      <c r="C661">
        <v>1421</v>
      </c>
      <c r="D661">
        <v>660</v>
      </c>
      <c r="E661">
        <v>10500</v>
      </c>
      <c r="F661" t="s">
        <v>25</v>
      </c>
      <c r="G661">
        <v>12</v>
      </c>
      <c r="H661" t="s">
        <v>68</v>
      </c>
      <c r="I661">
        <v>11</v>
      </c>
      <c r="J661" s="10">
        <f t="shared" si="10"/>
        <v>12</v>
      </c>
    </row>
    <row r="662" spans="1:10" x14ac:dyDescent="0.2">
      <c r="A662" s="6">
        <v>42849</v>
      </c>
      <c r="B662">
        <v>2008</v>
      </c>
      <c r="C662">
        <v>1421</v>
      </c>
      <c r="D662">
        <v>661</v>
      </c>
      <c r="E662">
        <v>9150</v>
      </c>
      <c r="F662" t="s">
        <v>25</v>
      </c>
      <c r="G662">
        <v>12</v>
      </c>
      <c r="H662" t="s">
        <v>68</v>
      </c>
      <c r="I662">
        <v>11</v>
      </c>
      <c r="J662" s="10">
        <f t="shared" si="10"/>
        <v>12</v>
      </c>
    </row>
    <row r="663" spans="1:10" x14ac:dyDescent="0.2">
      <c r="A663" s="6">
        <v>43593</v>
      </c>
      <c r="B663">
        <v>2007</v>
      </c>
      <c r="C663">
        <v>1440</v>
      </c>
      <c r="D663">
        <v>662</v>
      </c>
      <c r="E663">
        <v>7500</v>
      </c>
      <c r="F663" t="s">
        <v>25</v>
      </c>
      <c r="G663">
        <v>5</v>
      </c>
      <c r="H663" t="s">
        <v>68</v>
      </c>
      <c r="I663">
        <v>12</v>
      </c>
      <c r="J663" s="10">
        <f t="shared" si="10"/>
        <v>5</v>
      </c>
    </row>
    <row r="664" spans="1:10" x14ac:dyDescent="0.2">
      <c r="A664" s="6">
        <v>43551</v>
      </c>
      <c r="B664">
        <v>2006</v>
      </c>
      <c r="C664">
        <v>1440</v>
      </c>
      <c r="D664">
        <v>663</v>
      </c>
      <c r="E664">
        <v>7400</v>
      </c>
      <c r="F664" t="s">
        <v>25</v>
      </c>
      <c r="G664">
        <v>4</v>
      </c>
      <c r="H664" t="s">
        <v>68</v>
      </c>
      <c r="I664">
        <v>13</v>
      </c>
      <c r="J664" s="10">
        <f t="shared" si="10"/>
        <v>4</v>
      </c>
    </row>
    <row r="665" spans="1:10" x14ac:dyDescent="0.2">
      <c r="A665" s="6">
        <v>43549</v>
      </c>
      <c r="B665">
        <v>2006</v>
      </c>
      <c r="C665">
        <v>1440</v>
      </c>
      <c r="D665">
        <v>664</v>
      </c>
      <c r="E665">
        <v>7500</v>
      </c>
      <c r="F665" t="s">
        <v>25</v>
      </c>
      <c r="G665">
        <v>7</v>
      </c>
      <c r="H665" t="s">
        <v>68</v>
      </c>
      <c r="I665">
        <v>13</v>
      </c>
      <c r="J665" s="10">
        <f t="shared" si="10"/>
        <v>7</v>
      </c>
    </row>
    <row r="666" spans="1:10" x14ac:dyDescent="0.2">
      <c r="A666" s="6">
        <v>43535</v>
      </c>
      <c r="B666">
        <v>2009</v>
      </c>
      <c r="C666">
        <v>1440</v>
      </c>
      <c r="D666">
        <v>665</v>
      </c>
      <c r="E666">
        <v>10400</v>
      </c>
      <c r="F666" t="s">
        <v>25</v>
      </c>
      <c r="G666">
        <v>12</v>
      </c>
      <c r="H666" t="s">
        <v>68</v>
      </c>
      <c r="I666">
        <v>10</v>
      </c>
      <c r="J666" s="10">
        <f t="shared" si="10"/>
        <v>12</v>
      </c>
    </row>
    <row r="667" spans="1:10" x14ac:dyDescent="0.2">
      <c r="A667" s="6">
        <v>43525</v>
      </c>
      <c r="B667">
        <v>2008</v>
      </c>
      <c r="C667">
        <v>1440</v>
      </c>
      <c r="D667">
        <v>666</v>
      </c>
      <c r="E667">
        <v>10450</v>
      </c>
      <c r="F667" t="s">
        <v>25</v>
      </c>
      <c r="G667">
        <v>12</v>
      </c>
      <c r="H667" t="s">
        <v>68</v>
      </c>
      <c r="I667">
        <v>11</v>
      </c>
      <c r="J667" s="10">
        <f t="shared" si="10"/>
        <v>12</v>
      </c>
    </row>
    <row r="668" spans="1:10" x14ac:dyDescent="0.2">
      <c r="A668" s="6">
        <v>43525</v>
      </c>
      <c r="B668">
        <v>2008</v>
      </c>
      <c r="C668">
        <v>1440</v>
      </c>
      <c r="D668">
        <v>667</v>
      </c>
      <c r="E668">
        <v>10400</v>
      </c>
      <c r="F668" t="s">
        <v>25</v>
      </c>
      <c r="G668">
        <v>12</v>
      </c>
      <c r="H668" t="s">
        <v>68</v>
      </c>
      <c r="I668">
        <v>11</v>
      </c>
      <c r="J668" s="10">
        <f t="shared" si="10"/>
        <v>12</v>
      </c>
    </row>
    <row r="669" spans="1:10" x14ac:dyDescent="0.2">
      <c r="A669" s="6">
        <v>43525</v>
      </c>
      <c r="B669">
        <v>2009</v>
      </c>
      <c r="C669">
        <v>1440</v>
      </c>
      <c r="D669">
        <v>668</v>
      </c>
      <c r="E669">
        <v>10400</v>
      </c>
      <c r="F669" t="s">
        <v>25</v>
      </c>
      <c r="G669">
        <v>12</v>
      </c>
      <c r="H669" t="s">
        <v>68</v>
      </c>
      <c r="I669">
        <v>10</v>
      </c>
      <c r="J669" s="10">
        <f t="shared" si="10"/>
        <v>12</v>
      </c>
    </row>
    <row r="670" spans="1:10" x14ac:dyDescent="0.2">
      <c r="A670" s="6">
        <v>43472</v>
      </c>
      <c r="B670">
        <v>2006</v>
      </c>
      <c r="C670">
        <v>1440</v>
      </c>
      <c r="D670">
        <v>669</v>
      </c>
      <c r="E670">
        <v>7250</v>
      </c>
      <c r="F670" t="s">
        <v>25</v>
      </c>
      <c r="G670">
        <v>6</v>
      </c>
      <c r="H670" t="s">
        <v>68</v>
      </c>
      <c r="I670">
        <v>13</v>
      </c>
      <c r="J670" s="10">
        <f t="shared" si="10"/>
        <v>6</v>
      </c>
    </row>
    <row r="671" spans="1:10" x14ac:dyDescent="0.2">
      <c r="A671" s="6">
        <v>43430</v>
      </c>
      <c r="B671">
        <v>2007</v>
      </c>
      <c r="C671">
        <v>1440</v>
      </c>
      <c r="D671">
        <v>670</v>
      </c>
      <c r="E671">
        <v>7900</v>
      </c>
      <c r="F671" t="s">
        <v>25</v>
      </c>
      <c r="G671">
        <v>6</v>
      </c>
      <c r="H671" t="s">
        <v>68</v>
      </c>
      <c r="I671">
        <v>12</v>
      </c>
      <c r="J671" s="10">
        <f t="shared" si="10"/>
        <v>6</v>
      </c>
    </row>
    <row r="672" spans="1:10" x14ac:dyDescent="0.2">
      <c r="A672" s="6">
        <v>43402</v>
      </c>
      <c r="B672">
        <v>2006</v>
      </c>
      <c r="C672">
        <v>1440</v>
      </c>
      <c r="D672">
        <v>671</v>
      </c>
      <c r="E672">
        <v>9100</v>
      </c>
      <c r="F672" t="s">
        <v>25</v>
      </c>
      <c r="G672">
        <v>5</v>
      </c>
      <c r="H672" t="s">
        <v>68</v>
      </c>
      <c r="I672">
        <v>13</v>
      </c>
      <c r="J672" s="10">
        <f t="shared" si="10"/>
        <v>5</v>
      </c>
    </row>
    <row r="673" spans="1:10" x14ac:dyDescent="0.2">
      <c r="A673" s="6">
        <v>43370</v>
      </c>
      <c r="B673">
        <v>2006</v>
      </c>
      <c r="C673">
        <v>1440</v>
      </c>
      <c r="D673">
        <v>672</v>
      </c>
      <c r="E673">
        <v>10200</v>
      </c>
      <c r="F673" t="s">
        <v>25</v>
      </c>
      <c r="G673">
        <v>4</v>
      </c>
      <c r="H673" t="s">
        <v>68</v>
      </c>
      <c r="I673">
        <v>13</v>
      </c>
      <c r="J673" s="10">
        <f t="shared" si="10"/>
        <v>4</v>
      </c>
    </row>
    <row r="674" spans="1:10" x14ac:dyDescent="0.2">
      <c r="A674" s="6">
        <v>43327</v>
      </c>
      <c r="B674">
        <v>2006</v>
      </c>
      <c r="C674">
        <v>1440</v>
      </c>
      <c r="D674">
        <v>673</v>
      </c>
      <c r="E674">
        <v>10100</v>
      </c>
      <c r="F674" t="s">
        <v>25</v>
      </c>
      <c r="G674">
        <v>80</v>
      </c>
      <c r="H674" t="s">
        <v>26</v>
      </c>
      <c r="I674">
        <v>13</v>
      </c>
      <c r="J674" s="10">
        <f t="shared" si="10"/>
        <v>3</v>
      </c>
    </row>
    <row r="675" spans="1:10" x14ac:dyDescent="0.2">
      <c r="A675" s="6">
        <v>43272</v>
      </c>
      <c r="B675">
        <v>2009</v>
      </c>
      <c r="C675">
        <v>1440</v>
      </c>
      <c r="D675">
        <v>674</v>
      </c>
      <c r="E675">
        <v>12000</v>
      </c>
      <c r="F675" t="s">
        <v>25</v>
      </c>
      <c r="G675">
        <v>12</v>
      </c>
      <c r="H675" t="s">
        <v>68</v>
      </c>
      <c r="I675">
        <v>10</v>
      </c>
      <c r="J675" s="10">
        <f t="shared" si="10"/>
        <v>12</v>
      </c>
    </row>
    <row r="676" spans="1:10" x14ac:dyDescent="0.2">
      <c r="A676" s="6">
        <v>43264</v>
      </c>
      <c r="B676">
        <v>2007</v>
      </c>
      <c r="C676">
        <v>1440</v>
      </c>
      <c r="D676">
        <v>675</v>
      </c>
      <c r="E676">
        <v>10900</v>
      </c>
      <c r="F676" t="s">
        <v>25</v>
      </c>
      <c r="G676">
        <v>4</v>
      </c>
      <c r="H676" t="s">
        <v>68</v>
      </c>
      <c r="I676">
        <v>12</v>
      </c>
      <c r="J676" s="10">
        <f t="shared" si="10"/>
        <v>4</v>
      </c>
    </row>
    <row r="677" spans="1:10" x14ac:dyDescent="0.2">
      <c r="A677" s="6">
        <v>43252</v>
      </c>
      <c r="B677">
        <v>2008</v>
      </c>
      <c r="C677">
        <v>1440</v>
      </c>
      <c r="D677">
        <v>676</v>
      </c>
      <c r="E677">
        <v>12400</v>
      </c>
      <c r="F677" t="s">
        <v>25</v>
      </c>
      <c r="G677">
        <v>12</v>
      </c>
      <c r="H677" t="s">
        <v>68</v>
      </c>
      <c r="I677">
        <v>11</v>
      </c>
      <c r="J677" s="10">
        <f t="shared" si="10"/>
        <v>12</v>
      </c>
    </row>
    <row r="678" spans="1:10" x14ac:dyDescent="0.2">
      <c r="A678" s="6">
        <v>43252</v>
      </c>
      <c r="B678">
        <v>2009</v>
      </c>
      <c r="C678">
        <v>1440</v>
      </c>
      <c r="D678">
        <v>677</v>
      </c>
      <c r="E678">
        <v>12400</v>
      </c>
      <c r="F678" t="s">
        <v>25</v>
      </c>
      <c r="G678">
        <v>12</v>
      </c>
      <c r="H678" t="s">
        <v>68</v>
      </c>
      <c r="I678">
        <v>10</v>
      </c>
      <c r="J678" s="10">
        <f t="shared" si="10"/>
        <v>12</v>
      </c>
    </row>
    <row r="679" spans="1:10" x14ac:dyDescent="0.2">
      <c r="A679" s="6">
        <v>43245</v>
      </c>
      <c r="B679">
        <v>2008</v>
      </c>
      <c r="C679">
        <v>1440</v>
      </c>
      <c r="D679">
        <v>678</v>
      </c>
      <c r="E679">
        <v>11100</v>
      </c>
      <c r="F679" t="s">
        <v>25</v>
      </c>
      <c r="G679">
        <v>6</v>
      </c>
      <c r="H679" t="s">
        <v>68</v>
      </c>
      <c r="I679">
        <v>11</v>
      </c>
      <c r="J679" s="10">
        <f t="shared" si="10"/>
        <v>6</v>
      </c>
    </row>
    <row r="680" spans="1:10" x14ac:dyDescent="0.2">
      <c r="A680" s="6">
        <v>43245</v>
      </c>
      <c r="B680">
        <v>2006</v>
      </c>
      <c r="C680">
        <v>1440</v>
      </c>
      <c r="D680">
        <v>679</v>
      </c>
      <c r="E680">
        <v>11100</v>
      </c>
      <c r="F680" t="s">
        <v>25</v>
      </c>
      <c r="G680">
        <v>2</v>
      </c>
      <c r="H680" t="s">
        <v>68</v>
      </c>
      <c r="I680">
        <v>13</v>
      </c>
      <c r="J680" s="10">
        <f t="shared" si="10"/>
        <v>2</v>
      </c>
    </row>
    <row r="681" spans="1:10" x14ac:dyDescent="0.2">
      <c r="A681" s="6">
        <v>43241</v>
      </c>
      <c r="B681">
        <v>2008</v>
      </c>
      <c r="C681">
        <v>1440</v>
      </c>
      <c r="D681">
        <v>680</v>
      </c>
      <c r="E681">
        <v>11000</v>
      </c>
      <c r="F681" t="s">
        <v>25</v>
      </c>
      <c r="G681">
        <v>5</v>
      </c>
      <c r="H681" t="s">
        <v>68</v>
      </c>
      <c r="I681">
        <v>11</v>
      </c>
      <c r="J681" s="10">
        <f t="shared" si="10"/>
        <v>5</v>
      </c>
    </row>
    <row r="682" spans="1:10" x14ac:dyDescent="0.2">
      <c r="A682" s="6">
        <v>43215</v>
      </c>
      <c r="B682">
        <v>2008</v>
      </c>
      <c r="C682">
        <v>1440</v>
      </c>
      <c r="D682">
        <v>681</v>
      </c>
      <c r="E682">
        <v>10500</v>
      </c>
      <c r="F682" t="s">
        <v>25</v>
      </c>
      <c r="G682">
        <v>12</v>
      </c>
      <c r="H682" t="s">
        <v>68</v>
      </c>
      <c r="I682">
        <v>11</v>
      </c>
      <c r="J682" s="10">
        <f t="shared" si="10"/>
        <v>12</v>
      </c>
    </row>
    <row r="683" spans="1:10" x14ac:dyDescent="0.2">
      <c r="A683" s="6">
        <v>43214</v>
      </c>
      <c r="B683">
        <v>2006</v>
      </c>
      <c r="C683">
        <v>1440</v>
      </c>
      <c r="D683">
        <v>682</v>
      </c>
      <c r="E683">
        <v>11100</v>
      </c>
      <c r="F683" t="s">
        <v>25</v>
      </c>
      <c r="G683">
        <v>6</v>
      </c>
      <c r="H683" t="s">
        <v>68</v>
      </c>
      <c r="I683">
        <v>13</v>
      </c>
      <c r="J683" s="10">
        <f t="shared" si="10"/>
        <v>6</v>
      </c>
    </row>
    <row r="684" spans="1:10" x14ac:dyDescent="0.2">
      <c r="A684" s="6">
        <v>43181</v>
      </c>
      <c r="B684">
        <v>2006</v>
      </c>
      <c r="C684">
        <v>1440</v>
      </c>
      <c r="D684">
        <v>683</v>
      </c>
      <c r="E684">
        <v>10500</v>
      </c>
      <c r="F684" t="s">
        <v>25</v>
      </c>
      <c r="G684">
        <v>6</v>
      </c>
      <c r="H684" t="s">
        <v>68</v>
      </c>
      <c r="I684">
        <v>13</v>
      </c>
      <c r="J684" s="10">
        <f t="shared" si="10"/>
        <v>6</v>
      </c>
    </row>
    <row r="685" spans="1:10" x14ac:dyDescent="0.2">
      <c r="A685" s="6">
        <v>43122</v>
      </c>
      <c r="B685">
        <v>2008</v>
      </c>
      <c r="C685">
        <v>1440</v>
      </c>
      <c r="D685">
        <v>684</v>
      </c>
      <c r="E685">
        <v>9000</v>
      </c>
      <c r="F685" t="s">
        <v>25</v>
      </c>
      <c r="G685">
        <v>4</v>
      </c>
      <c r="H685" t="s">
        <v>68</v>
      </c>
      <c r="I685">
        <v>11</v>
      </c>
      <c r="J685" s="10">
        <f t="shared" si="10"/>
        <v>4</v>
      </c>
    </row>
    <row r="686" spans="1:10" x14ac:dyDescent="0.2">
      <c r="A686" s="6">
        <v>43083</v>
      </c>
      <c r="B686">
        <v>2007</v>
      </c>
      <c r="C686">
        <v>1440</v>
      </c>
      <c r="D686">
        <v>685</v>
      </c>
      <c r="E686">
        <v>7950</v>
      </c>
      <c r="F686" t="s">
        <v>25</v>
      </c>
      <c r="G686">
        <v>6</v>
      </c>
      <c r="H686" t="s">
        <v>68</v>
      </c>
      <c r="I686">
        <v>12</v>
      </c>
      <c r="J686" s="10">
        <f t="shared" si="10"/>
        <v>6</v>
      </c>
    </row>
    <row r="687" spans="1:10" x14ac:dyDescent="0.2">
      <c r="A687" s="6">
        <v>43031</v>
      </c>
      <c r="B687">
        <v>2006</v>
      </c>
      <c r="C687">
        <v>1440</v>
      </c>
      <c r="D687">
        <v>686</v>
      </c>
      <c r="E687">
        <v>7650</v>
      </c>
      <c r="F687" t="s">
        <v>25</v>
      </c>
      <c r="G687">
        <v>6</v>
      </c>
      <c r="H687" t="s">
        <v>68</v>
      </c>
      <c r="I687">
        <v>13</v>
      </c>
      <c r="J687" s="10">
        <f t="shared" si="10"/>
        <v>6</v>
      </c>
    </row>
    <row r="688" spans="1:10" x14ac:dyDescent="0.2">
      <c r="A688" s="6">
        <v>43010</v>
      </c>
      <c r="B688">
        <v>2006</v>
      </c>
      <c r="C688">
        <v>1440</v>
      </c>
      <c r="D688">
        <v>687</v>
      </c>
      <c r="E688">
        <v>7500</v>
      </c>
      <c r="F688" t="s">
        <v>25</v>
      </c>
      <c r="G688">
        <v>7</v>
      </c>
      <c r="H688" t="s">
        <v>68</v>
      </c>
      <c r="I688">
        <v>13</v>
      </c>
      <c r="J688" s="10">
        <f t="shared" si="10"/>
        <v>7</v>
      </c>
    </row>
    <row r="689" spans="1:10" x14ac:dyDescent="0.2">
      <c r="A689" s="6">
        <v>43010</v>
      </c>
      <c r="B689">
        <v>2008</v>
      </c>
      <c r="C689">
        <v>1440</v>
      </c>
      <c r="D689">
        <v>688</v>
      </c>
      <c r="E689">
        <v>7500</v>
      </c>
      <c r="F689" t="s">
        <v>25</v>
      </c>
      <c r="G689">
        <v>7</v>
      </c>
      <c r="H689" t="s">
        <v>68</v>
      </c>
      <c r="I689">
        <v>11</v>
      </c>
      <c r="J689" s="10">
        <f t="shared" si="10"/>
        <v>7</v>
      </c>
    </row>
    <row r="690" spans="1:10" x14ac:dyDescent="0.2">
      <c r="A690" s="6">
        <v>43006</v>
      </c>
      <c r="B690">
        <v>2006</v>
      </c>
      <c r="C690">
        <v>1440</v>
      </c>
      <c r="D690">
        <v>689</v>
      </c>
      <c r="E690">
        <v>7400</v>
      </c>
      <c r="F690" t="s">
        <v>25</v>
      </c>
      <c r="G690">
        <v>70</v>
      </c>
      <c r="H690" t="s">
        <v>26</v>
      </c>
      <c r="I690">
        <v>13</v>
      </c>
      <c r="J690" s="10">
        <f t="shared" si="10"/>
        <v>2</v>
      </c>
    </row>
    <row r="691" spans="1:10" x14ac:dyDescent="0.2">
      <c r="A691" s="6">
        <v>42965</v>
      </c>
      <c r="B691">
        <v>2006</v>
      </c>
      <c r="C691">
        <v>1440</v>
      </c>
      <c r="D691">
        <v>690</v>
      </c>
      <c r="E691">
        <v>7500</v>
      </c>
      <c r="F691" t="s">
        <v>25</v>
      </c>
      <c r="G691">
        <v>2</v>
      </c>
      <c r="H691" t="s">
        <v>68</v>
      </c>
      <c r="I691">
        <v>13</v>
      </c>
      <c r="J691" s="10">
        <f t="shared" si="10"/>
        <v>2</v>
      </c>
    </row>
    <row r="692" spans="1:10" x14ac:dyDescent="0.2">
      <c r="A692" s="6">
        <v>42951</v>
      </c>
      <c r="B692">
        <v>2007</v>
      </c>
      <c r="C692">
        <v>1440</v>
      </c>
      <c r="D692">
        <v>691</v>
      </c>
      <c r="E692">
        <v>7150</v>
      </c>
      <c r="F692" t="s">
        <v>25</v>
      </c>
      <c r="G692">
        <v>10</v>
      </c>
      <c r="H692" t="s">
        <v>68</v>
      </c>
      <c r="I692">
        <v>12</v>
      </c>
      <c r="J692" s="10">
        <f t="shared" si="10"/>
        <v>10</v>
      </c>
    </row>
    <row r="693" spans="1:10" x14ac:dyDescent="0.2">
      <c r="A693" s="6">
        <v>42948</v>
      </c>
      <c r="B693">
        <v>2008</v>
      </c>
      <c r="C693">
        <v>1440</v>
      </c>
      <c r="D693">
        <v>692</v>
      </c>
      <c r="E693">
        <v>10000</v>
      </c>
      <c r="F693" t="s">
        <v>25</v>
      </c>
      <c r="G693">
        <v>8</v>
      </c>
      <c r="H693" t="s">
        <v>68</v>
      </c>
      <c r="I693">
        <v>11</v>
      </c>
      <c r="J693" s="10">
        <f t="shared" si="10"/>
        <v>8</v>
      </c>
    </row>
    <row r="694" spans="1:10" x14ac:dyDescent="0.2">
      <c r="A694" s="6">
        <v>42948</v>
      </c>
      <c r="B694">
        <v>2009</v>
      </c>
      <c r="C694">
        <v>1440</v>
      </c>
      <c r="D694">
        <v>693</v>
      </c>
      <c r="E694">
        <v>10000</v>
      </c>
      <c r="F694" t="s">
        <v>25</v>
      </c>
      <c r="G694">
        <v>8</v>
      </c>
      <c r="H694" t="s">
        <v>68</v>
      </c>
      <c r="I694">
        <v>10</v>
      </c>
      <c r="J694" s="10">
        <f t="shared" si="10"/>
        <v>8</v>
      </c>
    </row>
    <row r="695" spans="1:10" x14ac:dyDescent="0.2">
      <c r="A695" s="6">
        <v>42921</v>
      </c>
      <c r="B695">
        <v>2008</v>
      </c>
      <c r="C695">
        <v>1440</v>
      </c>
      <c r="D695">
        <v>694</v>
      </c>
      <c r="E695">
        <v>9800</v>
      </c>
      <c r="F695" t="s">
        <v>25</v>
      </c>
      <c r="G695">
        <v>4</v>
      </c>
      <c r="H695" t="s">
        <v>68</v>
      </c>
      <c r="I695">
        <v>11</v>
      </c>
      <c r="J695" s="10">
        <f t="shared" si="10"/>
        <v>4</v>
      </c>
    </row>
    <row r="696" spans="1:10" x14ac:dyDescent="0.2">
      <c r="A696" s="6">
        <v>42887</v>
      </c>
      <c r="B696">
        <v>2007</v>
      </c>
      <c r="C696">
        <v>1440</v>
      </c>
      <c r="D696">
        <v>695</v>
      </c>
      <c r="E696">
        <v>7500</v>
      </c>
      <c r="F696" t="s">
        <v>25</v>
      </c>
      <c r="G696">
        <v>1</v>
      </c>
      <c r="H696" t="s">
        <v>68</v>
      </c>
      <c r="I696">
        <v>12</v>
      </c>
      <c r="J696" s="10">
        <f t="shared" si="10"/>
        <v>1</v>
      </c>
    </row>
    <row r="697" spans="1:10" x14ac:dyDescent="0.2">
      <c r="A697" s="6">
        <v>42887</v>
      </c>
      <c r="B697">
        <v>2008</v>
      </c>
      <c r="C697">
        <v>1440</v>
      </c>
      <c r="D697">
        <v>696</v>
      </c>
      <c r="E697">
        <v>7500</v>
      </c>
      <c r="F697" t="s">
        <v>25</v>
      </c>
      <c r="G697">
        <v>7</v>
      </c>
      <c r="H697" t="s">
        <v>68</v>
      </c>
      <c r="I697">
        <v>11</v>
      </c>
      <c r="J697" s="10">
        <f t="shared" si="10"/>
        <v>7</v>
      </c>
    </row>
    <row r="698" spans="1:10" x14ac:dyDescent="0.2">
      <c r="A698" s="6">
        <v>42884</v>
      </c>
      <c r="B698">
        <v>2008</v>
      </c>
      <c r="C698">
        <v>1440</v>
      </c>
      <c r="D698">
        <v>697</v>
      </c>
      <c r="E698">
        <v>7600</v>
      </c>
      <c r="F698" t="s">
        <v>25</v>
      </c>
      <c r="G698">
        <v>5</v>
      </c>
      <c r="H698" t="s">
        <v>68</v>
      </c>
      <c r="I698">
        <v>11</v>
      </c>
      <c r="J698" s="10">
        <f t="shared" si="10"/>
        <v>5</v>
      </c>
    </row>
    <row r="699" spans="1:10" x14ac:dyDescent="0.2">
      <c r="A699" s="6">
        <v>42837</v>
      </c>
      <c r="B699">
        <v>2007</v>
      </c>
      <c r="C699">
        <v>1440</v>
      </c>
      <c r="D699">
        <v>698</v>
      </c>
      <c r="E699">
        <v>6750</v>
      </c>
      <c r="F699" t="s">
        <v>25</v>
      </c>
      <c r="G699">
        <v>6</v>
      </c>
      <c r="H699" t="s">
        <v>68</v>
      </c>
      <c r="I699">
        <v>12</v>
      </c>
      <c r="J699" s="10">
        <f t="shared" si="10"/>
        <v>6</v>
      </c>
    </row>
    <row r="700" spans="1:10" x14ac:dyDescent="0.2">
      <c r="A700" s="6">
        <v>42808</v>
      </c>
      <c r="B700">
        <v>2008</v>
      </c>
      <c r="C700">
        <v>1440</v>
      </c>
      <c r="D700">
        <v>699</v>
      </c>
      <c r="E700">
        <v>8500</v>
      </c>
      <c r="F700" t="s">
        <v>25</v>
      </c>
      <c r="G700">
        <v>8</v>
      </c>
      <c r="H700" t="s">
        <v>68</v>
      </c>
      <c r="I700">
        <v>11</v>
      </c>
      <c r="J700" s="10">
        <f t="shared" si="10"/>
        <v>8</v>
      </c>
    </row>
    <row r="701" spans="1:10" x14ac:dyDescent="0.2">
      <c r="A701" s="6">
        <v>42808</v>
      </c>
      <c r="B701">
        <v>2009</v>
      </c>
      <c r="C701">
        <v>1440</v>
      </c>
      <c r="D701">
        <v>700</v>
      </c>
      <c r="E701">
        <v>8500</v>
      </c>
      <c r="F701" t="s">
        <v>25</v>
      </c>
      <c r="G701">
        <v>8</v>
      </c>
      <c r="H701" t="s">
        <v>68</v>
      </c>
      <c r="I701">
        <v>10</v>
      </c>
      <c r="J701" s="10">
        <f t="shared" si="10"/>
        <v>8</v>
      </c>
    </row>
    <row r="702" spans="1:10" x14ac:dyDescent="0.2">
      <c r="A702" s="6">
        <v>42795</v>
      </c>
      <c r="B702">
        <v>2006</v>
      </c>
      <c r="C702">
        <v>1440</v>
      </c>
      <c r="D702">
        <v>701</v>
      </c>
      <c r="E702">
        <v>7200</v>
      </c>
      <c r="F702" t="s">
        <v>25</v>
      </c>
      <c r="G702">
        <v>6</v>
      </c>
      <c r="H702" t="s">
        <v>68</v>
      </c>
      <c r="I702">
        <v>13</v>
      </c>
      <c r="J702" s="10">
        <f t="shared" si="10"/>
        <v>6</v>
      </c>
    </row>
    <row r="703" spans="1:10" x14ac:dyDescent="0.2">
      <c r="A703" s="6">
        <v>42788</v>
      </c>
      <c r="B703">
        <v>2009</v>
      </c>
      <c r="C703">
        <v>1440</v>
      </c>
      <c r="D703">
        <v>702</v>
      </c>
      <c r="E703">
        <v>9000</v>
      </c>
      <c r="F703" t="s">
        <v>25</v>
      </c>
      <c r="G703">
        <v>6</v>
      </c>
      <c r="H703" t="s">
        <v>68</v>
      </c>
      <c r="I703">
        <v>10</v>
      </c>
      <c r="J703" s="10">
        <f t="shared" si="10"/>
        <v>6</v>
      </c>
    </row>
    <row r="704" spans="1:10" x14ac:dyDescent="0.2">
      <c r="A704" s="6">
        <v>42783</v>
      </c>
      <c r="B704">
        <v>2006</v>
      </c>
      <c r="C704">
        <v>1440</v>
      </c>
      <c r="D704">
        <v>703</v>
      </c>
      <c r="E704">
        <v>7100</v>
      </c>
      <c r="F704" t="s">
        <v>25</v>
      </c>
      <c r="G704">
        <v>3</v>
      </c>
      <c r="H704" t="s">
        <v>68</v>
      </c>
      <c r="I704">
        <v>13</v>
      </c>
      <c r="J704" s="10">
        <f t="shared" si="10"/>
        <v>3</v>
      </c>
    </row>
    <row r="705" spans="1:10" x14ac:dyDescent="0.2">
      <c r="A705" s="6">
        <v>42723</v>
      </c>
      <c r="B705">
        <v>2006</v>
      </c>
      <c r="C705">
        <v>1440</v>
      </c>
      <c r="D705">
        <v>704</v>
      </c>
      <c r="E705">
        <v>7200</v>
      </c>
      <c r="F705" t="s">
        <v>25</v>
      </c>
      <c r="G705">
        <v>3</v>
      </c>
      <c r="H705" t="s">
        <v>68</v>
      </c>
      <c r="I705">
        <v>13</v>
      </c>
      <c r="J705" s="10">
        <f t="shared" si="10"/>
        <v>3</v>
      </c>
    </row>
    <row r="706" spans="1:10" x14ac:dyDescent="0.2">
      <c r="A706" s="6">
        <v>42705</v>
      </c>
      <c r="B706">
        <v>2008</v>
      </c>
      <c r="C706">
        <v>1440</v>
      </c>
      <c r="D706">
        <v>705</v>
      </c>
      <c r="E706">
        <v>7000</v>
      </c>
      <c r="F706" t="s">
        <v>25</v>
      </c>
      <c r="G706">
        <v>5</v>
      </c>
      <c r="H706" t="s">
        <v>68</v>
      </c>
      <c r="I706">
        <v>11</v>
      </c>
      <c r="J706" s="10">
        <f t="shared" ref="J706:J769" si="11">IF(H706="days",ROUND(G706/30,0),IF(H706="years",G706*12,G706))</f>
        <v>5</v>
      </c>
    </row>
    <row r="707" spans="1:10" x14ac:dyDescent="0.2">
      <c r="A707" s="6">
        <v>42705</v>
      </c>
      <c r="B707">
        <v>2007</v>
      </c>
      <c r="C707">
        <v>1440</v>
      </c>
      <c r="D707">
        <v>706</v>
      </c>
      <c r="E707">
        <v>7100</v>
      </c>
      <c r="F707" t="s">
        <v>25</v>
      </c>
      <c r="G707">
        <v>6</v>
      </c>
      <c r="H707" t="s">
        <v>68</v>
      </c>
      <c r="I707">
        <v>12</v>
      </c>
      <c r="J707" s="10">
        <f t="shared" si="11"/>
        <v>6</v>
      </c>
    </row>
    <row r="708" spans="1:10" x14ac:dyDescent="0.2">
      <c r="A708" s="6">
        <v>42705</v>
      </c>
      <c r="B708">
        <v>2008</v>
      </c>
      <c r="C708">
        <v>1440</v>
      </c>
      <c r="D708">
        <v>707</v>
      </c>
      <c r="E708">
        <v>7200</v>
      </c>
      <c r="F708" t="s">
        <v>25</v>
      </c>
      <c r="G708">
        <v>6</v>
      </c>
      <c r="H708" t="s">
        <v>68</v>
      </c>
      <c r="I708">
        <v>11</v>
      </c>
      <c r="J708" s="10">
        <f t="shared" si="11"/>
        <v>6</v>
      </c>
    </row>
    <row r="709" spans="1:10" x14ac:dyDescent="0.2">
      <c r="A709" s="6">
        <v>42697</v>
      </c>
      <c r="B709">
        <v>2006</v>
      </c>
      <c r="C709">
        <v>1440</v>
      </c>
      <c r="D709">
        <v>708</v>
      </c>
      <c r="E709">
        <v>7000</v>
      </c>
      <c r="F709" t="s">
        <v>25</v>
      </c>
      <c r="G709">
        <v>5</v>
      </c>
      <c r="H709" t="s">
        <v>68</v>
      </c>
      <c r="I709">
        <v>13</v>
      </c>
      <c r="J709" s="10">
        <f t="shared" si="11"/>
        <v>5</v>
      </c>
    </row>
    <row r="710" spans="1:10" x14ac:dyDescent="0.2">
      <c r="A710" s="6">
        <v>42681</v>
      </c>
      <c r="B710">
        <v>2007</v>
      </c>
      <c r="C710">
        <v>1440</v>
      </c>
      <c r="D710">
        <v>709</v>
      </c>
      <c r="E710">
        <v>7000</v>
      </c>
      <c r="F710" t="s">
        <v>25</v>
      </c>
      <c r="G710">
        <v>50</v>
      </c>
      <c r="H710" t="s">
        <v>26</v>
      </c>
      <c r="I710">
        <v>12</v>
      </c>
      <c r="J710" s="10">
        <f t="shared" si="11"/>
        <v>2</v>
      </c>
    </row>
    <row r="711" spans="1:10" x14ac:dyDescent="0.2">
      <c r="A711" s="6">
        <v>42674</v>
      </c>
      <c r="B711">
        <v>2008</v>
      </c>
      <c r="C711">
        <v>1440</v>
      </c>
      <c r="D711">
        <v>710</v>
      </c>
      <c r="E711">
        <v>7100</v>
      </c>
      <c r="F711" t="s">
        <v>25</v>
      </c>
      <c r="G711">
        <v>50</v>
      </c>
      <c r="H711" t="s">
        <v>26</v>
      </c>
      <c r="I711">
        <v>11</v>
      </c>
      <c r="J711" s="10">
        <f t="shared" si="11"/>
        <v>2</v>
      </c>
    </row>
    <row r="712" spans="1:10" x14ac:dyDescent="0.2">
      <c r="A712" s="6">
        <v>42614</v>
      </c>
      <c r="B712">
        <v>2008</v>
      </c>
      <c r="C712">
        <v>1440</v>
      </c>
      <c r="D712">
        <v>711</v>
      </c>
      <c r="E712">
        <v>9800</v>
      </c>
      <c r="F712" t="s">
        <v>25</v>
      </c>
      <c r="G712">
        <v>8</v>
      </c>
      <c r="H712" t="s">
        <v>68</v>
      </c>
      <c r="I712">
        <v>11</v>
      </c>
      <c r="J712" s="10">
        <f t="shared" si="11"/>
        <v>8</v>
      </c>
    </row>
    <row r="713" spans="1:10" x14ac:dyDescent="0.2">
      <c r="A713" s="6">
        <v>42614</v>
      </c>
      <c r="B713">
        <v>2009</v>
      </c>
      <c r="C713">
        <v>1440</v>
      </c>
      <c r="D713">
        <v>712</v>
      </c>
      <c r="E713">
        <v>9800</v>
      </c>
      <c r="F713" t="s">
        <v>25</v>
      </c>
      <c r="G713">
        <v>8</v>
      </c>
      <c r="H713" t="s">
        <v>68</v>
      </c>
      <c r="I713">
        <v>10</v>
      </c>
      <c r="J713" s="10">
        <f t="shared" si="11"/>
        <v>8</v>
      </c>
    </row>
    <row r="714" spans="1:10" x14ac:dyDescent="0.2">
      <c r="A714" s="6">
        <v>42578</v>
      </c>
      <c r="B714">
        <v>2006</v>
      </c>
      <c r="C714">
        <v>1440</v>
      </c>
      <c r="D714">
        <v>713</v>
      </c>
      <c r="E714">
        <v>7500</v>
      </c>
      <c r="F714" t="s">
        <v>25</v>
      </c>
      <c r="G714">
        <v>9</v>
      </c>
      <c r="H714" t="s">
        <v>68</v>
      </c>
      <c r="I714">
        <v>13</v>
      </c>
      <c r="J714" s="10">
        <f t="shared" si="11"/>
        <v>9</v>
      </c>
    </row>
    <row r="715" spans="1:10" x14ac:dyDescent="0.2">
      <c r="A715" s="6">
        <v>42578</v>
      </c>
      <c r="B715">
        <v>2007</v>
      </c>
      <c r="C715">
        <v>1440</v>
      </c>
      <c r="D715">
        <v>714</v>
      </c>
      <c r="E715">
        <v>7500</v>
      </c>
      <c r="F715" t="s">
        <v>25</v>
      </c>
      <c r="G715">
        <v>4</v>
      </c>
      <c r="H715" t="s">
        <v>68</v>
      </c>
      <c r="I715">
        <v>12</v>
      </c>
      <c r="J715" s="10">
        <f t="shared" si="11"/>
        <v>4</v>
      </c>
    </row>
    <row r="716" spans="1:10" x14ac:dyDescent="0.2">
      <c r="A716" s="6">
        <v>42577</v>
      </c>
      <c r="B716">
        <v>2007</v>
      </c>
      <c r="C716">
        <v>1440</v>
      </c>
      <c r="D716">
        <v>715</v>
      </c>
      <c r="E716">
        <v>7200</v>
      </c>
      <c r="F716" t="s">
        <v>25</v>
      </c>
      <c r="G716">
        <v>3</v>
      </c>
      <c r="H716" t="s">
        <v>68</v>
      </c>
      <c r="I716">
        <v>12</v>
      </c>
      <c r="J716" s="10">
        <f t="shared" si="11"/>
        <v>3</v>
      </c>
    </row>
    <row r="717" spans="1:10" x14ac:dyDescent="0.2">
      <c r="A717" s="6">
        <v>42563</v>
      </c>
      <c r="B717">
        <v>2008</v>
      </c>
      <c r="C717">
        <v>1440</v>
      </c>
      <c r="D717">
        <v>716</v>
      </c>
      <c r="E717">
        <v>9500</v>
      </c>
      <c r="F717" t="s">
        <v>25</v>
      </c>
      <c r="G717">
        <v>12</v>
      </c>
      <c r="H717" t="s">
        <v>68</v>
      </c>
      <c r="I717">
        <v>11</v>
      </c>
      <c r="J717" s="10">
        <f t="shared" si="11"/>
        <v>12</v>
      </c>
    </row>
    <row r="718" spans="1:10" x14ac:dyDescent="0.2">
      <c r="A718" s="6">
        <v>42481</v>
      </c>
      <c r="B718">
        <v>2006</v>
      </c>
      <c r="C718">
        <v>1440</v>
      </c>
      <c r="D718">
        <v>717</v>
      </c>
      <c r="E718">
        <v>7500</v>
      </c>
      <c r="F718" t="s">
        <v>25</v>
      </c>
      <c r="G718">
        <v>6</v>
      </c>
      <c r="H718" t="s">
        <v>68</v>
      </c>
      <c r="I718">
        <v>13</v>
      </c>
      <c r="J718" s="10">
        <f t="shared" si="11"/>
        <v>6</v>
      </c>
    </row>
    <row r="719" spans="1:10" x14ac:dyDescent="0.2">
      <c r="A719" s="6">
        <v>42468</v>
      </c>
      <c r="B719">
        <v>2006</v>
      </c>
      <c r="C719">
        <v>1440</v>
      </c>
      <c r="D719">
        <v>718</v>
      </c>
      <c r="E719">
        <v>7500</v>
      </c>
      <c r="F719" t="s">
        <v>25</v>
      </c>
      <c r="G719">
        <v>6</v>
      </c>
      <c r="H719" t="s">
        <v>68</v>
      </c>
      <c r="I719">
        <v>13</v>
      </c>
      <c r="J719" s="10">
        <f t="shared" si="11"/>
        <v>6</v>
      </c>
    </row>
    <row r="720" spans="1:10" x14ac:dyDescent="0.2">
      <c r="A720" s="6">
        <v>42468</v>
      </c>
      <c r="B720">
        <v>2008</v>
      </c>
      <c r="C720">
        <v>1440</v>
      </c>
      <c r="D720">
        <v>719</v>
      </c>
      <c r="E720">
        <v>7500</v>
      </c>
      <c r="F720" t="s">
        <v>25</v>
      </c>
      <c r="G720">
        <v>6</v>
      </c>
      <c r="H720" t="s">
        <v>68</v>
      </c>
      <c r="I720">
        <v>11</v>
      </c>
      <c r="J720" s="10">
        <f t="shared" si="11"/>
        <v>6</v>
      </c>
    </row>
    <row r="721" spans="1:10" x14ac:dyDescent="0.2">
      <c r="A721" s="6">
        <v>42426</v>
      </c>
      <c r="B721">
        <v>2008</v>
      </c>
      <c r="C721">
        <v>1440</v>
      </c>
      <c r="D721">
        <v>720</v>
      </c>
      <c r="E721">
        <v>7500</v>
      </c>
      <c r="F721" t="s">
        <v>25</v>
      </c>
      <c r="G721">
        <v>5</v>
      </c>
      <c r="H721" t="s">
        <v>68</v>
      </c>
      <c r="I721">
        <v>11</v>
      </c>
      <c r="J721" s="10">
        <f t="shared" si="11"/>
        <v>5</v>
      </c>
    </row>
    <row r="722" spans="1:10" x14ac:dyDescent="0.2">
      <c r="A722" s="6">
        <v>43598</v>
      </c>
      <c r="B722">
        <v>2009</v>
      </c>
      <c r="C722">
        <v>1496</v>
      </c>
      <c r="D722">
        <v>721</v>
      </c>
      <c r="E722">
        <v>7000</v>
      </c>
      <c r="F722" t="s">
        <v>25</v>
      </c>
      <c r="G722">
        <v>5</v>
      </c>
      <c r="H722" t="s">
        <v>68</v>
      </c>
      <c r="I722">
        <v>10</v>
      </c>
      <c r="J722" s="10">
        <f t="shared" si="11"/>
        <v>5</v>
      </c>
    </row>
    <row r="723" spans="1:10" x14ac:dyDescent="0.2">
      <c r="A723" s="6">
        <v>43557</v>
      </c>
      <c r="B723">
        <v>2009</v>
      </c>
      <c r="C723">
        <v>1496</v>
      </c>
      <c r="D723">
        <v>722</v>
      </c>
      <c r="E723">
        <v>7850</v>
      </c>
      <c r="F723" t="s">
        <v>25</v>
      </c>
      <c r="G723">
        <v>4</v>
      </c>
      <c r="H723" t="s">
        <v>68</v>
      </c>
      <c r="I723">
        <v>10</v>
      </c>
      <c r="J723" s="10">
        <f t="shared" si="11"/>
        <v>4</v>
      </c>
    </row>
    <row r="724" spans="1:10" x14ac:dyDescent="0.2">
      <c r="A724" s="6">
        <v>43514</v>
      </c>
      <c r="B724">
        <v>2010</v>
      </c>
      <c r="C724">
        <v>1496</v>
      </c>
      <c r="D724">
        <v>723</v>
      </c>
      <c r="E724">
        <v>6700</v>
      </c>
      <c r="F724" t="s">
        <v>25</v>
      </c>
      <c r="G724">
        <v>6</v>
      </c>
      <c r="H724" t="s">
        <v>68</v>
      </c>
      <c r="I724">
        <v>9</v>
      </c>
      <c r="J724" s="10">
        <f t="shared" si="11"/>
        <v>6</v>
      </c>
    </row>
    <row r="725" spans="1:10" x14ac:dyDescent="0.2">
      <c r="A725" s="6">
        <v>43423</v>
      </c>
      <c r="B725">
        <v>2009</v>
      </c>
      <c r="C725">
        <v>1496</v>
      </c>
      <c r="D725">
        <v>724</v>
      </c>
      <c r="E725">
        <v>6600</v>
      </c>
      <c r="F725" t="s">
        <v>25</v>
      </c>
      <c r="G725">
        <v>6</v>
      </c>
      <c r="H725" t="s">
        <v>68</v>
      </c>
      <c r="I725">
        <v>10</v>
      </c>
      <c r="J725" s="10">
        <f t="shared" si="11"/>
        <v>6</v>
      </c>
    </row>
    <row r="726" spans="1:10" x14ac:dyDescent="0.2">
      <c r="A726" s="6">
        <v>43383</v>
      </c>
      <c r="B726">
        <v>2009</v>
      </c>
      <c r="C726">
        <v>1496</v>
      </c>
      <c r="D726">
        <v>725</v>
      </c>
      <c r="E726">
        <v>8900</v>
      </c>
      <c r="F726" t="s">
        <v>25</v>
      </c>
      <c r="G726">
        <v>6</v>
      </c>
      <c r="H726" t="s">
        <v>68</v>
      </c>
      <c r="I726">
        <v>10</v>
      </c>
      <c r="J726" s="10">
        <f t="shared" si="11"/>
        <v>6</v>
      </c>
    </row>
    <row r="727" spans="1:10" x14ac:dyDescent="0.2">
      <c r="A727" s="6">
        <v>43368</v>
      </c>
      <c r="B727">
        <v>2009</v>
      </c>
      <c r="C727">
        <v>1496</v>
      </c>
      <c r="D727">
        <v>726</v>
      </c>
      <c r="E727">
        <v>9000</v>
      </c>
      <c r="F727" t="s">
        <v>25</v>
      </c>
      <c r="G727">
        <v>6</v>
      </c>
      <c r="H727" t="s">
        <v>68</v>
      </c>
      <c r="I727">
        <v>10</v>
      </c>
      <c r="J727" s="10">
        <f t="shared" si="11"/>
        <v>6</v>
      </c>
    </row>
    <row r="728" spans="1:10" x14ac:dyDescent="0.2">
      <c r="A728" s="6">
        <v>43350</v>
      </c>
      <c r="B728">
        <v>2010</v>
      </c>
      <c r="C728">
        <v>1496</v>
      </c>
      <c r="D728">
        <v>727</v>
      </c>
      <c r="E728">
        <v>9100</v>
      </c>
      <c r="F728" t="s">
        <v>25</v>
      </c>
      <c r="G728">
        <v>6</v>
      </c>
      <c r="H728" t="s">
        <v>68</v>
      </c>
      <c r="I728">
        <v>9</v>
      </c>
      <c r="J728" s="10">
        <f t="shared" si="11"/>
        <v>6</v>
      </c>
    </row>
    <row r="729" spans="1:10" x14ac:dyDescent="0.2">
      <c r="A729" s="6">
        <v>43225</v>
      </c>
      <c r="B729">
        <v>2009</v>
      </c>
      <c r="C729">
        <v>1496</v>
      </c>
      <c r="D729">
        <v>728</v>
      </c>
      <c r="E729">
        <v>10750</v>
      </c>
      <c r="F729" t="s">
        <v>25</v>
      </c>
      <c r="G729">
        <v>5</v>
      </c>
      <c r="H729" t="s">
        <v>68</v>
      </c>
      <c r="I729">
        <v>10</v>
      </c>
      <c r="J729" s="10">
        <f t="shared" si="11"/>
        <v>5</v>
      </c>
    </row>
    <row r="730" spans="1:10" x14ac:dyDescent="0.2">
      <c r="A730" s="6">
        <v>43203</v>
      </c>
      <c r="B730">
        <v>2010</v>
      </c>
      <c r="C730">
        <v>1496</v>
      </c>
      <c r="D730">
        <v>729</v>
      </c>
      <c r="E730">
        <v>10750</v>
      </c>
      <c r="F730" t="s">
        <v>25</v>
      </c>
      <c r="G730">
        <v>6</v>
      </c>
      <c r="H730" t="s">
        <v>68</v>
      </c>
      <c r="I730">
        <v>9</v>
      </c>
      <c r="J730" s="10">
        <f t="shared" si="11"/>
        <v>6</v>
      </c>
    </row>
    <row r="731" spans="1:10" x14ac:dyDescent="0.2">
      <c r="A731" s="6">
        <v>43168</v>
      </c>
      <c r="B731">
        <v>2009</v>
      </c>
      <c r="C731">
        <v>1496</v>
      </c>
      <c r="D731">
        <v>730</v>
      </c>
      <c r="E731">
        <v>9500</v>
      </c>
      <c r="F731" t="s">
        <v>25</v>
      </c>
      <c r="G731">
        <v>7</v>
      </c>
      <c r="H731" t="s">
        <v>68</v>
      </c>
      <c r="I731">
        <v>10</v>
      </c>
      <c r="J731" s="10">
        <f t="shared" si="11"/>
        <v>7</v>
      </c>
    </row>
    <row r="732" spans="1:10" x14ac:dyDescent="0.2">
      <c r="A732" s="6">
        <v>43161</v>
      </c>
      <c r="B732">
        <v>2009</v>
      </c>
      <c r="C732">
        <v>1496</v>
      </c>
      <c r="D732">
        <v>731</v>
      </c>
      <c r="E732">
        <v>9000</v>
      </c>
      <c r="F732" t="s">
        <v>25</v>
      </c>
      <c r="G732">
        <v>7</v>
      </c>
      <c r="H732" t="s">
        <v>68</v>
      </c>
      <c r="I732">
        <v>10</v>
      </c>
      <c r="J732" s="10">
        <f t="shared" si="11"/>
        <v>7</v>
      </c>
    </row>
    <row r="733" spans="1:10" x14ac:dyDescent="0.2">
      <c r="A733" s="6">
        <v>43052</v>
      </c>
      <c r="B733">
        <v>2009</v>
      </c>
      <c r="C733">
        <v>1496</v>
      </c>
      <c r="D733">
        <v>732</v>
      </c>
      <c r="E733">
        <v>7800</v>
      </c>
      <c r="F733" t="s">
        <v>25</v>
      </c>
      <c r="G733">
        <v>6</v>
      </c>
      <c r="H733" t="s">
        <v>68</v>
      </c>
      <c r="I733">
        <v>10</v>
      </c>
      <c r="J733" s="10">
        <f t="shared" si="11"/>
        <v>6</v>
      </c>
    </row>
    <row r="734" spans="1:10" x14ac:dyDescent="0.2">
      <c r="A734" s="6">
        <v>43003</v>
      </c>
      <c r="B734">
        <v>2010</v>
      </c>
      <c r="C734">
        <v>1496</v>
      </c>
      <c r="D734">
        <v>733</v>
      </c>
      <c r="E734">
        <v>7500</v>
      </c>
      <c r="F734" t="s">
        <v>25</v>
      </c>
      <c r="G734">
        <v>6</v>
      </c>
      <c r="H734" t="s">
        <v>68</v>
      </c>
      <c r="I734">
        <v>9</v>
      </c>
      <c r="J734" s="10">
        <f t="shared" si="11"/>
        <v>6</v>
      </c>
    </row>
    <row r="735" spans="1:10" x14ac:dyDescent="0.2">
      <c r="A735" s="6">
        <v>42948</v>
      </c>
      <c r="B735">
        <v>2009</v>
      </c>
      <c r="C735">
        <v>1496</v>
      </c>
      <c r="D735">
        <v>734</v>
      </c>
      <c r="E735">
        <v>7150</v>
      </c>
      <c r="F735" t="s">
        <v>25</v>
      </c>
      <c r="G735">
        <v>8</v>
      </c>
      <c r="H735" t="s">
        <v>68</v>
      </c>
      <c r="I735">
        <v>10</v>
      </c>
      <c r="J735" s="10">
        <f t="shared" si="11"/>
        <v>8</v>
      </c>
    </row>
    <row r="736" spans="1:10" x14ac:dyDescent="0.2">
      <c r="A736" s="6">
        <v>42940</v>
      </c>
      <c r="B736">
        <v>2009</v>
      </c>
      <c r="C736">
        <v>1496</v>
      </c>
      <c r="D736">
        <v>735</v>
      </c>
      <c r="E736">
        <v>6900</v>
      </c>
      <c r="F736" t="s">
        <v>25</v>
      </c>
      <c r="G736">
        <v>6</v>
      </c>
      <c r="H736" t="s">
        <v>68</v>
      </c>
      <c r="I736">
        <v>10</v>
      </c>
      <c r="J736" s="10">
        <f t="shared" si="11"/>
        <v>6</v>
      </c>
    </row>
    <row r="737" spans="1:10" x14ac:dyDescent="0.2">
      <c r="A737" s="6">
        <v>42887</v>
      </c>
      <c r="B737">
        <v>2009</v>
      </c>
      <c r="C737">
        <v>1496</v>
      </c>
      <c r="D737">
        <v>736</v>
      </c>
      <c r="E737">
        <v>6800</v>
      </c>
      <c r="F737" t="s">
        <v>25</v>
      </c>
      <c r="G737">
        <v>5</v>
      </c>
      <c r="H737" t="s">
        <v>68</v>
      </c>
      <c r="I737">
        <v>10</v>
      </c>
      <c r="J737" s="10">
        <f t="shared" si="11"/>
        <v>5</v>
      </c>
    </row>
    <row r="738" spans="1:10" x14ac:dyDescent="0.2">
      <c r="A738" s="6">
        <v>42871</v>
      </c>
      <c r="B738">
        <v>2009</v>
      </c>
      <c r="C738">
        <v>1496</v>
      </c>
      <c r="D738">
        <v>737</v>
      </c>
      <c r="E738">
        <v>6350</v>
      </c>
      <c r="F738" t="s">
        <v>25</v>
      </c>
      <c r="G738">
        <v>70</v>
      </c>
      <c r="H738" t="s">
        <v>26</v>
      </c>
      <c r="I738">
        <v>10</v>
      </c>
      <c r="J738" s="10">
        <f t="shared" si="11"/>
        <v>2</v>
      </c>
    </row>
    <row r="739" spans="1:10" x14ac:dyDescent="0.2">
      <c r="A739" s="6">
        <v>42853</v>
      </c>
      <c r="B739">
        <v>2009</v>
      </c>
      <c r="C739">
        <v>1496</v>
      </c>
      <c r="D739">
        <v>738</v>
      </c>
      <c r="E739">
        <v>6350</v>
      </c>
      <c r="F739" t="s">
        <v>25</v>
      </c>
      <c r="G739">
        <v>12</v>
      </c>
      <c r="H739" t="s">
        <v>68</v>
      </c>
      <c r="I739">
        <v>10</v>
      </c>
      <c r="J739" s="10">
        <f t="shared" si="11"/>
        <v>12</v>
      </c>
    </row>
    <row r="740" spans="1:10" x14ac:dyDescent="0.2">
      <c r="A740" s="6">
        <v>42705</v>
      </c>
      <c r="B740">
        <v>2009</v>
      </c>
      <c r="C740">
        <v>1496</v>
      </c>
      <c r="D740">
        <v>739</v>
      </c>
      <c r="E740">
        <v>6250</v>
      </c>
      <c r="F740" t="s">
        <v>25</v>
      </c>
      <c r="G740">
        <v>5</v>
      </c>
      <c r="H740" t="s">
        <v>68</v>
      </c>
      <c r="I740">
        <v>10</v>
      </c>
      <c r="J740" s="10">
        <f t="shared" si="11"/>
        <v>5</v>
      </c>
    </row>
    <row r="741" spans="1:10" x14ac:dyDescent="0.2">
      <c r="A741" s="6">
        <v>42688</v>
      </c>
      <c r="B741">
        <v>2009</v>
      </c>
      <c r="C741">
        <v>1496</v>
      </c>
      <c r="D741">
        <v>740</v>
      </c>
      <c r="E741">
        <v>6250</v>
      </c>
      <c r="F741" t="s">
        <v>25</v>
      </c>
      <c r="G741">
        <v>6</v>
      </c>
      <c r="H741" t="s">
        <v>68</v>
      </c>
      <c r="I741">
        <v>10</v>
      </c>
      <c r="J741" s="10">
        <f t="shared" si="11"/>
        <v>6</v>
      </c>
    </row>
    <row r="742" spans="1:10" x14ac:dyDescent="0.2">
      <c r="A742" s="6">
        <v>42658</v>
      </c>
      <c r="B742">
        <v>2009</v>
      </c>
      <c r="C742">
        <v>1496</v>
      </c>
      <c r="D742">
        <v>741</v>
      </c>
      <c r="E742">
        <v>6250</v>
      </c>
      <c r="F742" t="s">
        <v>25</v>
      </c>
      <c r="G742">
        <v>6</v>
      </c>
      <c r="H742" t="s">
        <v>68</v>
      </c>
      <c r="I742">
        <v>10</v>
      </c>
      <c r="J742" s="10">
        <f t="shared" si="11"/>
        <v>6</v>
      </c>
    </row>
    <row r="743" spans="1:10" x14ac:dyDescent="0.2">
      <c r="A743" s="6">
        <v>42612</v>
      </c>
      <c r="B743">
        <v>2010</v>
      </c>
      <c r="C743">
        <v>1496</v>
      </c>
      <c r="D743">
        <v>742</v>
      </c>
      <c r="E743">
        <v>6300</v>
      </c>
      <c r="F743" t="s">
        <v>25</v>
      </c>
      <c r="G743">
        <v>6</v>
      </c>
      <c r="H743" t="s">
        <v>68</v>
      </c>
      <c r="I743">
        <v>9</v>
      </c>
      <c r="J743" s="10">
        <f t="shared" si="11"/>
        <v>6</v>
      </c>
    </row>
    <row r="744" spans="1:10" x14ac:dyDescent="0.2">
      <c r="A744" s="6">
        <v>42578</v>
      </c>
      <c r="B744">
        <v>2009</v>
      </c>
      <c r="C744">
        <v>1496</v>
      </c>
      <c r="D744">
        <v>743</v>
      </c>
      <c r="E744">
        <v>6300</v>
      </c>
      <c r="F744" t="s">
        <v>25</v>
      </c>
      <c r="G744">
        <v>60</v>
      </c>
      <c r="H744" t="s">
        <v>26</v>
      </c>
      <c r="I744">
        <v>10</v>
      </c>
      <c r="J744" s="10">
        <f t="shared" si="11"/>
        <v>2</v>
      </c>
    </row>
    <row r="745" spans="1:10" x14ac:dyDescent="0.2">
      <c r="A745" s="6">
        <v>42546</v>
      </c>
      <c r="B745">
        <v>2009</v>
      </c>
      <c r="C745">
        <v>1496</v>
      </c>
      <c r="D745">
        <v>744</v>
      </c>
      <c r="E745">
        <v>6300</v>
      </c>
      <c r="F745" t="s">
        <v>25</v>
      </c>
      <c r="G745">
        <v>4</v>
      </c>
      <c r="H745" t="s">
        <v>68</v>
      </c>
      <c r="I745">
        <v>10</v>
      </c>
      <c r="J745" s="10">
        <f t="shared" si="11"/>
        <v>4</v>
      </c>
    </row>
    <row r="746" spans="1:10" x14ac:dyDescent="0.2">
      <c r="A746" s="6">
        <v>42521</v>
      </c>
      <c r="B746">
        <v>2009</v>
      </c>
      <c r="C746">
        <v>1496</v>
      </c>
      <c r="D746">
        <v>745</v>
      </c>
      <c r="E746">
        <v>6500</v>
      </c>
      <c r="F746" t="s">
        <v>25</v>
      </c>
      <c r="G746">
        <v>12</v>
      </c>
      <c r="H746" t="s">
        <v>68</v>
      </c>
      <c r="I746">
        <v>10</v>
      </c>
      <c r="J746" s="10">
        <f t="shared" si="11"/>
        <v>12</v>
      </c>
    </row>
    <row r="747" spans="1:10" x14ac:dyDescent="0.2">
      <c r="A747" s="6">
        <v>42502</v>
      </c>
      <c r="B747">
        <v>2009</v>
      </c>
      <c r="C747">
        <v>1496</v>
      </c>
      <c r="D747">
        <v>746</v>
      </c>
      <c r="E747">
        <v>6500</v>
      </c>
      <c r="F747" t="s">
        <v>25</v>
      </c>
      <c r="G747">
        <v>42</v>
      </c>
      <c r="H747" t="s">
        <v>26</v>
      </c>
      <c r="I747">
        <v>10</v>
      </c>
      <c r="J747" s="10">
        <f t="shared" si="11"/>
        <v>1</v>
      </c>
    </row>
    <row r="748" spans="1:10" x14ac:dyDescent="0.2">
      <c r="A748" s="6">
        <v>42461</v>
      </c>
      <c r="B748">
        <v>2009</v>
      </c>
      <c r="C748">
        <v>1496</v>
      </c>
      <c r="D748">
        <v>747</v>
      </c>
      <c r="E748">
        <v>6400</v>
      </c>
      <c r="F748" t="s">
        <v>25</v>
      </c>
      <c r="G748">
        <v>3</v>
      </c>
      <c r="H748" t="s">
        <v>68</v>
      </c>
      <c r="I748">
        <v>10</v>
      </c>
      <c r="J748" s="10">
        <f t="shared" si="11"/>
        <v>3</v>
      </c>
    </row>
    <row r="749" spans="1:10" x14ac:dyDescent="0.2">
      <c r="A749" s="6">
        <v>42460</v>
      </c>
      <c r="B749">
        <v>2009</v>
      </c>
      <c r="C749">
        <v>1496</v>
      </c>
      <c r="D749">
        <v>748</v>
      </c>
      <c r="E749">
        <v>6300</v>
      </c>
      <c r="F749" t="s">
        <v>25</v>
      </c>
      <c r="G749">
        <v>8</v>
      </c>
      <c r="H749" t="s">
        <v>68</v>
      </c>
      <c r="I749">
        <v>10</v>
      </c>
      <c r="J749" s="10">
        <f t="shared" si="11"/>
        <v>8</v>
      </c>
    </row>
    <row r="750" spans="1:10" x14ac:dyDescent="0.2">
      <c r="A750" s="6">
        <v>42376</v>
      </c>
      <c r="B750">
        <v>2009</v>
      </c>
      <c r="C750">
        <v>1496</v>
      </c>
      <c r="D750">
        <v>749</v>
      </c>
      <c r="E750">
        <v>6200</v>
      </c>
      <c r="F750" t="s">
        <v>25</v>
      </c>
      <c r="G750">
        <v>6</v>
      </c>
      <c r="H750" t="s">
        <v>68</v>
      </c>
      <c r="I750">
        <v>10</v>
      </c>
      <c r="J750" s="10">
        <f t="shared" si="11"/>
        <v>6</v>
      </c>
    </row>
    <row r="751" spans="1:10" x14ac:dyDescent="0.2">
      <c r="A751" s="6">
        <v>43509</v>
      </c>
      <c r="B751">
        <v>2006</v>
      </c>
      <c r="C751">
        <v>1530</v>
      </c>
      <c r="D751">
        <v>750</v>
      </c>
      <c r="E751">
        <v>7050</v>
      </c>
      <c r="F751" t="s">
        <v>25</v>
      </c>
      <c r="G751">
        <v>6</v>
      </c>
      <c r="H751" t="s">
        <v>68</v>
      </c>
      <c r="I751">
        <v>13</v>
      </c>
      <c r="J751" s="10">
        <f t="shared" si="11"/>
        <v>6</v>
      </c>
    </row>
    <row r="752" spans="1:10" x14ac:dyDescent="0.2">
      <c r="A752" s="6">
        <v>43431</v>
      </c>
      <c r="B752">
        <v>2006</v>
      </c>
      <c r="C752">
        <v>1530</v>
      </c>
      <c r="D752">
        <v>751</v>
      </c>
      <c r="E752">
        <v>7350</v>
      </c>
      <c r="F752" t="s">
        <v>25</v>
      </c>
      <c r="G752">
        <v>5</v>
      </c>
      <c r="H752" t="s">
        <v>68</v>
      </c>
      <c r="I752">
        <v>13</v>
      </c>
      <c r="J752" s="10">
        <f t="shared" si="11"/>
        <v>5</v>
      </c>
    </row>
    <row r="753" spans="1:10" x14ac:dyDescent="0.2">
      <c r="A753" s="6">
        <v>43187</v>
      </c>
      <c r="B753">
        <v>2006</v>
      </c>
      <c r="C753">
        <v>1530</v>
      </c>
      <c r="D753">
        <v>752</v>
      </c>
      <c r="E753">
        <v>10500</v>
      </c>
      <c r="F753" t="s">
        <v>25</v>
      </c>
      <c r="G753">
        <v>12</v>
      </c>
      <c r="H753" t="s">
        <v>68</v>
      </c>
      <c r="I753">
        <v>13</v>
      </c>
      <c r="J753" s="10">
        <f t="shared" si="11"/>
        <v>12</v>
      </c>
    </row>
    <row r="754" spans="1:10" x14ac:dyDescent="0.2">
      <c r="A754" s="6">
        <v>43109</v>
      </c>
      <c r="B754">
        <v>2006</v>
      </c>
      <c r="C754">
        <v>1530</v>
      </c>
      <c r="D754">
        <v>753</v>
      </c>
      <c r="E754">
        <v>8150</v>
      </c>
      <c r="F754" t="s">
        <v>25</v>
      </c>
      <c r="G754">
        <v>4</v>
      </c>
      <c r="H754" t="s">
        <v>68</v>
      </c>
      <c r="I754">
        <v>13</v>
      </c>
      <c r="J754" s="10">
        <f t="shared" si="11"/>
        <v>4</v>
      </c>
    </row>
    <row r="755" spans="1:10" x14ac:dyDescent="0.2">
      <c r="A755" s="6">
        <v>42598</v>
      </c>
      <c r="B755">
        <v>2006</v>
      </c>
      <c r="C755">
        <v>1530</v>
      </c>
      <c r="D755">
        <v>754</v>
      </c>
      <c r="E755">
        <v>7200</v>
      </c>
      <c r="F755" t="s">
        <v>25</v>
      </c>
      <c r="G755">
        <v>8</v>
      </c>
      <c r="H755" t="s">
        <v>68</v>
      </c>
      <c r="I755">
        <v>13</v>
      </c>
      <c r="J755" s="10">
        <f t="shared" si="11"/>
        <v>8</v>
      </c>
    </row>
    <row r="756" spans="1:10" x14ac:dyDescent="0.2">
      <c r="A756" s="6">
        <v>42459</v>
      </c>
      <c r="B756">
        <v>2006</v>
      </c>
      <c r="C756">
        <v>1530</v>
      </c>
      <c r="D756">
        <v>755</v>
      </c>
      <c r="E756">
        <v>6400</v>
      </c>
      <c r="F756" t="s">
        <v>25</v>
      </c>
      <c r="G756">
        <v>5</v>
      </c>
      <c r="H756" t="s">
        <v>68</v>
      </c>
      <c r="I756">
        <v>13</v>
      </c>
      <c r="J756" s="10">
        <f t="shared" si="11"/>
        <v>5</v>
      </c>
    </row>
    <row r="757" spans="1:10" x14ac:dyDescent="0.2">
      <c r="A757" s="6">
        <v>43455</v>
      </c>
      <c r="B757">
        <v>2006</v>
      </c>
      <c r="C757">
        <v>1570</v>
      </c>
      <c r="D757">
        <v>756</v>
      </c>
      <c r="E757">
        <v>7850</v>
      </c>
      <c r="F757" t="s">
        <v>25</v>
      </c>
      <c r="G757">
        <v>8</v>
      </c>
      <c r="H757" t="s">
        <v>68</v>
      </c>
      <c r="I757">
        <v>13</v>
      </c>
      <c r="J757" s="10">
        <f t="shared" si="11"/>
        <v>8</v>
      </c>
    </row>
    <row r="758" spans="1:10" x14ac:dyDescent="0.2">
      <c r="A758" s="6">
        <v>43144</v>
      </c>
      <c r="B758">
        <v>2006</v>
      </c>
      <c r="C758">
        <v>1570</v>
      </c>
      <c r="D758">
        <v>757</v>
      </c>
      <c r="E758">
        <v>10300</v>
      </c>
      <c r="F758" t="s">
        <v>25</v>
      </c>
      <c r="G758">
        <v>12</v>
      </c>
      <c r="H758" t="s">
        <v>68</v>
      </c>
      <c r="I758">
        <v>13</v>
      </c>
      <c r="J758" s="10">
        <f t="shared" si="11"/>
        <v>12</v>
      </c>
    </row>
    <row r="759" spans="1:10" x14ac:dyDescent="0.2">
      <c r="A759" s="6">
        <v>43012</v>
      </c>
      <c r="B759">
        <v>2006</v>
      </c>
      <c r="C759">
        <v>1570</v>
      </c>
      <c r="D759">
        <v>758</v>
      </c>
      <c r="E759">
        <v>8500</v>
      </c>
      <c r="F759" t="s">
        <v>25</v>
      </c>
      <c r="G759">
        <v>5</v>
      </c>
      <c r="H759" t="s">
        <v>68</v>
      </c>
      <c r="I759">
        <v>13</v>
      </c>
      <c r="J759" s="10">
        <f t="shared" si="11"/>
        <v>5</v>
      </c>
    </row>
    <row r="760" spans="1:10" x14ac:dyDescent="0.2">
      <c r="A760" s="6">
        <v>42814</v>
      </c>
      <c r="B760">
        <v>2006</v>
      </c>
      <c r="C760">
        <v>1570</v>
      </c>
      <c r="D760">
        <v>759</v>
      </c>
      <c r="E760">
        <v>6900</v>
      </c>
      <c r="F760" t="s">
        <v>25</v>
      </c>
      <c r="G760">
        <v>6</v>
      </c>
      <c r="H760" t="s">
        <v>68</v>
      </c>
      <c r="I760">
        <v>13</v>
      </c>
      <c r="J760" s="10">
        <f t="shared" si="11"/>
        <v>6</v>
      </c>
    </row>
    <row r="761" spans="1:10" x14ac:dyDescent="0.2">
      <c r="A761" s="6">
        <v>42646</v>
      </c>
      <c r="B761">
        <v>2006</v>
      </c>
      <c r="C761">
        <v>1570</v>
      </c>
      <c r="D761">
        <v>760</v>
      </c>
      <c r="E761">
        <v>7000</v>
      </c>
      <c r="F761" t="s">
        <v>25</v>
      </c>
      <c r="G761">
        <v>6</v>
      </c>
      <c r="H761" t="s">
        <v>68</v>
      </c>
      <c r="I761">
        <v>13</v>
      </c>
      <c r="J761" s="10">
        <f t="shared" si="11"/>
        <v>6</v>
      </c>
    </row>
    <row r="762" spans="1:10" x14ac:dyDescent="0.2">
      <c r="A762" s="6">
        <v>43346</v>
      </c>
      <c r="B762">
        <v>2007</v>
      </c>
      <c r="C762">
        <v>1574</v>
      </c>
      <c r="D762">
        <v>761</v>
      </c>
      <c r="E762">
        <v>9500</v>
      </c>
      <c r="F762" t="s">
        <v>25</v>
      </c>
      <c r="G762">
        <v>12</v>
      </c>
      <c r="H762" t="s">
        <v>68</v>
      </c>
      <c r="I762">
        <v>12</v>
      </c>
      <c r="J762" s="10">
        <f t="shared" si="11"/>
        <v>12</v>
      </c>
    </row>
    <row r="763" spans="1:10" x14ac:dyDescent="0.2">
      <c r="A763" s="6">
        <v>43238</v>
      </c>
      <c r="B763">
        <v>2007</v>
      </c>
      <c r="C763">
        <v>1574</v>
      </c>
      <c r="D763">
        <v>762</v>
      </c>
      <c r="E763">
        <v>10275</v>
      </c>
      <c r="F763" t="s">
        <v>25</v>
      </c>
      <c r="G763">
        <v>12</v>
      </c>
      <c r="H763" t="s">
        <v>68</v>
      </c>
      <c r="I763">
        <v>12</v>
      </c>
      <c r="J763" s="10">
        <f t="shared" si="11"/>
        <v>12</v>
      </c>
    </row>
    <row r="764" spans="1:10" x14ac:dyDescent="0.2">
      <c r="A764" s="6">
        <v>43059</v>
      </c>
      <c r="B764">
        <v>2007</v>
      </c>
      <c r="C764">
        <v>1574</v>
      </c>
      <c r="D764">
        <v>763</v>
      </c>
      <c r="E764">
        <v>8250</v>
      </c>
      <c r="F764" t="s">
        <v>25</v>
      </c>
      <c r="G764">
        <v>150</v>
      </c>
      <c r="H764" t="s">
        <v>26</v>
      </c>
      <c r="I764">
        <v>12</v>
      </c>
      <c r="J764" s="10">
        <f t="shared" si="11"/>
        <v>5</v>
      </c>
    </row>
    <row r="765" spans="1:10" x14ac:dyDescent="0.2">
      <c r="A765" s="6">
        <v>42999</v>
      </c>
      <c r="B765">
        <v>2007</v>
      </c>
      <c r="C765">
        <v>1574</v>
      </c>
      <c r="D765">
        <v>764</v>
      </c>
      <c r="E765">
        <v>7000</v>
      </c>
      <c r="F765" t="s">
        <v>25</v>
      </c>
      <c r="G765">
        <v>7</v>
      </c>
      <c r="H765" t="s">
        <v>68</v>
      </c>
      <c r="I765">
        <v>12</v>
      </c>
      <c r="J765" s="10">
        <f t="shared" si="11"/>
        <v>7</v>
      </c>
    </row>
    <row r="766" spans="1:10" x14ac:dyDescent="0.2">
      <c r="A766" s="6">
        <v>42948</v>
      </c>
      <c r="B766">
        <v>2007</v>
      </c>
      <c r="C766">
        <v>1574</v>
      </c>
      <c r="D766">
        <v>765</v>
      </c>
      <c r="E766">
        <v>7500</v>
      </c>
      <c r="F766" t="s">
        <v>25</v>
      </c>
      <c r="G766">
        <v>12</v>
      </c>
      <c r="H766" t="s">
        <v>68</v>
      </c>
      <c r="I766">
        <v>12</v>
      </c>
      <c r="J766" s="10">
        <f t="shared" si="11"/>
        <v>12</v>
      </c>
    </row>
    <row r="767" spans="1:10" x14ac:dyDescent="0.2">
      <c r="A767" s="6">
        <v>42941</v>
      </c>
      <c r="B767">
        <v>2007</v>
      </c>
      <c r="C767">
        <v>1574</v>
      </c>
      <c r="D767">
        <v>766</v>
      </c>
      <c r="E767">
        <v>7100</v>
      </c>
      <c r="F767" t="s">
        <v>25</v>
      </c>
      <c r="G767">
        <v>6</v>
      </c>
      <c r="H767" t="s">
        <v>68</v>
      </c>
      <c r="I767">
        <v>12</v>
      </c>
      <c r="J767" s="10">
        <f t="shared" si="11"/>
        <v>6</v>
      </c>
    </row>
    <row r="768" spans="1:10" x14ac:dyDescent="0.2">
      <c r="A768" s="6">
        <v>42877</v>
      </c>
      <c r="B768">
        <v>2007</v>
      </c>
      <c r="C768">
        <v>1574</v>
      </c>
      <c r="D768">
        <v>767</v>
      </c>
      <c r="E768">
        <v>7600</v>
      </c>
      <c r="F768" t="s">
        <v>25</v>
      </c>
      <c r="G768">
        <v>90</v>
      </c>
      <c r="H768" t="s">
        <v>26</v>
      </c>
      <c r="I768">
        <v>12</v>
      </c>
      <c r="J768" s="10">
        <f t="shared" si="11"/>
        <v>3</v>
      </c>
    </row>
    <row r="769" spans="1:10" x14ac:dyDescent="0.2">
      <c r="A769" s="6">
        <v>42875</v>
      </c>
      <c r="B769">
        <v>2007</v>
      </c>
      <c r="C769">
        <v>1574</v>
      </c>
      <c r="D769">
        <v>768</v>
      </c>
      <c r="E769">
        <v>6250</v>
      </c>
      <c r="F769" t="s">
        <v>25</v>
      </c>
      <c r="G769">
        <v>90</v>
      </c>
      <c r="H769" t="s">
        <v>26</v>
      </c>
      <c r="I769">
        <v>12</v>
      </c>
      <c r="J769" s="10">
        <f t="shared" si="11"/>
        <v>3</v>
      </c>
    </row>
    <row r="770" spans="1:10" x14ac:dyDescent="0.2">
      <c r="A770" s="6">
        <v>42844</v>
      </c>
      <c r="B770">
        <v>2007</v>
      </c>
      <c r="C770">
        <v>1574</v>
      </c>
      <c r="D770">
        <v>769</v>
      </c>
      <c r="E770">
        <v>7500</v>
      </c>
      <c r="F770" t="s">
        <v>25</v>
      </c>
      <c r="G770">
        <v>45</v>
      </c>
      <c r="H770" t="s">
        <v>26</v>
      </c>
      <c r="I770">
        <v>12</v>
      </c>
      <c r="J770" s="10">
        <f t="shared" ref="J770:J833" si="12">IF(H770="days",ROUND(G770/30,0),IF(H770="years",G770*12,G770))</f>
        <v>2</v>
      </c>
    </row>
    <row r="771" spans="1:10" x14ac:dyDescent="0.2">
      <c r="A771" s="6">
        <v>42795</v>
      </c>
      <c r="B771">
        <v>2007</v>
      </c>
      <c r="C771">
        <v>1574</v>
      </c>
      <c r="D771">
        <v>770</v>
      </c>
      <c r="E771">
        <v>6650</v>
      </c>
      <c r="F771" t="s">
        <v>25</v>
      </c>
      <c r="G771">
        <v>3</v>
      </c>
      <c r="H771" t="s">
        <v>68</v>
      </c>
      <c r="I771">
        <v>12</v>
      </c>
      <c r="J771" s="10">
        <f t="shared" si="12"/>
        <v>3</v>
      </c>
    </row>
    <row r="772" spans="1:10" x14ac:dyDescent="0.2">
      <c r="A772" s="6">
        <v>42643</v>
      </c>
      <c r="B772">
        <v>2007</v>
      </c>
      <c r="C772">
        <v>1574</v>
      </c>
      <c r="D772">
        <v>771</v>
      </c>
      <c r="E772">
        <v>6700</v>
      </c>
      <c r="F772" t="s">
        <v>25</v>
      </c>
      <c r="G772">
        <v>6</v>
      </c>
      <c r="H772" t="s">
        <v>68</v>
      </c>
      <c r="I772">
        <v>12</v>
      </c>
      <c r="J772" s="10">
        <f t="shared" si="12"/>
        <v>6</v>
      </c>
    </row>
    <row r="773" spans="1:10" x14ac:dyDescent="0.2">
      <c r="A773" s="6">
        <v>42608</v>
      </c>
      <c r="B773">
        <v>2007</v>
      </c>
      <c r="C773">
        <v>1574</v>
      </c>
      <c r="D773">
        <v>772</v>
      </c>
      <c r="E773">
        <v>6500</v>
      </c>
      <c r="F773" t="s">
        <v>25</v>
      </c>
      <c r="G773">
        <v>10</v>
      </c>
      <c r="H773" t="s">
        <v>68</v>
      </c>
      <c r="I773">
        <v>12</v>
      </c>
      <c r="J773" s="10">
        <f t="shared" si="12"/>
        <v>10</v>
      </c>
    </row>
    <row r="774" spans="1:10" x14ac:dyDescent="0.2">
      <c r="A774" s="6">
        <v>42607</v>
      </c>
      <c r="B774">
        <v>2007</v>
      </c>
      <c r="C774">
        <v>1574</v>
      </c>
      <c r="D774">
        <v>773</v>
      </c>
      <c r="E774">
        <v>6250</v>
      </c>
      <c r="F774" t="s">
        <v>25</v>
      </c>
      <c r="G774">
        <v>6</v>
      </c>
      <c r="H774" t="s">
        <v>68</v>
      </c>
      <c r="I774">
        <v>12</v>
      </c>
      <c r="J774" s="10">
        <f t="shared" si="12"/>
        <v>6</v>
      </c>
    </row>
    <row r="775" spans="1:10" x14ac:dyDescent="0.2">
      <c r="A775" s="6">
        <v>42584</v>
      </c>
      <c r="B775">
        <v>2007</v>
      </c>
      <c r="C775">
        <v>1574</v>
      </c>
      <c r="D775">
        <v>774</v>
      </c>
      <c r="E775">
        <v>7650</v>
      </c>
      <c r="F775" t="s">
        <v>25</v>
      </c>
      <c r="G775">
        <v>5</v>
      </c>
      <c r="H775" t="s">
        <v>68</v>
      </c>
      <c r="I775">
        <v>12</v>
      </c>
      <c r="J775" s="10">
        <f t="shared" si="12"/>
        <v>5</v>
      </c>
    </row>
    <row r="776" spans="1:10" x14ac:dyDescent="0.2">
      <c r="A776" s="6">
        <v>42459</v>
      </c>
      <c r="B776">
        <v>2007</v>
      </c>
      <c r="C776">
        <v>1574</v>
      </c>
      <c r="D776">
        <v>775</v>
      </c>
      <c r="E776">
        <v>8000</v>
      </c>
      <c r="F776" t="s">
        <v>25</v>
      </c>
      <c r="G776">
        <v>6</v>
      </c>
      <c r="H776" t="s">
        <v>68</v>
      </c>
      <c r="I776">
        <v>12</v>
      </c>
      <c r="J776" s="10">
        <f t="shared" si="12"/>
        <v>6</v>
      </c>
    </row>
    <row r="777" spans="1:10" x14ac:dyDescent="0.2">
      <c r="A777" s="6">
        <v>42411</v>
      </c>
      <c r="B777">
        <v>2007</v>
      </c>
      <c r="C777">
        <v>1574</v>
      </c>
      <c r="D777">
        <v>776</v>
      </c>
      <c r="E777">
        <v>6450</v>
      </c>
      <c r="F777" t="s">
        <v>25</v>
      </c>
      <c r="G777">
        <v>7</v>
      </c>
      <c r="H777" t="s">
        <v>68</v>
      </c>
      <c r="I777">
        <v>12</v>
      </c>
      <c r="J777" s="10">
        <f t="shared" si="12"/>
        <v>7</v>
      </c>
    </row>
    <row r="778" spans="1:10" x14ac:dyDescent="0.2">
      <c r="A778" s="6">
        <v>43552</v>
      </c>
      <c r="B778">
        <v>2007</v>
      </c>
      <c r="C778">
        <v>1577</v>
      </c>
      <c r="D778">
        <v>777</v>
      </c>
      <c r="E778">
        <v>8000</v>
      </c>
      <c r="F778" t="s">
        <v>25</v>
      </c>
      <c r="G778">
        <v>6</v>
      </c>
      <c r="H778" t="s">
        <v>68</v>
      </c>
      <c r="I778">
        <v>12</v>
      </c>
      <c r="J778" s="10">
        <f t="shared" si="12"/>
        <v>6</v>
      </c>
    </row>
    <row r="779" spans="1:10" x14ac:dyDescent="0.2">
      <c r="A779" s="6">
        <v>43472</v>
      </c>
      <c r="B779">
        <v>2007</v>
      </c>
      <c r="C779">
        <v>1577</v>
      </c>
      <c r="D779">
        <v>778</v>
      </c>
      <c r="E779">
        <v>7250</v>
      </c>
      <c r="F779" t="s">
        <v>25</v>
      </c>
      <c r="G779">
        <v>40</v>
      </c>
      <c r="H779" t="s">
        <v>26</v>
      </c>
      <c r="I779">
        <v>12</v>
      </c>
      <c r="J779" s="10">
        <f t="shared" si="12"/>
        <v>1</v>
      </c>
    </row>
    <row r="780" spans="1:10" x14ac:dyDescent="0.2">
      <c r="A780" s="6">
        <v>43145</v>
      </c>
      <c r="B780">
        <v>2007</v>
      </c>
      <c r="C780">
        <v>1577</v>
      </c>
      <c r="D780">
        <v>779</v>
      </c>
      <c r="E780">
        <v>9900</v>
      </c>
      <c r="F780" t="s">
        <v>25</v>
      </c>
      <c r="G780">
        <v>10</v>
      </c>
      <c r="H780" t="s">
        <v>68</v>
      </c>
      <c r="I780">
        <v>12</v>
      </c>
      <c r="J780" s="10">
        <f t="shared" si="12"/>
        <v>10</v>
      </c>
    </row>
    <row r="781" spans="1:10" x14ac:dyDescent="0.2">
      <c r="A781" s="6">
        <v>42908</v>
      </c>
      <c r="B781">
        <v>2007</v>
      </c>
      <c r="C781">
        <v>1577</v>
      </c>
      <c r="D781">
        <v>780</v>
      </c>
      <c r="E781">
        <v>7000</v>
      </c>
      <c r="F781" t="s">
        <v>25</v>
      </c>
      <c r="G781">
        <v>8</v>
      </c>
      <c r="H781" t="s">
        <v>68</v>
      </c>
      <c r="I781">
        <v>12</v>
      </c>
      <c r="J781" s="10">
        <f t="shared" si="12"/>
        <v>8</v>
      </c>
    </row>
    <row r="782" spans="1:10" x14ac:dyDescent="0.2">
      <c r="A782" s="6">
        <v>42902</v>
      </c>
      <c r="B782">
        <v>2007</v>
      </c>
      <c r="C782">
        <v>1577</v>
      </c>
      <c r="D782">
        <v>781</v>
      </c>
      <c r="E782">
        <v>7100</v>
      </c>
      <c r="F782" t="s">
        <v>25</v>
      </c>
      <c r="G782">
        <v>8</v>
      </c>
      <c r="H782" t="s">
        <v>68</v>
      </c>
      <c r="I782">
        <v>12</v>
      </c>
      <c r="J782" s="10">
        <f t="shared" si="12"/>
        <v>8</v>
      </c>
    </row>
    <row r="783" spans="1:10" x14ac:dyDescent="0.2">
      <c r="A783" s="6">
        <v>42866</v>
      </c>
      <c r="B783">
        <v>2006</v>
      </c>
      <c r="C783">
        <v>1577</v>
      </c>
      <c r="D783">
        <v>782</v>
      </c>
      <c r="E783">
        <v>7000</v>
      </c>
      <c r="F783" t="s">
        <v>25</v>
      </c>
      <c r="G783">
        <v>9</v>
      </c>
      <c r="H783" t="s">
        <v>68</v>
      </c>
      <c r="I783">
        <v>13</v>
      </c>
      <c r="J783" s="10">
        <f t="shared" si="12"/>
        <v>9</v>
      </c>
    </row>
    <row r="784" spans="1:10" x14ac:dyDescent="0.2">
      <c r="A784" s="6">
        <v>42751</v>
      </c>
      <c r="B784">
        <v>2007</v>
      </c>
      <c r="C784">
        <v>1577</v>
      </c>
      <c r="D784">
        <v>783</v>
      </c>
      <c r="E784">
        <v>6850</v>
      </c>
      <c r="F784" t="s">
        <v>25</v>
      </c>
      <c r="G784">
        <v>6</v>
      </c>
      <c r="H784" t="s">
        <v>68</v>
      </c>
      <c r="I784">
        <v>12</v>
      </c>
      <c r="J784" s="10">
        <f t="shared" si="12"/>
        <v>6</v>
      </c>
    </row>
    <row r="785" spans="1:10" x14ac:dyDescent="0.2">
      <c r="A785" s="6">
        <v>42688</v>
      </c>
      <c r="B785">
        <v>2007</v>
      </c>
      <c r="C785">
        <v>1577</v>
      </c>
      <c r="D785">
        <v>784</v>
      </c>
      <c r="E785">
        <v>6500</v>
      </c>
      <c r="F785" t="s">
        <v>25</v>
      </c>
      <c r="G785">
        <v>3</v>
      </c>
      <c r="H785" t="s">
        <v>68</v>
      </c>
      <c r="I785">
        <v>12</v>
      </c>
      <c r="J785" s="10">
        <f t="shared" si="12"/>
        <v>3</v>
      </c>
    </row>
    <row r="786" spans="1:10" x14ac:dyDescent="0.2">
      <c r="A786" s="6">
        <v>42578</v>
      </c>
      <c r="B786">
        <v>2007</v>
      </c>
      <c r="C786">
        <v>1577</v>
      </c>
      <c r="D786">
        <v>785</v>
      </c>
      <c r="E786">
        <v>6400</v>
      </c>
      <c r="F786" t="s">
        <v>25</v>
      </c>
      <c r="G786">
        <v>4</v>
      </c>
      <c r="H786" t="s">
        <v>68</v>
      </c>
      <c r="I786">
        <v>12</v>
      </c>
      <c r="J786" s="10">
        <f t="shared" si="12"/>
        <v>4</v>
      </c>
    </row>
    <row r="787" spans="1:10" x14ac:dyDescent="0.2">
      <c r="A787" s="6">
        <v>42396</v>
      </c>
      <c r="B787">
        <v>2006</v>
      </c>
      <c r="C787">
        <v>1577</v>
      </c>
      <c r="D787">
        <v>786</v>
      </c>
      <c r="E787">
        <v>6400</v>
      </c>
      <c r="F787" t="s">
        <v>25</v>
      </c>
      <c r="G787">
        <v>7</v>
      </c>
      <c r="H787" t="s">
        <v>68</v>
      </c>
      <c r="I787">
        <v>13</v>
      </c>
      <c r="J787" s="10">
        <f t="shared" si="12"/>
        <v>7</v>
      </c>
    </row>
    <row r="788" spans="1:10" x14ac:dyDescent="0.2">
      <c r="A788" s="6">
        <v>43223</v>
      </c>
      <c r="B788">
        <v>2006</v>
      </c>
      <c r="C788">
        <v>1578</v>
      </c>
      <c r="D788">
        <v>787</v>
      </c>
      <c r="E788">
        <v>10350</v>
      </c>
      <c r="F788" t="s">
        <v>25</v>
      </c>
      <c r="G788">
        <v>6</v>
      </c>
      <c r="H788" t="s">
        <v>68</v>
      </c>
      <c r="I788">
        <v>13</v>
      </c>
      <c r="J788" s="10">
        <f t="shared" si="12"/>
        <v>6</v>
      </c>
    </row>
    <row r="789" spans="1:10" x14ac:dyDescent="0.2">
      <c r="A789" s="6">
        <v>42795</v>
      </c>
      <c r="B789">
        <v>2006</v>
      </c>
      <c r="C789">
        <v>1578</v>
      </c>
      <c r="D789">
        <v>788</v>
      </c>
      <c r="E789">
        <v>7700</v>
      </c>
      <c r="F789" t="s">
        <v>25</v>
      </c>
      <c r="G789">
        <v>7</v>
      </c>
      <c r="H789" t="s">
        <v>68</v>
      </c>
      <c r="I789">
        <v>13</v>
      </c>
      <c r="J789" s="10">
        <f t="shared" si="12"/>
        <v>7</v>
      </c>
    </row>
    <row r="790" spans="1:10" x14ac:dyDescent="0.2">
      <c r="A790" s="6">
        <v>42795</v>
      </c>
      <c r="B790">
        <v>2006</v>
      </c>
      <c r="C790">
        <v>1578</v>
      </c>
      <c r="D790">
        <v>789</v>
      </c>
      <c r="E790">
        <v>7700</v>
      </c>
      <c r="F790" t="s">
        <v>25</v>
      </c>
      <c r="G790">
        <v>7</v>
      </c>
      <c r="H790" t="s">
        <v>68</v>
      </c>
      <c r="I790">
        <v>13</v>
      </c>
      <c r="J790" s="10">
        <f t="shared" si="12"/>
        <v>7</v>
      </c>
    </row>
    <row r="791" spans="1:10" x14ac:dyDescent="0.2">
      <c r="A791" s="6">
        <v>42432</v>
      </c>
      <c r="B791">
        <v>2006</v>
      </c>
      <c r="C791">
        <v>1578</v>
      </c>
      <c r="D791">
        <v>790</v>
      </c>
      <c r="E791">
        <v>8400</v>
      </c>
      <c r="F791" t="s">
        <v>25</v>
      </c>
      <c r="G791">
        <v>14</v>
      </c>
      <c r="H791" t="s">
        <v>68</v>
      </c>
      <c r="I791">
        <v>13</v>
      </c>
      <c r="J791" s="10">
        <f t="shared" si="12"/>
        <v>14</v>
      </c>
    </row>
    <row r="792" spans="1:10" x14ac:dyDescent="0.2">
      <c r="A792" s="6">
        <v>43485</v>
      </c>
      <c r="B792">
        <v>2010</v>
      </c>
      <c r="C792">
        <v>1688</v>
      </c>
      <c r="D792">
        <v>791</v>
      </c>
      <c r="E792">
        <v>7500</v>
      </c>
      <c r="F792" t="s">
        <v>25</v>
      </c>
      <c r="G792">
        <v>6</v>
      </c>
      <c r="H792" t="s">
        <v>68</v>
      </c>
      <c r="I792">
        <v>9</v>
      </c>
      <c r="J792" s="10">
        <f t="shared" si="12"/>
        <v>6</v>
      </c>
    </row>
    <row r="793" spans="1:10" x14ac:dyDescent="0.2">
      <c r="A793" s="6">
        <v>43368</v>
      </c>
      <c r="B793">
        <v>2010</v>
      </c>
      <c r="C793">
        <v>1688</v>
      </c>
      <c r="D793">
        <v>792</v>
      </c>
      <c r="E793">
        <v>9500</v>
      </c>
      <c r="F793" t="s">
        <v>25</v>
      </c>
      <c r="G793">
        <v>7</v>
      </c>
      <c r="H793" t="s">
        <v>68</v>
      </c>
      <c r="I793">
        <v>9</v>
      </c>
      <c r="J793" s="10">
        <f t="shared" si="12"/>
        <v>7</v>
      </c>
    </row>
    <row r="794" spans="1:10" x14ac:dyDescent="0.2">
      <c r="A794" s="6">
        <v>43174</v>
      </c>
      <c r="B794">
        <v>2010</v>
      </c>
      <c r="C794">
        <v>1688</v>
      </c>
      <c r="D794">
        <v>793</v>
      </c>
      <c r="E794">
        <v>10650</v>
      </c>
      <c r="F794" t="s">
        <v>25</v>
      </c>
      <c r="G794">
        <v>6</v>
      </c>
      <c r="H794" t="s">
        <v>68</v>
      </c>
      <c r="I794">
        <v>9</v>
      </c>
      <c r="J794" s="10">
        <f t="shared" si="12"/>
        <v>6</v>
      </c>
    </row>
    <row r="795" spans="1:10" x14ac:dyDescent="0.2">
      <c r="A795" s="6">
        <v>42822</v>
      </c>
      <c r="B795">
        <v>2010</v>
      </c>
      <c r="C795">
        <v>1688</v>
      </c>
      <c r="D795">
        <v>794</v>
      </c>
      <c r="E795">
        <v>6850</v>
      </c>
      <c r="F795" t="s">
        <v>25</v>
      </c>
      <c r="G795">
        <v>14</v>
      </c>
      <c r="H795" t="s">
        <v>68</v>
      </c>
      <c r="I795">
        <v>9</v>
      </c>
      <c r="J795" s="10">
        <f t="shared" si="12"/>
        <v>14</v>
      </c>
    </row>
    <row r="796" spans="1:10" x14ac:dyDescent="0.2">
      <c r="A796" s="6">
        <v>42481</v>
      </c>
      <c r="B796">
        <v>2010</v>
      </c>
      <c r="C796">
        <v>1688</v>
      </c>
      <c r="D796">
        <v>795</v>
      </c>
      <c r="E796">
        <v>6900</v>
      </c>
      <c r="F796" t="s">
        <v>25</v>
      </c>
      <c r="G796">
        <v>7</v>
      </c>
      <c r="H796" t="s">
        <v>68</v>
      </c>
      <c r="I796">
        <v>9</v>
      </c>
      <c r="J796" s="10">
        <f t="shared" si="12"/>
        <v>7</v>
      </c>
    </row>
    <row r="797" spans="1:10" x14ac:dyDescent="0.2">
      <c r="A797" s="6">
        <v>43636</v>
      </c>
      <c r="B797">
        <v>2007</v>
      </c>
      <c r="C797">
        <v>1700</v>
      </c>
      <c r="D797">
        <v>796</v>
      </c>
      <c r="E797">
        <v>8500</v>
      </c>
      <c r="F797" t="s">
        <v>25</v>
      </c>
      <c r="G797">
        <v>9</v>
      </c>
      <c r="H797" t="s">
        <v>68</v>
      </c>
      <c r="I797">
        <v>12</v>
      </c>
      <c r="J797" s="10">
        <f t="shared" si="12"/>
        <v>9</v>
      </c>
    </row>
    <row r="798" spans="1:10" x14ac:dyDescent="0.2">
      <c r="A798" s="6">
        <v>43417</v>
      </c>
      <c r="B798">
        <v>2008</v>
      </c>
      <c r="C798">
        <v>1700</v>
      </c>
      <c r="D798">
        <v>797</v>
      </c>
      <c r="E798">
        <v>7950</v>
      </c>
      <c r="F798" t="s">
        <v>25</v>
      </c>
      <c r="G798">
        <v>35</v>
      </c>
      <c r="H798" t="s">
        <v>26</v>
      </c>
      <c r="I798">
        <v>11</v>
      </c>
      <c r="J798" s="10">
        <f t="shared" si="12"/>
        <v>1</v>
      </c>
    </row>
    <row r="799" spans="1:10" x14ac:dyDescent="0.2">
      <c r="A799" s="6">
        <v>43360</v>
      </c>
      <c r="B799">
        <v>2007</v>
      </c>
      <c r="C799">
        <v>1700</v>
      </c>
      <c r="D799">
        <v>798</v>
      </c>
      <c r="E799">
        <v>9975</v>
      </c>
      <c r="F799" t="s">
        <v>25</v>
      </c>
      <c r="G799">
        <v>13</v>
      </c>
      <c r="H799" t="s">
        <v>68</v>
      </c>
      <c r="I799">
        <v>12</v>
      </c>
      <c r="J799" s="10">
        <f t="shared" si="12"/>
        <v>13</v>
      </c>
    </row>
    <row r="800" spans="1:10" x14ac:dyDescent="0.2">
      <c r="A800" s="6">
        <v>43353</v>
      </c>
      <c r="B800">
        <v>2007</v>
      </c>
      <c r="C800">
        <v>1700</v>
      </c>
      <c r="D800">
        <v>799</v>
      </c>
      <c r="E800">
        <v>9800</v>
      </c>
      <c r="F800" t="s">
        <v>25</v>
      </c>
      <c r="G800">
        <v>12</v>
      </c>
      <c r="H800" t="s">
        <v>68</v>
      </c>
      <c r="I800">
        <v>12</v>
      </c>
      <c r="J800" s="10">
        <f t="shared" si="12"/>
        <v>12</v>
      </c>
    </row>
    <row r="801" spans="1:10" x14ac:dyDescent="0.2">
      <c r="A801" s="6">
        <v>43327</v>
      </c>
      <c r="B801">
        <v>2008</v>
      </c>
      <c r="C801">
        <v>1700</v>
      </c>
      <c r="D801">
        <v>800</v>
      </c>
      <c r="E801">
        <v>10900</v>
      </c>
      <c r="F801" t="s">
        <v>25</v>
      </c>
      <c r="G801">
        <v>2</v>
      </c>
      <c r="H801" t="s">
        <v>68</v>
      </c>
      <c r="I801">
        <v>11</v>
      </c>
      <c r="J801" s="10">
        <f t="shared" si="12"/>
        <v>2</v>
      </c>
    </row>
    <row r="802" spans="1:10" x14ac:dyDescent="0.2">
      <c r="A802" s="6">
        <v>43214</v>
      </c>
      <c r="B802">
        <v>2008</v>
      </c>
      <c r="C802">
        <v>1700</v>
      </c>
      <c r="D802">
        <v>801</v>
      </c>
      <c r="E802">
        <v>11100</v>
      </c>
      <c r="F802" t="s">
        <v>25</v>
      </c>
      <c r="G802">
        <v>4</v>
      </c>
      <c r="H802" t="s">
        <v>68</v>
      </c>
      <c r="I802">
        <v>11</v>
      </c>
      <c r="J802" s="10">
        <f t="shared" si="12"/>
        <v>4</v>
      </c>
    </row>
    <row r="803" spans="1:10" x14ac:dyDescent="0.2">
      <c r="A803" s="6">
        <v>43041</v>
      </c>
      <c r="B803">
        <v>2008</v>
      </c>
      <c r="C803">
        <v>1700</v>
      </c>
      <c r="D803">
        <v>802</v>
      </c>
      <c r="E803">
        <v>9000</v>
      </c>
      <c r="F803" t="s">
        <v>25</v>
      </c>
      <c r="G803">
        <v>8</v>
      </c>
      <c r="H803" t="s">
        <v>68</v>
      </c>
      <c r="I803">
        <v>11</v>
      </c>
      <c r="J803" s="10">
        <f t="shared" si="12"/>
        <v>8</v>
      </c>
    </row>
    <row r="804" spans="1:10" x14ac:dyDescent="0.2">
      <c r="A804" s="6">
        <v>42927</v>
      </c>
      <c r="B804">
        <v>2007</v>
      </c>
      <c r="C804">
        <v>1700</v>
      </c>
      <c r="D804">
        <v>803</v>
      </c>
      <c r="E804">
        <v>6900</v>
      </c>
      <c r="F804" t="s">
        <v>25</v>
      </c>
      <c r="G804">
        <v>13</v>
      </c>
      <c r="H804" t="s">
        <v>68</v>
      </c>
      <c r="I804">
        <v>12</v>
      </c>
      <c r="J804" s="10">
        <f t="shared" si="12"/>
        <v>13</v>
      </c>
    </row>
    <row r="805" spans="1:10" x14ac:dyDescent="0.2">
      <c r="A805" s="6">
        <v>42853</v>
      </c>
      <c r="B805">
        <v>2008</v>
      </c>
      <c r="C805">
        <v>1700</v>
      </c>
      <c r="D805">
        <v>804</v>
      </c>
      <c r="E805">
        <v>7450</v>
      </c>
      <c r="F805" t="s">
        <v>25</v>
      </c>
      <c r="G805">
        <v>5</v>
      </c>
      <c r="H805" t="s">
        <v>68</v>
      </c>
      <c r="I805">
        <v>11</v>
      </c>
      <c r="J805" s="10">
        <f t="shared" si="12"/>
        <v>5</v>
      </c>
    </row>
    <row r="806" spans="1:10" x14ac:dyDescent="0.2">
      <c r="A806" s="6">
        <v>42767</v>
      </c>
      <c r="B806">
        <v>2007</v>
      </c>
      <c r="C806">
        <v>1700</v>
      </c>
      <c r="D806">
        <v>805</v>
      </c>
      <c r="E806">
        <v>6500</v>
      </c>
      <c r="F806" t="s">
        <v>25</v>
      </c>
      <c r="G806">
        <v>6</v>
      </c>
      <c r="H806" t="s">
        <v>68</v>
      </c>
      <c r="I806">
        <v>12</v>
      </c>
      <c r="J806" s="10">
        <f t="shared" si="12"/>
        <v>6</v>
      </c>
    </row>
    <row r="807" spans="1:10" x14ac:dyDescent="0.2">
      <c r="A807" s="6">
        <v>42592</v>
      </c>
      <c r="B807">
        <v>2007</v>
      </c>
      <c r="C807">
        <v>1700</v>
      </c>
      <c r="D807">
        <v>806</v>
      </c>
      <c r="E807">
        <v>6000</v>
      </c>
      <c r="F807" t="s">
        <v>25</v>
      </c>
      <c r="G807">
        <v>7</v>
      </c>
      <c r="H807" t="s">
        <v>68</v>
      </c>
      <c r="I807">
        <v>12</v>
      </c>
      <c r="J807" s="10">
        <f t="shared" si="12"/>
        <v>7</v>
      </c>
    </row>
    <row r="808" spans="1:10" x14ac:dyDescent="0.2">
      <c r="A808" s="6">
        <v>43558</v>
      </c>
      <c r="B808">
        <v>2008</v>
      </c>
      <c r="C808">
        <v>1702</v>
      </c>
      <c r="D808">
        <v>807</v>
      </c>
      <c r="E808">
        <v>8500</v>
      </c>
      <c r="F808" t="s">
        <v>25</v>
      </c>
      <c r="G808">
        <v>12</v>
      </c>
      <c r="H808" t="s">
        <v>68</v>
      </c>
      <c r="I808">
        <v>11</v>
      </c>
      <c r="J808" s="10">
        <f t="shared" si="12"/>
        <v>12</v>
      </c>
    </row>
    <row r="809" spans="1:10" x14ac:dyDescent="0.2">
      <c r="A809" s="6">
        <v>43553</v>
      </c>
      <c r="B809">
        <v>2008</v>
      </c>
      <c r="C809">
        <v>1702</v>
      </c>
      <c r="D809">
        <v>808</v>
      </c>
      <c r="E809">
        <v>8600</v>
      </c>
      <c r="F809" t="s">
        <v>25</v>
      </c>
      <c r="G809">
        <v>6</v>
      </c>
      <c r="H809" t="s">
        <v>68</v>
      </c>
      <c r="I809">
        <v>11</v>
      </c>
      <c r="J809" s="10">
        <f t="shared" si="12"/>
        <v>6</v>
      </c>
    </row>
    <row r="810" spans="1:10" x14ac:dyDescent="0.2">
      <c r="A810" s="6">
        <v>43542</v>
      </c>
      <c r="B810">
        <v>2010</v>
      </c>
      <c r="C810">
        <v>1702</v>
      </c>
      <c r="D810">
        <v>809</v>
      </c>
      <c r="E810">
        <v>8100</v>
      </c>
      <c r="F810" t="s">
        <v>25</v>
      </c>
      <c r="G810">
        <v>7</v>
      </c>
      <c r="H810" t="s">
        <v>68</v>
      </c>
      <c r="I810">
        <v>9</v>
      </c>
      <c r="J810" s="10">
        <f t="shared" si="12"/>
        <v>7</v>
      </c>
    </row>
    <row r="811" spans="1:10" x14ac:dyDescent="0.2">
      <c r="A811" s="6">
        <v>43430</v>
      </c>
      <c r="B811">
        <v>2008</v>
      </c>
      <c r="C811">
        <v>1702</v>
      </c>
      <c r="D811">
        <v>810</v>
      </c>
      <c r="E811">
        <v>7950</v>
      </c>
      <c r="F811" t="s">
        <v>25</v>
      </c>
      <c r="G811">
        <v>5</v>
      </c>
      <c r="H811" t="s">
        <v>68</v>
      </c>
      <c r="I811">
        <v>11</v>
      </c>
      <c r="J811" s="10">
        <f t="shared" si="12"/>
        <v>5</v>
      </c>
    </row>
    <row r="812" spans="1:10" x14ac:dyDescent="0.2">
      <c r="A812" s="6">
        <v>43350</v>
      </c>
      <c r="B812">
        <v>2010</v>
      </c>
      <c r="C812">
        <v>1702</v>
      </c>
      <c r="D812">
        <v>811</v>
      </c>
      <c r="E812">
        <v>10000</v>
      </c>
      <c r="F812" t="s">
        <v>25</v>
      </c>
      <c r="G812">
        <v>6</v>
      </c>
      <c r="H812" t="s">
        <v>68</v>
      </c>
      <c r="I812">
        <v>9</v>
      </c>
      <c r="J812" s="10">
        <f t="shared" si="12"/>
        <v>6</v>
      </c>
    </row>
    <row r="813" spans="1:10" x14ac:dyDescent="0.2">
      <c r="A813" s="6">
        <v>43332</v>
      </c>
      <c r="B813">
        <v>2008</v>
      </c>
      <c r="C813">
        <v>1702</v>
      </c>
      <c r="D813">
        <v>812</v>
      </c>
      <c r="E813">
        <v>9950</v>
      </c>
      <c r="F813" t="s">
        <v>25</v>
      </c>
      <c r="G813">
        <v>7</v>
      </c>
      <c r="H813" t="s">
        <v>68</v>
      </c>
      <c r="I813">
        <v>11</v>
      </c>
      <c r="J813" s="10">
        <f t="shared" si="12"/>
        <v>7</v>
      </c>
    </row>
    <row r="814" spans="1:10" x14ac:dyDescent="0.2">
      <c r="A814" s="6">
        <v>43251</v>
      </c>
      <c r="B814">
        <v>2008</v>
      </c>
      <c r="C814">
        <v>1702</v>
      </c>
      <c r="D814">
        <v>813</v>
      </c>
      <c r="E814">
        <v>11450</v>
      </c>
      <c r="F814" t="s">
        <v>25</v>
      </c>
      <c r="G814">
        <v>12</v>
      </c>
      <c r="H814" t="s">
        <v>68</v>
      </c>
      <c r="I814">
        <v>11</v>
      </c>
      <c r="J814" s="10">
        <f t="shared" si="12"/>
        <v>12</v>
      </c>
    </row>
    <row r="815" spans="1:10" x14ac:dyDescent="0.2">
      <c r="A815" s="6">
        <v>43236</v>
      </c>
      <c r="B815">
        <v>2010</v>
      </c>
      <c r="C815">
        <v>1702</v>
      </c>
      <c r="D815">
        <v>814</v>
      </c>
      <c r="E815">
        <v>11500</v>
      </c>
      <c r="F815" t="s">
        <v>25</v>
      </c>
      <c r="G815">
        <v>5</v>
      </c>
      <c r="H815" t="s">
        <v>68</v>
      </c>
      <c r="I815">
        <v>9</v>
      </c>
      <c r="J815" s="10">
        <f t="shared" si="12"/>
        <v>5</v>
      </c>
    </row>
    <row r="816" spans="1:10" x14ac:dyDescent="0.2">
      <c r="A816" s="6">
        <v>43224</v>
      </c>
      <c r="B816">
        <v>2008</v>
      </c>
      <c r="C816">
        <v>1702</v>
      </c>
      <c r="D816">
        <v>815</v>
      </c>
      <c r="E816">
        <v>11250</v>
      </c>
      <c r="F816" t="s">
        <v>25</v>
      </c>
      <c r="G816">
        <v>6</v>
      </c>
      <c r="H816" t="s">
        <v>68</v>
      </c>
      <c r="I816">
        <v>11</v>
      </c>
      <c r="J816" s="10">
        <f t="shared" si="12"/>
        <v>6</v>
      </c>
    </row>
    <row r="817" spans="1:10" x14ac:dyDescent="0.2">
      <c r="A817" s="6">
        <v>43161</v>
      </c>
      <c r="B817">
        <v>2008</v>
      </c>
      <c r="C817">
        <v>1702</v>
      </c>
      <c r="D817">
        <v>816</v>
      </c>
      <c r="E817">
        <v>9750</v>
      </c>
      <c r="F817" t="s">
        <v>25</v>
      </c>
      <c r="G817">
        <v>40</v>
      </c>
      <c r="H817" t="s">
        <v>26</v>
      </c>
      <c r="I817">
        <v>11</v>
      </c>
      <c r="J817" s="10">
        <f t="shared" si="12"/>
        <v>1</v>
      </c>
    </row>
    <row r="818" spans="1:10" x14ac:dyDescent="0.2">
      <c r="A818" s="6">
        <v>43063</v>
      </c>
      <c r="B818">
        <v>2010</v>
      </c>
      <c r="C818">
        <v>1702</v>
      </c>
      <c r="D818">
        <v>817</v>
      </c>
      <c r="E818">
        <v>8350</v>
      </c>
      <c r="F818" t="s">
        <v>25</v>
      </c>
      <c r="G818">
        <v>3</v>
      </c>
      <c r="H818" t="s">
        <v>68</v>
      </c>
      <c r="I818">
        <v>9</v>
      </c>
      <c r="J818" s="10">
        <f t="shared" si="12"/>
        <v>3</v>
      </c>
    </row>
    <row r="819" spans="1:10" x14ac:dyDescent="0.2">
      <c r="A819" s="6">
        <v>43040</v>
      </c>
      <c r="B819">
        <v>2008</v>
      </c>
      <c r="C819">
        <v>1702</v>
      </c>
      <c r="D819">
        <v>818</v>
      </c>
      <c r="E819">
        <v>8000</v>
      </c>
      <c r="F819" t="s">
        <v>25</v>
      </c>
      <c r="G819">
        <v>6</v>
      </c>
      <c r="H819" t="s">
        <v>68</v>
      </c>
      <c r="I819">
        <v>11</v>
      </c>
      <c r="J819" s="10">
        <f t="shared" si="12"/>
        <v>6</v>
      </c>
    </row>
    <row r="820" spans="1:10" x14ac:dyDescent="0.2">
      <c r="A820" s="6">
        <v>42984</v>
      </c>
      <c r="B820">
        <v>2010</v>
      </c>
      <c r="C820">
        <v>1702</v>
      </c>
      <c r="D820">
        <v>819</v>
      </c>
      <c r="E820">
        <v>8000</v>
      </c>
      <c r="F820" t="s">
        <v>25</v>
      </c>
      <c r="G820">
        <v>3</v>
      </c>
      <c r="H820" t="s">
        <v>68</v>
      </c>
      <c r="I820">
        <v>9</v>
      </c>
      <c r="J820" s="10">
        <f t="shared" si="12"/>
        <v>3</v>
      </c>
    </row>
    <row r="821" spans="1:10" x14ac:dyDescent="0.2">
      <c r="A821" s="6">
        <v>42977</v>
      </c>
      <c r="B821">
        <v>2008</v>
      </c>
      <c r="C821">
        <v>1702</v>
      </c>
      <c r="D821">
        <v>820</v>
      </c>
      <c r="E821">
        <v>7900</v>
      </c>
      <c r="F821" t="s">
        <v>25</v>
      </c>
      <c r="G821">
        <v>6</v>
      </c>
      <c r="H821" t="s">
        <v>68</v>
      </c>
      <c r="I821">
        <v>11</v>
      </c>
      <c r="J821" s="10">
        <f t="shared" si="12"/>
        <v>6</v>
      </c>
    </row>
    <row r="822" spans="1:10" x14ac:dyDescent="0.2">
      <c r="A822" s="6">
        <v>42873</v>
      </c>
      <c r="B822">
        <v>2010</v>
      </c>
      <c r="C822">
        <v>1702</v>
      </c>
      <c r="D822">
        <v>821</v>
      </c>
      <c r="E822">
        <v>7450</v>
      </c>
      <c r="F822" t="s">
        <v>25</v>
      </c>
      <c r="G822">
        <v>5</v>
      </c>
      <c r="H822" t="s">
        <v>68</v>
      </c>
      <c r="I822">
        <v>9</v>
      </c>
      <c r="J822" s="10">
        <f t="shared" si="12"/>
        <v>5</v>
      </c>
    </row>
    <row r="823" spans="1:10" x14ac:dyDescent="0.2">
      <c r="A823" s="6">
        <v>42872</v>
      </c>
      <c r="B823">
        <v>2008</v>
      </c>
      <c r="C823">
        <v>1702</v>
      </c>
      <c r="D823">
        <v>822</v>
      </c>
      <c r="E823">
        <v>7900</v>
      </c>
      <c r="F823" t="s">
        <v>25</v>
      </c>
      <c r="G823">
        <v>6</v>
      </c>
      <c r="H823" t="s">
        <v>68</v>
      </c>
      <c r="I823">
        <v>11</v>
      </c>
      <c r="J823" s="10">
        <f t="shared" si="12"/>
        <v>6</v>
      </c>
    </row>
    <row r="824" spans="1:10" x14ac:dyDescent="0.2">
      <c r="A824" s="6">
        <v>42800</v>
      </c>
      <c r="B824">
        <v>2008</v>
      </c>
      <c r="C824">
        <v>1702</v>
      </c>
      <c r="D824">
        <v>823</v>
      </c>
      <c r="E824">
        <v>6800</v>
      </c>
      <c r="F824" t="s">
        <v>25</v>
      </c>
      <c r="G824">
        <v>2</v>
      </c>
      <c r="H824" t="s">
        <v>68</v>
      </c>
      <c r="I824">
        <v>11</v>
      </c>
      <c r="J824" s="10">
        <f t="shared" si="12"/>
        <v>2</v>
      </c>
    </row>
    <row r="825" spans="1:10" x14ac:dyDescent="0.2">
      <c r="A825" s="6">
        <v>42758</v>
      </c>
      <c r="B825">
        <v>2010</v>
      </c>
      <c r="C825">
        <v>1702</v>
      </c>
      <c r="D825">
        <v>824</v>
      </c>
      <c r="E825">
        <v>6500</v>
      </c>
      <c r="F825" t="s">
        <v>25</v>
      </c>
      <c r="G825">
        <v>5</v>
      </c>
      <c r="H825" t="s">
        <v>68</v>
      </c>
      <c r="I825">
        <v>9</v>
      </c>
      <c r="J825" s="10">
        <f t="shared" si="12"/>
        <v>5</v>
      </c>
    </row>
    <row r="826" spans="1:10" x14ac:dyDescent="0.2">
      <c r="A826" s="6">
        <v>42699</v>
      </c>
      <c r="B826">
        <v>2008</v>
      </c>
      <c r="C826">
        <v>1702</v>
      </c>
      <c r="D826">
        <v>825</v>
      </c>
      <c r="E826">
        <v>6750</v>
      </c>
      <c r="F826" t="s">
        <v>25</v>
      </c>
      <c r="G826">
        <v>10</v>
      </c>
      <c r="H826" t="s">
        <v>68</v>
      </c>
      <c r="I826">
        <v>11</v>
      </c>
      <c r="J826" s="10">
        <f t="shared" si="12"/>
        <v>10</v>
      </c>
    </row>
    <row r="827" spans="1:10" x14ac:dyDescent="0.2">
      <c r="A827" s="6">
        <v>42643</v>
      </c>
      <c r="B827">
        <v>2010</v>
      </c>
      <c r="C827">
        <v>1702</v>
      </c>
      <c r="D827">
        <v>826</v>
      </c>
      <c r="E827">
        <v>6750</v>
      </c>
      <c r="F827" t="s">
        <v>25</v>
      </c>
      <c r="G827">
        <v>6</v>
      </c>
      <c r="H827" t="s">
        <v>68</v>
      </c>
      <c r="I827">
        <v>9</v>
      </c>
      <c r="J827" s="10">
        <f t="shared" si="12"/>
        <v>6</v>
      </c>
    </row>
    <row r="828" spans="1:10" x14ac:dyDescent="0.2">
      <c r="A828" s="6">
        <v>42614</v>
      </c>
      <c r="B828">
        <v>2008</v>
      </c>
      <c r="C828">
        <v>1702</v>
      </c>
      <c r="D828">
        <v>827</v>
      </c>
      <c r="E828">
        <v>7000</v>
      </c>
      <c r="F828" t="s">
        <v>25</v>
      </c>
      <c r="G828">
        <v>7</v>
      </c>
      <c r="H828" t="s">
        <v>68</v>
      </c>
      <c r="I828">
        <v>11</v>
      </c>
      <c r="J828" s="10">
        <f t="shared" si="12"/>
        <v>7</v>
      </c>
    </row>
    <row r="829" spans="1:10" x14ac:dyDescent="0.2">
      <c r="A829" s="6">
        <v>42583</v>
      </c>
      <c r="B829">
        <v>2008</v>
      </c>
      <c r="C829">
        <v>1702</v>
      </c>
      <c r="D829">
        <v>828</v>
      </c>
      <c r="E829">
        <v>7100</v>
      </c>
      <c r="F829" t="s">
        <v>25</v>
      </c>
      <c r="G829">
        <v>9</v>
      </c>
      <c r="H829" t="s">
        <v>68</v>
      </c>
      <c r="I829">
        <v>11</v>
      </c>
      <c r="J829" s="10">
        <f t="shared" si="12"/>
        <v>9</v>
      </c>
    </row>
    <row r="830" spans="1:10" x14ac:dyDescent="0.2">
      <c r="A830" s="6">
        <v>42486</v>
      </c>
      <c r="B830">
        <v>2008</v>
      </c>
      <c r="C830">
        <v>1702</v>
      </c>
      <c r="D830">
        <v>829</v>
      </c>
      <c r="E830">
        <v>8000</v>
      </c>
      <c r="F830" t="s">
        <v>25</v>
      </c>
      <c r="G830">
        <v>6</v>
      </c>
      <c r="H830" t="s">
        <v>68</v>
      </c>
      <c r="I830">
        <v>11</v>
      </c>
      <c r="J830" s="10">
        <f t="shared" si="12"/>
        <v>6</v>
      </c>
    </row>
    <row r="831" spans="1:10" x14ac:dyDescent="0.2">
      <c r="A831" s="6">
        <v>42481</v>
      </c>
      <c r="B831">
        <v>2010</v>
      </c>
      <c r="C831">
        <v>1702</v>
      </c>
      <c r="D831">
        <v>830</v>
      </c>
      <c r="E831">
        <v>7150</v>
      </c>
      <c r="F831" t="s">
        <v>25</v>
      </c>
      <c r="G831">
        <v>7</v>
      </c>
      <c r="H831" t="s">
        <v>68</v>
      </c>
      <c r="I831">
        <v>9</v>
      </c>
      <c r="J831" s="10">
        <f t="shared" si="12"/>
        <v>7</v>
      </c>
    </row>
    <row r="832" spans="1:10" x14ac:dyDescent="0.2">
      <c r="A832" s="6">
        <v>42438</v>
      </c>
      <c r="B832">
        <v>2008</v>
      </c>
      <c r="C832">
        <v>1702</v>
      </c>
      <c r="D832">
        <v>831</v>
      </c>
      <c r="E832">
        <v>7300</v>
      </c>
      <c r="F832" t="s">
        <v>25</v>
      </c>
      <c r="G832">
        <v>6</v>
      </c>
      <c r="H832" t="s">
        <v>68</v>
      </c>
      <c r="I832">
        <v>11</v>
      </c>
      <c r="J832" s="10">
        <f t="shared" si="12"/>
        <v>6</v>
      </c>
    </row>
    <row r="833" spans="1:10" x14ac:dyDescent="0.2">
      <c r="A833" s="6">
        <v>42425</v>
      </c>
      <c r="B833">
        <v>2008</v>
      </c>
      <c r="C833">
        <v>1702</v>
      </c>
      <c r="D833">
        <v>832</v>
      </c>
      <c r="E833">
        <v>7200</v>
      </c>
      <c r="F833" t="s">
        <v>25</v>
      </c>
      <c r="G833">
        <v>9</v>
      </c>
      <c r="H833" t="s">
        <v>68</v>
      </c>
      <c r="I833">
        <v>11</v>
      </c>
      <c r="J833" s="10">
        <f t="shared" si="12"/>
        <v>9</v>
      </c>
    </row>
    <row r="834" spans="1:10" x14ac:dyDescent="0.2">
      <c r="A834" s="6">
        <v>43607</v>
      </c>
      <c r="B834">
        <v>2007</v>
      </c>
      <c r="C834">
        <v>1706</v>
      </c>
      <c r="D834">
        <v>833</v>
      </c>
      <c r="E834">
        <v>9400</v>
      </c>
      <c r="F834" t="s">
        <v>25</v>
      </c>
      <c r="G834">
        <v>12</v>
      </c>
      <c r="H834" t="s">
        <v>68</v>
      </c>
      <c r="I834">
        <v>12</v>
      </c>
      <c r="J834" s="10">
        <f t="shared" ref="J834:J897" si="13">IF(H834="days",ROUND(G834/30,0),IF(H834="years",G834*12,G834))</f>
        <v>12</v>
      </c>
    </row>
    <row r="835" spans="1:10" x14ac:dyDescent="0.2">
      <c r="A835" s="6">
        <v>43497</v>
      </c>
      <c r="B835">
        <v>2007</v>
      </c>
      <c r="C835">
        <v>1706</v>
      </c>
      <c r="D835">
        <v>834</v>
      </c>
      <c r="E835">
        <v>7000</v>
      </c>
      <c r="F835" t="s">
        <v>25</v>
      </c>
      <c r="G835">
        <v>6</v>
      </c>
      <c r="H835" t="s">
        <v>68</v>
      </c>
      <c r="I835">
        <v>12</v>
      </c>
      <c r="J835" s="10">
        <f t="shared" si="13"/>
        <v>6</v>
      </c>
    </row>
    <row r="836" spans="1:10" x14ac:dyDescent="0.2">
      <c r="A836" s="6">
        <v>43488</v>
      </c>
      <c r="B836">
        <v>2007</v>
      </c>
      <c r="C836">
        <v>1706</v>
      </c>
      <c r="D836">
        <v>835</v>
      </c>
      <c r="E836">
        <v>8300</v>
      </c>
      <c r="F836" t="s">
        <v>25</v>
      </c>
      <c r="G836">
        <v>3</v>
      </c>
      <c r="H836" t="s">
        <v>68</v>
      </c>
      <c r="I836">
        <v>12</v>
      </c>
      <c r="J836" s="10">
        <f t="shared" si="13"/>
        <v>3</v>
      </c>
    </row>
    <row r="837" spans="1:10" x14ac:dyDescent="0.2">
      <c r="A837" s="6">
        <v>43486</v>
      </c>
      <c r="B837">
        <v>2008</v>
      </c>
      <c r="C837">
        <v>1706</v>
      </c>
      <c r="D837">
        <v>836</v>
      </c>
      <c r="E837">
        <v>7500</v>
      </c>
      <c r="F837" t="s">
        <v>25</v>
      </c>
      <c r="G837">
        <v>6</v>
      </c>
      <c r="H837" t="s">
        <v>68</v>
      </c>
      <c r="I837">
        <v>11</v>
      </c>
      <c r="J837" s="10">
        <f t="shared" si="13"/>
        <v>6</v>
      </c>
    </row>
    <row r="838" spans="1:10" x14ac:dyDescent="0.2">
      <c r="A838" s="6">
        <v>43414</v>
      </c>
      <c r="B838">
        <v>2006</v>
      </c>
      <c r="C838">
        <v>1706</v>
      </c>
      <c r="D838">
        <v>837</v>
      </c>
      <c r="E838">
        <v>7100</v>
      </c>
      <c r="F838" t="s">
        <v>25</v>
      </c>
      <c r="G838">
        <v>12</v>
      </c>
      <c r="H838" t="s">
        <v>68</v>
      </c>
      <c r="I838">
        <v>13</v>
      </c>
      <c r="J838" s="10">
        <f t="shared" si="13"/>
        <v>12</v>
      </c>
    </row>
    <row r="839" spans="1:10" x14ac:dyDescent="0.2">
      <c r="A839" s="6">
        <v>43395</v>
      </c>
      <c r="B839">
        <v>2007</v>
      </c>
      <c r="C839">
        <v>1706</v>
      </c>
      <c r="D839">
        <v>838</v>
      </c>
      <c r="E839">
        <v>8700</v>
      </c>
      <c r="F839" t="s">
        <v>25</v>
      </c>
      <c r="G839">
        <v>5</v>
      </c>
      <c r="H839" t="s">
        <v>68</v>
      </c>
      <c r="I839">
        <v>12</v>
      </c>
      <c r="J839" s="10">
        <f t="shared" si="13"/>
        <v>5</v>
      </c>
    </row>
    <row r="840" spans="1:10" x14ac:dyDescent="0.2">
      <c r="A840" s="6">
        <v>43395</v>
      </c>
      <c r="B840">
        <v>2008</v>
      </c>
      <c r="C840">
        <v>1706</v>
      </c>
      <c r="D840">
        <v>839</v>
      </c>
      <c r="E840">
        <v>8000</v>
      </c>
      <c r="F840" t="s">
        <v>25</v>
      </c>
      <c r="G840">
        <v>6</v>
      </c>
      <c r="H840" t="s">
        <v>68</v>
      </c>
      <c r="I840">
        <v>11</v>
      </c>
      <c r="J840" s="10">
        <f t="shared" si="13"/>
        <v>6</v>
      </c>
    </row>
    <row r="841" spans="1:10" x14ac:dyDescent="0.2">
      <c r="A841" s="6">
        <v>43388</v>
      </c>
      <c r="B841">
        <v>2007</v>
      </c>
      <c r="C841">
        <v>1706</v>
      </c>
      <c r="D841">
        <v>840</v>
      </c>
      <c r="E841">
        <v>8000</v>
      </c>
      <c r="F841" t="s">
        <v>25</v>
      </c>
      <c r="G841">
        <v>5</v>
      </c>
      <c r="H841" t="s">
        <v>68</v>
      </c>
      <c r="I841">
        <v>12</v>
      </c>
      <c r="J841" s="10">
        <f t="shared" si="13"/>
        <v>5</v>
      </c>
    </row>
    <row r="842" spans="1:10" x14ac:dyDescent="0.2">
      <c r="A842" s="6">
        <v>43346</v>
      </c>
      <c r="B842">
        <v>2008</v>
      </c>
      <c r="C842">
        <v>1706</v>
      </c>
      <c r="D842">
        <v>841</v>
      </c>
      <c r="E842">
        <v>9950</v>
      </c>
      <c r="F842" t="s">
        <v>25</v>
      </c>
      <c r="G842">
        <v>5</v>
      </c>
      <c r="H842" t="s">
        <v>68</v>
      </c>
      <c r="I842">
        <v>11</v>
      </c>
      <c r="J842" s="10">
        <f t="shared" si="13"/>
        <v>5</v>
      </c>
    </row>
    <row r="843" spans="1:10" x14ac:dyDescent="0.2">
      <c r="A843" s="6">
        <v>43283</v>
      </c>
      <c r="B843">
        <v>2007</v>
      </c>
      <c r="C843">
        <v>1706</v>
      </c>
      <c r="D843">
        <v>842</v>
      </c>
      <c r="E843">
        <v>11100</v>
      </c>
      <c r="F843" t="s">
        <v>25</v>
      </c>
      <c r="G843">
        <v>2</v>
      </c>
      <c r="H843" t="s">
        <v>68</v>
      </c>
      <c r="I843">
        <v>12</v>
      </c>
      <c r="J843" s="10">
        <f t="shared" si="13"/>
        <v>2</v>
      </c>
    </row>
    <row r="844" spans="1:10" x14ac:dyDescent="0.2">
      <c r="A844" s="6">
        <v>43206</v>
      </c>
      <c r="B844">
        <v>2008</v>
      </c>
      <c r="C844">
        <v>1706</v>
      </c>
      <c r="D844">
        <v>843</v>
      </c>
      <c r="E844">
        <v>10800</v>
      </c>
      <c r="F844" t="s">
        <v>25</v>
      </c>
      <c r="G844">
        <v>13</v>
      </c>
      <c r="H844" t="s">
        <v>68</v>
      </c>
      <c r="I844">
        <v>11</v>
      </c>
      <c r="J844" s="10">
        <f t="shared" si="13"/>
        <v>13</v>
      </c>
    </row>
    <row r="845" spans="1:10" x14ac:dyDescent="0.2">
      <c r="A845" s="6">
        <v>43136</v>
      </c>
      <c r="B845">
        <v>2008</v>
      </c>
      <c r="C845">
        <v>1706</v>
      </c>
      <c r="D845">
        <v>844</v>
      </c>
      <c r="E845">
        <v>7600</v>
      </c>
      <c r="F845" t="s">
        <v>25</v>
      </c>
      <c r="G845">
        <v>7</v>
      </c>
      <c r="H845" t="s">
        <v>68</v>
      </c>
      <c r="I845">
        <v>11</v>
      </c>
      <c r="J845" s="10">
        <f t="shared" si="13"/>
        <v>7</v>
      </c>
    </row>
    <row r="846" spans="1:10" x14ac:dyDescent="0.2">
      <c r="A846" s="6">
        <v>43084</v>
      </c>
      <c r="B846">
        <v>2007</v>
      </c>
      <c r="C846">
        <v>1706</v>
      </c>
      <c r="D846">
        <v>845</v>
      </c>
      <c r="E846">
        <v>8500</v>
      </c>
      <c r="F846" t="s">
        <v>25</v>
      </c>
      <c r="G846">
        <v>9</v>
      </c>
      <c r="H846" t="s">
        <v>68</v>
      </c>
      <c r="I846">
        <v>12</v>
      </c>
      <c r="J846" s="10">
        <f t="shared" si="13"/>
        <v>9</v>
      </c>
    </row>
    <row r="847" spans="1:10" x14ac:dyDescent="0.2">
      <c r="A847" s="6">
        <v>43028</v>
      </c>
      <c r="B847">
        <v>2006</v>
      </c>
      <c r="C847">
        <v>1706</v>
      </c>
      <c r="D847">
        <v>846</v>
      </c>
      <c r="E847">
        <v>7900</v>
      </c>
      <c r="F847" t="s">
        <v>25</v>
      </c>
      <c r="G847">
        <v>6</v>
      </c>
      <c r="H847" t="s">
        <v>68</v>
      </c>
      <c r="I847">
        <v>13</v>
      </c>
      <c r="J847" s="10">
        <f t="shared" si="13"/>
        <v>6</v>
      </c>
    </row>
    <row r="848" spans="1:10" x14ac:dyDescent="0.2">
      <c r="A848" s="6">
        <v>43020</v>
      </c>
      <c r="B848">
        <v>2008</v>
      </c>
      <c r="C848">
        <v>1706</v>
      </c>
      <c r="D848">
        <v>847</v>
      </c>
      <c r="E848">
        <v>7500</v>
      </c>
      <c r="F848" t="s">
        <v>25</v>
      </c>
      <c r="G848">
        <v>6</v>
      </c>
      <c r="H848" t="s">
        <v>68</v>
      </c>
      <c r="I848">
        <v>11</v>
      </c>
      <c r="J848" s="10">
        <f t="shared" si="13"/>
        <v>6</v>
      </c>
    </row>
    <row r="849" spans="1:10" x14ac:dyDescent="0.2">
      <c r="A849" s="6">
        <v>42948</v>
      </c>
      <c r="B849">
        <v>2008</v>
      </c>
      <c r="C849">
        <v>1706</v>
      </c>
      <c r="D849">
        <v>848</v>
      </c>
      <c r="E849">
        <v>7700</v>
      </c>
      <c r="F849" t="s">
        <v>25</v>
      </c>
      <c r="G849">
        <v>5</v>
      </c>
      <c r="H849" t="s">
        <v>68</v>
      </c>
      <c r="I849">
        <v>11</v>
      </c>
      <c r="J849" s="10">
        <f t="shared" si="13"/>
        <v>5</v>
      </c>
    </row>
    <row r="850" spans="1:10" x14ac:dyDescent="0.2">
      <c r="A850" s="6">
        <v>42948</v>
      </c>
      <c r="B850">
        <v>2007</v>
      </c>
      <c r="C850">
        <v>1706</v>
      </c>
      <c r="D850">
        <v>849</v>
      </c>
      <c r="E850">
        <v>7000</v>
      </c>
      <c r="F850" t="s">
        <v>25</v>
      </c>
      <c r="G850">
        <v>3</v>
      </c>
      <c r="H850" t="s">
        <v>68</v>
      </c>
      <c r="I850">
        <v>12</v>
      </c>
      <c r="J850" s="10">
        <f t="shared" si="13"/>
        <v>3</v>
      </c>
    </row>
    <row r="851" spans="1:10" x14ac:dyDescent="0.2">
      <c r="A851" s="6">
        <v>42926</v>
      </c>
      <c r="B851">
        <v>2007</v>
      </c>
      <c r="C851">
        <v>1706</v>
      </c>
      <c r="D851">
        <v>850</v>
      </c>
      <c r="E851">
        <v>8000</v>
      </c>
      <c r="F851" t="s">
        <v>25</v>
      </c>
      <c r="G851">
        <v>4</v>
      </c>
      <c r="H851" t="s">
        <v>68</v>
      </c>
      <c r="I851">
        <v>12</v>
      </c>
      <c r="J851" s="10">
        <f t="shared" si="13"/>
        <v>4</v>
      </c>
    </row>
    <row r="852" spans="1:10" x14ac:dyDescent="0.2">
      <c r="A852" s="6">
        <v>42860</v>
      </c>
      <c r="B852">
        <v>2006</v>
      </c>
      <c r="C852">
        <v>1706</v>
      </c>
      <c r="D852">
        <v>851</v>
      </c>
      <c r="E852">
        <v>7950</v>
      </c>
      <c r="F852" t="s">
        <v>25</v>
      </c>
      <c r="G852">
        <v>6</v>
      </c>
      <c r="H852" t="s">
        <v>68</v>
      </c>
      <c r="I852">
        <v>13</v>
      </c>
      <c r="J852" s="10">
        <f t="shared" si="13"/>
        <v>6</v>
      </c>
    </row>
    <row r="853" spans="1:10" x14ac:dyDescent="0.2">
      <c r="A853" s="6">
        <v>42824</v>
      </c>
      <c r="B853">
        <v>2008</v>
      </c>
      <c r="C853">
        <v>1706</v>
      </c>
      <c r="D853">
        <v>852</v>
      </c>
      <c r="E853">
        <v>7100</v>
      </c>
      <c r="F853" t="s">
        <v>25</v>
      </c>
      <c r="G853">
        <v>7</v>
      </c>
      <c r="H853" t="s">
        <v>68</v>
      </c>
      <c r="I853">
        <v>11</v>
      </c>
      <c r="J853" s="10">
        <f t="shared" si="13"/>
        <v>7</v>
      </c>
    </row>
    <row r="854" spans="1:10" x14ac:dyDescent="0.2">
      <c r="A854" s="6">
        <v>42793</v>
      </c>
      <c r="B854">
        <v>2008</v>
      </c>
      <c r="C854">
        <v>1706</v>
      </c>
      <c r="D854">
        <v>853</v>
      </c>
      <c r="E854">
        <v>6400</v>
      </c>
      <c r="F854" t="s">
        <v>25</v>
      </c>
      <c r="G854">
        <v>7</v>
      </c>
      <c r="H854" t="s">
        <v>68</v>
      </c>
      <c r="I854">
        <v>11</v>
      </c>
      <c r="J854" s="10">
        <f t="shared" si="13"/>
        <v>7</v>
      </c>
    </row>
    <row r="855" spans="1:10" x14ac:dyDescent="0.2">
      <c r="A855" s="6">
        <v>42789</v>
      </c>
      <c r="B855">
        <v>2008</v>
      </c>
      <c r="C855">
        <v>1706</v>
      </c>
      <c r="D855">
        <v>854</v>
      </c>
      <c r="E855">
        <v>6700</v>
      </c>
      <c r="F855" t="s">
        <v>25</v>
      </c>
      <c r="G855">
        <v>6</v>
      </c>
      <c r="H855" t="s">
        <v>68</v>
      </c>
      <c r="I855">
        <v>11</v>
      </c>
      <c r="J855" s="10">
        <f t="shared" si="13"/>
        <v>6</v>
      </c>
    </row>
    <row r="856" spans="1:10" x14ac:dyDescent="0.2">
      <c r="A856" s="6">
        <v>42740</v>
      </c>
      <c r="B856">
        <v>2007</v>
      </c>
      <c r="C856">
        <v>1706</v>
      </c>
      <c r="D856">
        <v>855</v>
      </c>
      <c r="E856">
        <v>6000</v>
      </c>
      <c r="F856" t="s">
        <v>25</v>
      </c>
      <c r="G856">
        <v>6</v>
      </c>
      <c r="H856" t="s">
        <v>68</v>
      </c>
      <c r="I856">
        <v>12</v>
      </c>
      <c r="J856" s="10">
        <f t="shared" si="13"/>
        <v>6</v>
      </c>
    </row>
    <row r="857" spans="1:10" x14ac:dyDescent="0.2">
      <c r="A857" s="6">
        <v>42710</v>
      </c>
      <c r="B857">
        <v>2008</v>
      </c>
      <c r="C857">
        <v>1706</v>
      </c>
      <c r="D857">
        <v>856</v>
      </c>
      <c r="E857">
        <v>6650</v>
      </c>
      <c r="F857" t="s">
        <v>25</v>
      </c>
      <c r="G857">
        <v>12</v>
      </c>
      <c r="H857" t="s">
        <v>68</v>
      </c>
      <c r="I857">
        <v>11</v>
      </c>
      <c r="J857" s="10">
        <f t="shared" si="13"/>
        <v>12</v>
      </c>
    </row>
    <row r="858" spans="1:10" x14ac:dyDescent="0.2">
      <c r="A858" s="6">
        <v>42689</v>
      </c>
      <c r="B858">
        <v>2006</v>
      </c>
      <c r="C858">
        <v>1706</v>
      </c>
      <c r="D858">
        <v>857</v>
      </c>
      <c r="E858">
        <v>6900</v>
      </c>
      <c r="F858" t="s">
        <v>25</v>
      </c>
      <c r="G858">
        <v>6</v>
      </c>
      <c r="H858" t="s">
        <v>68</v>
      </c>
      <c r="I858">
        <v>13</v>
      </c>
      <c r="J858" s="10">
        <f t="shared" si="13"/>
        <v>6</v>
      </c>
    </row>
    <row r="859" spans="1:10" x14ac:dyDescent="0.2">
      <c r="A859" s="6">
        <v>42670</v>
      </c>
      <c r="B859">
        <v>2007</v>
      </c>
      <c r="C859">
        <v>1706</v>
      </c>
      <c r="D859">
        <v>858</v>
      </c>
      <c r="E859">
        <v>6950</v>
      </c>
      <c r="F859" t="s">
        <v>25</v>
      </c>
      <c r="G859">
        <v>7</v>
      </c>
      <c r="H859" t="s">
        <v>68</v>
      </c>
      <c r="I859">
        <v>12</v>
      </c>
      <c r="J859" s="10">
        <f t="shared" si="13"/>
        <v>7</v>
      </c>
    </row>
    <row r="860" spans="1:10" x14ac:dyDescent="0.2">
      <c r="A860" s="6">
        <v>42620</v>
      </c>
      <c r="B860">
        <v>2007</v>
      </c>
      <c r="C860">
        <v>1706</v>
      </c>
      <c r="D860">
        <v>859</v>
      </c>
      <c r="E860">
        <v>6950</v>
      </c>
      <c r="F860" t="s">
        <v>25</v>
      </c>
      <c r="G860">
        <v>5</v>
      </c>
      <c r="H860" t="s">
        <v>68</v>
      </c>
      <c r="I860">
        <v>12</v>
      </c>
      <c r="J860" s="10">
        <f t="shared" si="13"/>
        <v>5</v>
      </c>
    </row>
    <row r="861" spans="1:10" x14ac:dyDescent="0.2">
      <c r="A861" s="6">
        <v>42613</v>
      </c>
      <c r="B861">
        <v>2008</v>
      </c>
      <c r="C861">
        <v>1706</v>
      </c>
      <c r="D861">
        <v>860</v>
      </c>
      <c r="E861">
        <v>6750</v>
      </c>
      <c r="F861" t="s">
        <v>25</v>
      </c>
      <c r="G861">
        <v>7</v>
      </c>
      <c r="H861" t="s">
        <v>68</v>
      </c>
      <c r="I861">
        <v>11</v>
      </c>
      <c r="J861" s="10">
        <f t="shared" si="13"/>
        <v>7</v>
      </c>
    </row>
    <row r="862" spans="1:10" x14ac:dyDescent="0.2">
      <c r="A862" s="6">
        <v>42510</v>
      </c>
      <c r="B862">
        <v>2008</v>
      </c>
      <c r="C862">
        <v>1706</v>
      </c>
      <c r="D862">
        <v>861</v>
      </c>
      <c r="E862">
        <v>7000</v>
      </c>
      <c r="F862" t="s">
        <v>25</v>
      </c>
      <c r="G862">
        <v>5</v>
      </c>
      <c r="H862" t="s">
        <v>68</v>
      </c>
      <c r="I862">
        <v>11</v>
      </c>
      <c r="J862" s="10">
        <f t="shared" si="13"/>
        <v>5</v>
      </c>
    </row>
    <row r="863" spans="1:10" x14ac:dyDescent="0.2">
      <c r="A863" s="6">
        <v>42489</v>
      </c>
      <c r="B863">
        <v>2008</v>
      </c>
      <c r="C863">
        <v>1706</v>
      </c>
      <c r="D863">
        <v>862</v>
      </c>
      <c r="E863">
        <v>8500</v>
      </c>
      <c r="F863" t="s">
        <v>25</v>
      </c>
      <c r="G863">
        <v>9</v>
      </c>
      <c r="H863" t="s">
        <v>68</v>
      </c>
      <c r="I863">
        <v>11</v>
      </c>
      <c r="J863" s="10">
        <f t="shared" si="13"/>
        <v>9</v>
      </c>
    </row>
    <row r="864" spans="1:10" x14ac:dyDescent="0.2">
      <c r="A864" s="6">
        <v>42488</v>
      </c>
      <c r="B864">
        <v>2008</v>
      </c>
      <c r="C864">
        <v>1706</v>
      </c>
      <c r="D864">
        <v>863</v>
      </c>
      <c r="E864">
        <v>8500</v>
      </c>
      <c r="F864" t="s">
        <v>25</v>
      </c>
      <c r="G864">
        <v>9</v>
      </c>
      <c r="H864" t="s">
        <v>68</v>
      </c>
      <c r="I864">
        <v>11</v>
      </c>
      <c r="J864" s="10">
        <f t="shared" si="13"/>
        <v>9</v>
      </c>
    </row>
    <row r="865" spans="1:10" x14ac:dyDescent="0.2">
      <c r="A865" s="6">
        <v>42486</v>
      </c>
      <c r="B865">
        <v>2007</v>
      </c>
      <c r="C865">
        <v>1706</v>
      </c>
      <c r="D865">
        <v>864</v>
      </c>
      <c r="E865">
        <v>8000</v>
      </c>
      <c r="F865" t="s">
        <v>25</v>
      </c>
      <c r="G865">
        <v>6</v>
      </c>
      <c r="H865" t="s">
        <v>68</v>
      </c>
      <c r="I865">
        <v>12</v>
      </c>
      <c r="J865" s="10">
        <f t="shared" si="13"/>
        <v>6</v>
      </c>
    </row>
    <row r="866" spans="1:10" x14ac:dyDescent="0.2">
      <c r="A866" s="6">
        <v>42482</v>
      </c>
      <c r="B866">
        <v>2006</v>
      </c>
      <c r="C866">
        <v>1706</v>
      </c>
      <c r="D866">
        <v>865</v>
      </c>
      <c r="E866">
        <v>7400</v>
      </c>
      <c r="F866" t="s">
        <v>25</v>
      </c>
      <c r="G866">
        <v>7</v>
      </c>
      <c r="H866" t="s">
        <v>68</v>
      </c>
      <c r="I866">
        <v>13</v>
      </c>
      <c r="J866" s="10">
        <f t="shared" si="13"/>
        <v>7</v>
      </c>
    </row>
    <row r="867" spans="1:10" x14ac:dyDescent="0.2">
      <c r="A867" s="6">
        <v>42450</v>
      </c>
      <c r="B867">
        <v>2008</v>
      </c>
      <c r="C867">
        <v>1706</v>
      </c>
      <c r="D867">
        <v>866</v>
      </c>
      <c r="E867">
        <v>7900</v>
      </c>
      <c r="F867" t="s">
        <v>25</v>
      </c>
      <c r="G867">
        <v>6</v>
      </c>
      <c r="H867" t="s">
        <v>68</v>
      </c>
      <c r="I867">
        <v>11</v>
      </c>
      <c r="J867" s="10">
        <f t="shared" si="13"/>
        <v>6</v>
      </c>
    </row>
    <row r="868" spans="1:10" x14ac:dyDescent="0.2">
      <c r="A868" s="6">
        <v>42430</v>
      </c>
      <c r="B868">
        <v>2007</v>
      </c>
      <c r="C868">
        <v>1706</v>
      </c>
      <c r="D868">
        <v>867</v>
      </c>
      <c r="E868">
        <v>7750</v>
      </c>
      <c r="F868" t="s">
        <v>25</v>
      </c>
      <c r="G868">
        <v>6</v>
      </c>
      <c r="H868" t="s">
        <v>68</v>
      </c>
      <c r="I868">
        <v>12</v>
      </c>
      <c r="J868" s="10">
        <f t="shared" si="13"/>
        <v>6</v>
      </c>
    </row>
    <row r="869" spans="1:10" x14ac:dyDescent="0.2">
      <c r="A869" s="6">
        <v>42401</v>
      </c>
      <c r="B869">
        <v>2006</v>
      </c>
      <c r="C869">
        <v>1706</v>
      </c>
      <c r="D869">
        <v>868</v>
      </c>
      <c r="E869">
        <v>7000</v>
      </c>
      <c r="F869" t="s">
        <v>25</v>
      </c>
      <c r="G869">
        <v>3</v>
      </c>
      <c r="H869" t="s">
        <v>68</v>
      </c>
      <c r="I869">
        <v>13</v>
      </c>
      <c r="J869" s="10">
        <f t="shared" si="13"/>
        <v>3</v>
      </c>
    </row>
    <row r="870" spans="1:10" x14ac:dyDescent="0.2">
      <c r="A870" s="6">
        <v>43606</v>
      </c>
      <c r="B870">
        <v>2010</v>
      </c>
      <c r="C870">
        <v>1708</v>
      </c>
      <c r="D870">
        <v>869</v>
      </c>
      <c r="E870">
        <v>7900</v>
      </c>
      <c r="F870" t="s">
        <v>25</v>
      </c>
      <c r="G870">
        <v>9</v>
      </c>
      <c r="H870" t="s">
        <v>68</v>
      </c>
      <c r="I870">
        <v>9</v>
      </c>
      <c r="J870" s="10">
        <f t="shared" si="13"/>
        <v>9</v>
      </c>
    </row>
    <row r="871" spans="1:10" x14ac:dyDescent="0.2">
      <c r="A871" s="6">
        <v>43600</v>
      </c>
      <c r="B871">
        <v>2008</v>
      </c>
      <c r="C871">
        <v>1708</v>
      </c>
      <c r="D871">
        <v>870</v>
      </c>
      <c r="E871">
        <v>8100</v>
      </c>
      <c r="F871" t="s">
        <v>25</v>
      </c>
      <c r="G871">
        <v>5</v>
      </c>
      <c r="H871" t="s">
        <v>68</v>
      </c>
      <c r="I871">
        <v>11</v>
      </c>
      <c r="J871" s="10">
        <f t="shared" si="13"/>
        <v>5</v>
      </c>
    </row>
    <row r="872" spans="1:10" x14ac:dyDescent="0.2">
      <c r="A872" s="6">
        <v>43584</v>
      </c>
      <c r="B872">
        <v>2008</v>
      </c>
      <c r="C872">
        <v>1708</v>
      </c>
      <c r="D872">
        <v>871</v>
      </c>
      <c r="E872">
        <v>8200</v>
      </c>
      <c r="F872" t="s">
        <v>25</v>
      </c>
      <c r="G872">
        <v>12</v>
      </c>
      <c r="H872" t="s">
        <v>68</v>
      </c>
      <c r="I872">
        <v>11</v>
      </c>
      <c r="J872" s="10">
        <f t="shared" si="13"/>
        <v>12</v>
      </c>
    </row>
    <row r="873" spans="1:10" x14ac:dyDescent="0.2">
      <c r="A873" s="6">
        <v>43549</v>
      </c>
      <c r="B873">
        <v>2009</v>
      </c>
      <c r="C873">
        <v>1708</v>
      </c>
      <c r="D873">
        <v>872</v>
      </c>
      <c r="E873">
        <v>8500</v>
      </c>
      <c r="F873" t="s">
        <v>25</v>
      </c>
      <c r="G873">
        <v>5</v>
      </c>
      <c r="H873" t="s">
        <v>68</v>
      </c>
      <c r="I873">
        <v>10</v>
      </c>
      <c r="J873" s="10">
        <f t="shared" si="13"/>
        <v>5</v>
      </c>
    </row>
    <row r="874" spans="1:10" x14ac:dyDescent="0.2">
      <c r="A874" s="6">
        <v>43532</v>
      </c>
      <c r="B874">
        <v>2009</v>
      </c>
      <c r="C874">
        <v>1708</v>
      </c>
      <c r="D874">
        <v>873</v>
      </c>
      <c r="E874">
        <v>8100</v>
      </c>
      <c r="F874" t="s">
        <v>25</v>
      </c>
      <c r="G874">
        <v>5</v>
      </c>
      <c r="H874" t="s">
        <v>68</v>
      </c>
      <c r="I874">
        <v>10</v>
      </c>
      <c r="J874" s="10">
        <f t="shared" si="13"/>
        <v>5</v>
      </c>
    </row>
    <row r="875" spans="1:10" x14ac:dyDescent="0.2">
      <c r="A875" s="6">
        <v>43511</v>
      </c>
      <c r="B875">
        <v>2007</v>
      </c>
      <c r="C875">
        <v>1708</v>
      </c>
      <c r="D875">
        <v>874</v>
      </c>
      <c r="E875">
        <v>8000</v>
      </c>
      <c r="F875" t="s">
        <v>25</v>
      </c>
      <c r="G875">
        <v>5</v>
      </c>
      <c r="H875" t="s">
        <v>68</v>
      </c>
      <c r="I875">
        <v>12</v>
      </c>
      <c r="J875" s="10">
        <f t="shared" si="13"/>
        <v>5</v>
      </c>
    </row>
    <row r="876" spans="1:10" x14ac:dyDescent="0.2">
      <c r="A876" s="6">
        <v>43507</v>
      </c>
      <c r="B876">
        <v>2008</v>
      </c>
      <c r="C876">
        <v>1708</v>
      </c>
      <c r="D876">
        <v>875</v>
      </c>
      <c r="E876">
        <v>7950</v>
      </c>
      <c r="F876" t="s">
        <v>25</v>
      </c>
      <c r="G876">
        <v>5</v>
      </c>
      <c r="H876" t="s">
        <v>68</v>
      </c>
      <c r="I876">
        <v>11</v>
      </c>
      <c r="J876" s="10">
        <f t="shared" si="13"/>
        <v>5</v>
      </c>
    </row>
    <row r="877" spans="1:10" x14ac:dyDescent="0.2">
      <c r="A877" s="6">
        <v>43488</v>
      </c>
      <c r="B877">
        <v>2009</v>
      </c>
      <c r="C877">
        <v>1708</v>
      </c>
      <c r="D877">
        <v>876</v>
      </c>
      <c r="E877">
        <v>7250</v>
      </c>
      <c r="F877" t="s">
        <v>25</v>
      </c>
      <c r="G877">
        <v>9</v>
      </c>
      <c r="H877" t="s">
        <v>68</v>
      </c>
      <c r="I877">
        <v>10</v>
      </c>
      <c r="J877" s="10">
        <f t="shared" si="13"/>
        <v>9</v>
      </c>
    </row>
    <row r="878" spans="1:10" x14ac:dyDescent="0.2">
      <c r="A878" s="6">
        <v>43483</v>
      </c>
      <c r="B878">
        <v>2008</v>
      </c>
      <c r="C878">
        <v>1708</v>
      </c>
      <c r="D878">
        <v>877</v>
      </c>
      <c r="E878">
        <v>7250</v>
      </c>
      <c r="F878" t="s">
        <v>25</v>
      </c>
      <c r="G878">
        <v>5</v>
      </c>
      <c r="H878" t="s">
        <v>68</v>
      </c>
      <c r="I878">
        <v>11</v>
      </c>
      <c r="J878" s="10">
        <f t="shared" si="13"/>
        <v>5</v>
      </c>
    </row>
    <row r="879" spans="1:10" x14ac:dyDescent="0.2">
      <c r="A879" s="6">
        <v>43482</v>
      </c>
      <c r="B879">
        <v>2008</v>
      </c>
      <c r="C879">
        <v>1708</v>
      </c>
      <c r="D879">
        <v>878</v>
      </c>
      <c r="E879">
        <v>8000</v>
      </c>
      <c r="F879" t="s">
        <v>25</v>
      </c>
      <c r="G879">
        <v>6</v>
      </c>
      <c r="H879" t="s">
        <v>68</v>
      </c>
      <c r="I879">
        <v>11</v>
      </c>
      <c r="J879" s="10">
        <f t="shared" si="13"/>
        <v>6</v>
      </c>
    </row>
    <row r="880" spans="1:10" x14ac:dyDescent="0.2">
      <c r="A880" s="6">
        <v>43445</v>
      </c>
      <c r="B880">
        <v>2009</v>
      </c>
      <c r="C880">
        <v>1708</v>
      </c>
      <c r="D880">
        <v>879</v>
      </c>
      <c r="E880">
        <v>8500</v>
      </c>
      <c r="F880" t="s">
        <v>25</v>
      </c>
      <c r="G880">
        <v>9</v>
      </c>
      <c r="H880" t="s">
        <v>68</v>
      </c>
      <c r="I880">
        <v>10</v>
      </c>
      <c r="J880" s="10">
        <f t="shared" si="13"/>
        <v>9</v>
      </c>
    </row>
    <row r="881" spans="1:10" x14ac:dyDescent="0.2">
      <c r="A881" s="6">
        <v>43405</v>
      </c>
      <c r="B881">
        <v>2008</v>
      </c>
      <c r="C881">
        <v>1708</v>
      </c>
      <c r="D881">
        <v>880</v>
      </c>
      <c r="E881">
        <v>9650</v>
      </c>
      <c r="F881" t="s">
        <v>25</v>
      </c>
      <c r="G881">
        <v>6</v>
      </c>
      <c r="H881" t="s">
        <v>68</v>
      </c>
      <c r="I881">
        <v>11</v>
      </c>
      <c r="J881" s="10">
        <f t="shared" si="13"/>
        <v>6</v>
      </c>
    </row>
    <row r="882" spans="1:10" x14ac:dyDescent="0.2">
      <c r="A882" s="6">
        <v>43391</v>
      </c>
      <c r="B882">
        <v>2008</v>
      </c>
      <c r="C882">
        <v>1708</v>
      </c>
      <c r="D882">
        <v>881</v>
      </c>
      <c r="E882">
        <v>10000</v>
      </c>
      <c r="F882" t="s">
        <v>25</v>
      </c>
      <c r="G882">
        <v>12</v>
      </c>
      <c r="H882" t="s">
        <v>68</v>
      </c>
      <c r="I882">
        <v>11</v>
      </c>
      <c r="J882" s="10">
        <f t="shared" si="13"/>
        <v>12</v>
      </c>
    </row>
    <row r="883" spans="1:10" x14ac:dyDescent="0.2">
      <c r="A883" s="6">
        <v>43388</v>
      </c>
      <c r="B883">
        <v>2009</v>
      </c>
      <c r="C883">
        <v>1708</v>
      </c>
      <c r="D883">
        <v>882</v>
      </c>
      <c r="E883">
        <v>9500</v>
      </c>
      <c r="F883" t="s">
        <v>25</v>
      </c>
      <c r="G883">
        <v>2</v>
      </c>
      <c r="H883" t="s">
        <v>68</v>
      </c>
      <c r="I883">
        <v>10</v>
      </c>
      <c r="J883" s="10">
        <f t="shared" si="13"/>
        <v>2</v>
      </c>
    </row>
    <row r="884" spans="1:10" x14ac:dyDescent="0.2">
      <c r="A884" s="6">
        <v>43374</v>
      </c>
      <c r="B884">
        <v>2008</v>
      </c>
      <c r="C884">
        <v>1708</v>
      </c>
      <c r="D884">
        <v>883</v>
      </c>
      <c r="E884">
        <v>10200</v>
      </c>
      <c r="F884" t="s">
        <v>25</v>
      </c>
      <c r="G884">
        <v>4</v>
      </c>
      <c r="H884" t="s">
        <v>68</v>
      </c>
      <c r="I884">
        <v>11</v>
      </c>
      <c r="J884" s="10">
        <f t="shared" si="13"/>
        <v>4</v>
      </c>
    </row>
    <row r="885" spans="1:10" x14ac:dyDescent="0.2">
      <c r="A885" s="6">
        <v>43312</v>
      </c>
      <c r="B885">
        <v>2008</v>
      </c>
      <c r="C885">
        <v>1708</v>
      </c>
      <c r="D885">
        <v>884</v>
      </c>
      <c r="E885">
        <v>10800</v>
      </c>
      <c r="F885" t="s">
        <v>25</v>
      </c>
      <c r="G885">
        <v>7</v>
      </c>
      <c r="H885" t="s">
        <v>68</v>
      </c>
      <c r="I885">
        <v>11</v>
      </c>
      <c r="J885" s="10">
        <f t="shared" si="13"/>
        <v>7</v>
      </c>
    </row>
    <row r="886" spans="1:10" x14ac:dyDescent="0.2">
      <c r="A886" s="6">
        <v>43312</v>
      </c>
      <c r="B886">
        <v>2007</v>
      </c>
      <c r="C886">
        <v>1708</v>
      </c>
      <c r="D886">
        <v>885</v>
      </c>
      <c r="E886">
        <v>10800</v>
      </c>
      <c r="F886" t="s">
        <v>25</v>
      </c>
      <c r="G886">
        <v>6</v>
      </c>
      <c r="H886" t="s">
        <v>68</v>
      </c>
      <c r="I886">
        <v>12</v>
      </c>
      <c r="J886" s="10">
        <f t="shared" si="13"/>
        <v>6</v>
      </c>
    </row>
    <row r="887" spans="1:10" x14ac:dyDescent="0.2">
      <c r="A887" s="6">
        <v>43286</v>
      </c>
      <c r="B887">
        <v>2008</v>
      </c>
      <c r="C887">
        <v>1708</v>
      </c>
      <c r="D887">
        <v>886</v>
      </c>
      <c r="E887">
        <v>11250</v>
      </c>
      <c r="F887" t="s">
        <v>25</v>
      </c>
      <c r="G887">
        <v>9</v>
      </c>
      <c r="H887" t="s">
        <v>68</v>
      </c>
      <c r="I887">
        <v>11</v>
      </c>
      <c r="J887" s="10">
        <f t="shared" si="13"/>
        <v>9</v>
      </c>
    </row>
    <row r="888" spans="1:10" x14ac:dyDescent="0.2">
      <c r="A888" s="6">
        <v>43263</v>
      </c>
      <c r="B888">
        <v>2008</v>
      </c>
      <c r="C888">
        <v>1708</v>
      </c>
      <c r="D888">
        <v>887</v>
      </c>
      <c r="E888">
        <v>11500</v>
      </c>
      <c r="F888" t="s">
        <v>25</v>
      </c>
      <c r="G888">
        <v>60</v>
      </c>
      <c r="H888" t="s">
        <v>26</v>
      </c>
      <c r="I888">
        <v>11</v>
      </c>
      <c r="J888" s="10">
        <f t="shared" si="13"/>
        <v>2</v>
      </c>
    </row>
    <row r="889" spans="1:10" x14ac:dyDescent="0.2">
      <c r="A889" s="6">
        <v>43259</v>
      </c>
      <c r="B889">
        <v>2007</v>
      </c>
      <c r="C889">
        <v>1708</v>
      </c>
      <c r="D889">
        <v>888</v>
      </c>
      <c r="E889">
        <v>11500</v>
      </c>
      <c r="F889" t="s">
        <v>25</v>
      </c>
      <c r="G889">
        <v>60</v>
      </c>
      <c r="H889" t="s">
        <v>26</v>
      </c>
      <c r="I889">
        <v>12</v>
      </c>
      <c r="J889" s="10">
        <f t="shared" si="13"/>
        <v>2</v>
      </c>
    </row>
    <row r="890" spans="1:10" x14ac:dyDescent="0.2">
      <c r="A890" s="6">
        <v>43258</v>
      </c>
      <c r="B890">
        <v>2008</v>
      </c>
      <c r="C890">
        <v>1708</v>
      </c>
      <c r="D890">
        <v>889</v>
      </c>
      <c r="E890">
        <v>11500</v>
      </c>
      <c r="F890" t="s">
        <v>25</v>
      </c>
      <c r="G890">
        <v>5</v>
      </c>
      <c r="H890" t="s">
        <v>68</v>
      </c>
      <c r="I890">
        <v>11</v>
      </c>
      <c r="J890" s="10">
        <f t="shared" si="13"/>
        <v>5</v>
      </c>
    </row>
    <row r="891" spans="1:10" x14ac:dyDescent="0.2">
      <c r="A891" s="6">
        <v>43229</v>
      </c>
      <c r="B891">
        <v>2008</v>
      </c>
      <c r="C891">
        <v>1708</v>
      </c>
      <c r="D891">
        <v>890</v>
      </c>
      <c r="E891">
        <v>11800</v>
      </c>
      <c r="F891" t="s">
        <v>25</v>
      </c>
      <c r="G891">
        <v>7</v>
      </c>
      <c r="H891" t="s">
        <v>68</v>
      </c>
      <c r="I891">
        <v>11</v>
      </c>
      <c r="J891" s="10">
        <f t="shared" si="13"/>
        <v>7</v>
      </c>
    </row>
    <row r="892" spans="1:10" x14ac:dyDescent="0.2">
      <c r="A892" s="6">
        <v>43206</v>
      </c>
      <c r="B892">
        <v>2008</v>
      </c>
      <c r="C892">
        <v>1708</v>
      </c>
      <c r="D892">
        <v>891</v>
      </c>
      <c r="E892">
        <v>10000</v>
      </c>
      <c r="F892" t="s">
        <v>25</v>
      </c>
      <c r="G892">
        <v>14</v>
      </c>
      <c r="H892" t="s">
        <v>68</v>
      </c>
      <c r="I892">
        <v>11</v>
      </c>
      <c r="J892" s="10">
        <f t="shared" si="13"/>
        <v>14</v>
      </c>
    </row>
    <row r="893" spans="1:10" x14ac:dyDescent="0.2">
      <c r="A893" s="6">
        <v>43185</v>
      </c>
      <c r="B893">
        <v>2010</v>
      </c>
      <c r="C893">
        <v>1708</v>
      </c>
      <c r="D893">
        <v>892</v>
      </c>
      <c r="E893">
        <v>10100</v>
      </c>
      <c r="F893" t="s">
        <v>25</v>
      </c>
      <c r="G893">
        <v>3</v>
      </c>
      <c r="H893" t="s">
        <v>68</v>
      </c>
      <c r="I893">
        <v>9</v>
      </c>
      <c r="J893" s="10">
        <f t="shared" si="13"/>
        <v>3</v>
      </c>
    </row>
    <row r="894" spans="1:10" x14ac:dyDescent="0.2">
      <c r="A894" s="6">
        <v>43164</v>
      </c>
      <c r="B894">
        <v>2007</v>
      </c>
      <c r="C894">
        <v>1708</v>
      </c>
      <c r="D894">
        <v>893</v>
      </c>
      <c r="E894">
        <v>10500</v>
      </c>
      <c r="F894" t="s">
        <v>25</v>
      </c>
      <c r="G894">
        <v>6</v>
      </c>
      <c r="H894" t="s">
        <v>68</v>
      </c>
      <c r="I894">
        <v>12</v>
      </c>
      <c r="J894" s="10">
        <f t="shared" si="13"/>
        <v>6</v>
      </c>
    </row>
    <row r="895" spans="1:10" x14ac:dyDescent="0.2">
      <c r="A895" s="6">
        <v>43067</v>
      </c>
      <c r="B895">
        <v>2008</v>
      </c>
      <c r="C895">
        <v>1708</v>
      </c>
      <c r="D895">
        <v>894</v>
      </c>
      <c r="E895">
        <v>8500</v>
      </c>
      <c r="F895" t="s">
        <v>25</v>
      </c>
      <c r="G895">
        <v>7</v>
      </c>
      <c r="H895" t="s">
        <v>68</v>
      </c>
      <c r="I895">
        <v>11</v>
      </c>
      <c r="J895" s="10">
        <f t="shared" si="13"/>
        <v>7</v>
      </c>
    </row>
    <row r="896" spans="1:10" x14ac:dyDescent="0.2">
      <c r="A896" s="6">
        <v>43052</v>
      </c>
      <c r="B896">
        <v>2008</v>
      </c>
      <c r="C896">
        <v>1708</v>
      </c>
      <c r="D896">
        <v>895</v>
      </c>
      <c r="E896">
        <v>9100</v>
      </c>
      <c r="F896" t="s">
        <v>25</v>
      </c>
      <c r="G896">
        <v>6</v>
      </c>
      <c r="H896" t="s">
        <v>68</v>
      </c>
      <c r="I896">
        <v>11</v>
      </c>
      <c r="J896" s="10">
        <f t="shared" si="13"/>
        <v>6</v>
      </c>
    </row>
    <row r="897" spans="1:10" x14ac:dyDescent="0.2">
      <c r="A897" s="6">
        <v>42993</v>
      </c>
      <c r="B897">
        <v>2007</v>
      </c>
      <c r="C897">
        <v>1708</v>
      </c>
      <c r="D897">
        <v>896</v>
      </c>
      <c r="E897">
        <v>7000</v>
      </c>
      <c r="F897" t="s">
        <v>25</v>
      </c>
      <c r="G897">
        <v>6</v>
      </c>
      <c r="H897" t="s">
        <v>68</v>
      </c>
      <c r="I897">
        <v>12</v>
      </c>
      <c r="J897" s="10">
        <f t="shared" si="13"/>
        <v>6</v>
      </c>
    </row>
    <row r="898" spans="1:10" x14ac:dyDescent="0.2">
      <c r="A898" s="6">
        <v>42948</v>
      </c>
      <c r="B898">
        <v>2008</v>
      </c>
      <c r="C898">
        <v>1708</v>
      </c>
      <c r="D898">
        <v>897</v>
      </c>
      <c r="E898">
        <v>7000</v>
      </c>
      <c r="F898" t="s">
        <v>25</v>
      </c>
      <c r="G898">
        <v>11</v>
      </c>
      <c r="H898" t="s">
        <v>68</v>
      </c>
      <c r="I898">
        <v>11</v>
      </c>
      <c r="J898" s="10">
        <f t="shared" ref="J898:J961" si="14">IF(H898="days",ROUND(G898/30,0),IF(H898="years",G898*12,G898))</f>
        <v>11</v>
      </c>
    </row>
    <row r="899" spans="1:10" x14ac:dyDescent="0.2">
      <c r="A899" s="6">
        <v>42948</v>
      </c>
      <c r="B899">
        <v>2008</v>
      </c>
      <c r="C899">
        <v>1708</v>
      </c>
      <c r="D899">
        <v>898</v>
      </c>
      <c r="E899">
        <v>7250</v>
      </c>
      <c r="F899" t="s">
        <v>25</v>
      </c>
      <c r="G899">
        <v>10</v>
      </c>
      <c r="H899" t="s">
        <v>68</v>
      </c>
      <c r="I899">
        <v>11</v>
      </c>
      <c r="J899" s="10">
        <f t="shared" si="14"/>
        <v>10</v>
      </c>
    </row>
    <row r="900" spans="1:10" x14ac:dyDescent="0.2">
      <c r="A900" s="6">
        <v>42920</v>
      </c>
      <c r="B900">
        <v>2007</v>
      </c>
      <c r="C900">
        <v>1708</v>
      </c>
      <c r="D900">
        <v>899</v>
      </c>
      <c r="E900">
        <v>7500</v>
      </c>
      <c r="F900" t="s">
        <v>25</v>
      </c>
      <c r="G900">
        <v>4</v>
      </c>
      <c r="H900" t="s">
        <v>68</v>
      </c>
      <c r="I900">
        <v>12</v>
      </c>
      <c r="J900" s="10">
        <f t="shared" si="14"/>
        <v>4</v>
      </c>
    </row>
    <row r="901" spans="1:10" x14ac:dyDescent="0.2">
      <c r="A901" s="6">
        <v>42898</v>
      </c>
      <c r="B901">
        <v>2008</v>
      </c>
      <c r="C901">
        <v>1708</v>
      </c>
      <c r="D901">
        <v>900</v>
      </c>
      <c r="E901">
        <v>7500</v>
      </c>
      <c r="F901" t="s">
        <v>25</v>
      </c>
      <c r="G901">
        <v>6</v>
      </c>
      <c r="H901" t="s">
        <v>68</v>
      </c>
      <c r="I901">
        <v>11</v>
      </c>
      <c r="J901" s="10">
        <f t="shared" si="14"/>
        <v>6</v>
      </c>
    </row>
    <row r="902" spans="1:10" x14ac:dyDescent="0.2">
      <c r="A902" s="6">
        <v>42887</v>
      </c>
      <c r="B902">
        <v>2007</v>
      </c>
      <c r="C902">
        <v>1708</v>
      </c>
      <c r="D902">
        <v>901</v>
      </c>
      <c r="E902">
        <v>7500</v>
      </c>
      <c r="F902" t="s">
        <v>25</v>
      </c>
      <c r="G902">
        <v>4</v>
      </c>
      <c r="H902" t="s">
        <v>68</v>
      </c>
      <c r="I902">
        <v>12</v>
      </c>
      <c r="J902" s="10">
        <f t="shared" si="14"/>
        <v>4</v>
      </c>
    </row>
    <row r="903" spans="1:10" x14ac:dyDescent="0.2">
      <c r="A903" s="6">
        <v>42877</v>
      </c>
      <c r="B903">
        <v>2008</v>
      </c>
      <c r="C903">
        <v>1708</v>
      </c>
      <c r="D903">
        <v>902</v>
      </c>
      <c r="E903">
        <v>7000</v>
      </c>
      <c r="F903" t="s">
        <v>25</v>
      </c>
      <c r="G903">
        <v>90</v>
      </c>
      <c r="H903" t="s">
        <v>26</v>
      </c>
      <c r="I903">
        <v>11</v>
      </c>
      <c r="J903" s="10">
        <f t="shared" si="14"/>
        <v>3</v>
      </c>
    </row>
    <row r="904" spans="1:10" x14ac:dyDescent="0.2">
      <c r="A904" s="6">
        <v>42871</v>
      </c>
      <c r="B904">
        <v>2008</v>
      </c>
      <c r="C904">
        <v>1708</v>
      </c>
      <c r="D904">
        <v>903</v>
      </c>
      <c r="E904">
        <v>7100</v>
      </c>
      <c r="F904" t="s">
        <v>25</v>
      </c>
      <c r="G904">
        <v>12</v>
      </c>
      <c r="H904" t="s">
        <v>68</v>
      </c>
      <c r="I904">
        <v>11</v>
      </c>
      <c r="J904" s="10">
        <f t="shared" si="14"/>
        <v>12</v>
      </c>
    </row>
    <row r="905" spans="1:10" x14ac:dyDescent="0.2">
      <c r="A905" s="6">
        <v>42773</v>
      </c>
      <c r="B905">
        <v>2008</v>
      </c>
      <c r="C905">
        <v>1708</v>
      </c>
      <c r="D905">
        <v>904</v>
      </c>
      <c r="E905">
        <v>6500</v>
      </c>
      <c r="F905" t="s">
        <v>25</v>
      </c>
      <c r="G905">
        <v>6</v>
      </c>
      <c r="H905" t="s">
        <v>68</v>
      </c>
      <c r="I905">
        <v>11</v>
      </c>
      <c r="J905" s="10">
        <f t="shared" si="14"/>
        <v>6</v>
      </c>
    </row>
    <row r="906" spans="1:10" x14ac:dyDescent="0.2">
      <c r="A906" s="6">
        <v>42745</v>
      </c>
      <c r="B906">
        <v>2010</v>
      </c>
      <c r="C906">
        <v>1708</v>
      </c>
      <c r="D906">
        <v>905</v>
      </c>
      <c r="E906">
        <v>6600</v>
      </c>
      <c r="F906" t="s">
        <v>25</v>
      </c>
      <c r="G906">
        <v>60</v>
      </c>
      <c r="H906" t="s">
        <v>26</v>
      </c>
      <c r="I906">
        <v>9</v>
      </c>
      <c r="J906" s="10">
        <f t="shared" si="14"/>
        <v>2</v>
      </c>
    </row>
    <row r="907" spans="1:10" x14ac:dyDescent="0.2">
      <c r="A907" s="6">
        <v>42676</v>
      </c>
      <c r="B907">
        <v>2008</v>
      </c>
      <c r="C907">
        <v>1708</v>
      </c>
      <c r="D907">
        <v>906</v>
      </c>
      <c r="E907">
        <v>7000</v>
      </c>
      <c r="F907" t="s">
        <v>25</v>
      </c>
      <c r="G907">
        <v>4</v>
      </c>
      <c r="H907" t="s">
        <v>68</v>
      </c>
      <c r="I907">
        <v>11</v>
      </c>
      <c r="J907" s="10">
        <f t="shared" si="14"/>
        <v>4</v>
      </c>
    </row>
    <row r="908" spans="1:10" x14ac:dyDescent="0.2">
      <c r="A908" s="6">
        <v>42648</v>
      </c>
      <c r="B908">
        <v>2009</v>
      </c>
      <c r="C908">
        <v>1708</v>
      </c>
      <c r="D908">
        <v>907</v>
      </c>
      <c r="E908">
        <v>6525</v>
      </c>
      <c r="F908" t="s">
        <v>25</v>
      </c>
      <c r="G908">
        <v>10</v>
      </c>
      <c r="H908" t="s">
        <v>68</v>
      </c>
      <c r="I908">
        <v>10</v>
      </c>
      <c r="J908" s="10">
        <f t="shared" si="14"/>
        <v>10</v>
      </c>
    </row>
    <row r="909" spans="1:10" x14ac:dyDescent="0.2">
      <c r="A909" s="6">
        <v>42627</v>
      </c>
      <c r="B909">
        <v>2007</v>
      </c>
      <c r="C909">
        <v>1708</v>
      </c>
      <c r="D909">
        <v>908</v>
      </c>
      <c r="E909">
        <v>6600</v>
      </c>
      <c r="F909" t="s">
        <v>25</v>
      </c>
      <c r="G909">
        <v>6</v>
      </c>
      <c r="H909" t="s">
        <v>68</v>
      </c>
      <c r="I909">
        <v>12</v>
      </c>
      <c r="J909" s="10">
        <f t="shared" si="14"/>
        <v>6</v>
      </c>
    </row>
    <row r="910" spans="1:10" x14ac:dyDescent="0.2">
      <c r="A910" s="6">
        <v>42613</v>
      </c>
      <c r="B910">
        <v>2007</v>
      </c>
      <c r="C910">
        <v>1708</v>
      </c>
      <c r="D910">
        <v>909</v>
      </c>
      <c r="E910">
        <v>7180</v>
      </c>
      <c r="F910" t="s">
        <v>25</v>
      </c>
      <c r="G910">
        <v>9</v>
      </c>
      <c r="H910" t="s">
        <v>68</v>
      </c>
      <c r="I910">
        <v>12</v>
      </c>
      <c r="J910" s="10">
        <f t="shared" si="14"/>
        <v>9</v>
      </c>
    </row>
    <row r="911" spans="1:10" x14ac:dyDescent="0.2">
      <c r="A911" s="6">
        <v>42586</v>
      </c>
      <c r="B911">
        <v>2008</v>
      </c>
      <c r="C911">
        <v>1708</v>
      </c>
      <c r="D911">
        <v>910</v>
      </c>
      <c r="E911">
        <v>6500</v>
      </c>
      <c r="F911" t="s">
        <v>25</v>
      </c>
      <c r="G911">
        <v>6</v>
      </c>
      <c r="H911" t="s">
        <v>68</v>
      </c>
      <c r="I911">
        <v>11</v>
      </c>
      <c r="J911" s="10">
        <f t="shared" si="14"/>
        <v>6</v>
      </c>
    </row>
    <row r="912" spans="1:10" x14ac:dyDescent="0.2">
      <c r="A912" s="6">
        <v>42479</v>
      </c>
      <c r="B912">
        <v>2008</v>
      </c>
      <c r="C912">
        <v>1708</v>
      </c>
      <c r="D912">
        <v>911</v>
      </c>
      <c r="E912">
        <v>7500</v>
      </c>
      <c r="F912" t="s">
        <v>25</v>
      </c>
      <c r="G912">
        <v>12</v>
      </c>
      <c r="H912" t="s">
        <v>68</v>
      </c>
      <c r="I912">
        <v>11</v>
      </c>
      <c r="J912" s="10">
        <f t="shared" si="14"/>
        <v>12</v>
      </c>
    </row>
    <row r="913" spans="1:10" x14ac:dyDescent="0.2">
      <c r="A913" s="6">
        <v>42475</v>
      </c>
      <c r="B913">
        <v>2009</v>
      </c>
      <c r="C913">
        <v>1708</v>
      </c>
      <c r="D913">
        <v>912</v>
      </c>
      <c r="E913">
        <v>7200</v>
      </c>
      <c r="F913" t="s">
        <v>25</v>
      </c>
      <c r="G913">
        <v>12</v>
      </c>
      <c r="H913" t="s">
        <v>68</v>
      </c>
      <c r="I913">
        <v>10</v>
      </c>
      <c r="J913" s="10">
        <f t="shared" si="14"/>
        <v>12</v>
      </c>
    </row>
    <row r="914" spans="1:10" x14ac:dyDescent="0.2">
      <c r="A914" s="6">
        <v>42461</v>
      </c>
      <c r="B914">
        <v>2008</v>
      </c>
      <c r="C914">
        <v>1708</v>
      </c>
      <c r="D914">
        <v>913</v>
      </c>
      <c r="E914">
        <v>6700</v>
      </c>
      <c r="F914" t="s">
        <v>25</v>
      </c>
      <c r="G914">
        <v>12</v>
      </c>
      <c r="H914" t="s">
        <v>68</v>
      </c>
      <c r="I914">
        <v>11</v>
      </c>
      <c r="J914" s="10">
        <f t="shared" si="14"/>
        <v>12</v>
      </c>
    </row>
    <row r="915" spans="1:10" x14ac:dyDescent="0.2">
      <c r="A915" s="6">
        <v>42458</v>
      </c>
      <c r="B915">
        <v>2008</v>
      </c>
      <c r="C915">
        <v>1708</v>
      </c>
      <c r="D915">
        <v>914</v>
      </c>
      <c r="E915">
        <v>7200</v>
      </c>
      <c r="F915" t="s">
        <v>25</v>
      </c>
      <c r="G915">
        <v>12</v>
      </c>
      <c r="H915" t="s">
        <v>68</v>
      </c>
      <c r="I915">
        <v>11</v>
      </c>
      <c r="J915" s="10">
        <f t="shared" si="14"/>
        <v>12</v>
      </c>
    </row>
    <row r="916" spans="1:10" x14ac:dyDescent="0.2">
      <c r="A916" s="6">
        <v>42430</v>
      </c>
      <c r="B916">
        <v>2007</v>
      </c>
      <c r="C916">
        <v>1708</v>
      </c>
      <c r="D916">
        <v>915</v>
      </c>
      <c r="E916">
        <v>7250</v>
      </c>
      <c r="F916" t="s">
        <v>25</v>
      </c>
      <c r="G916">
        <v>6</v>
      </c>
      <c r="H916" t="s">
        <v>68</v>
      </c>
      <c r="I916">
        <v>12</v>
      </c>
      <c r="J916" s="10">
        <f t="shared" si="14"/>
        <v>6</v>
      </c>
    </row>
    <row r="917" spans="1:10" x14ac:dyDescent="0.2">
      <c r="A917" s="6">
        <v>42423</v>
      </c>
      <c r="B917">
        <v>2007</v>
      </c>
      <c r="C917">
        <v>1708</v>
      </c>
      <c r="D917">
        <v>916</v>
      </c>
      <c r="E917">
        <v>6900</v>
      </c>
      <c r="F917" t="s">
        <v>25</v>
      </c>
      <c r="G917">
        <v>12</v>
      </c>
      <c r="H917" t="s">
        <v>68</v>
      </c>
      <c r="I917">
        <v>12</v>
      </c>
      <c r="J917" s="10">
        <f t="shared" si="14"/>
        <v>12</v>
      </c>
    </row>
    <row r="918" spans="1:10" x14ac:dyDescent="0.2">
      <c r="A918" s="6">
        <v>43621</v>
      </c>
      <c r="B918">
        <v>2009</v>
      </c>
      <c r="C918">
        <v>1713</v>
      </c>
      <c r="D918">
        <v>917</v>
      </c>
      <c r="E918">
        <v>8200</v>
      </c>
      <c r="F918" t="s">
        <v>25</v>
      </c>
      <c r="G918">
        <v>3</v>
      </c>
      <c r="H918" t="s">
        <v>68</v>
      </c>
      <c r="I918">
        <v>10</v>
      </c>
      <c r="J918" s="10">
        <f t="shared" si="14"/>
        <v>3</v>
      </c>
    </row>
    <row r="919" spans="1:10" x14ac:dyDescent="0.2">
      <c r="A919" s="6">
        <v>43566</v>
      </c>
      <c r="B919">
        <v>2007</v>
      </c>
      <c r="C919">
        <v>1713</v>
      </c>
      <c r="D919">
        <v>918</v>
      </c>
      <c r="E919">
        <v>8200</v>
      </c>
      <c r="F919" t="s">
        <v>25</v>
      </c>
      <c r="G919">
        <v>6</v>
      </c>
      <c r="H919" t="s">
        <v>68</v>
      </c>
      <c r="I919">
        <v>12</v>
      </c>
      <c r="J919" s="10">
        <f t="shared" si="14"/>
        <v>6</v>
      </c>
    </row>
    <row r="920" spans="1:10" x14ac:dyDescent="0.2">
      <c r="A920" s="6">
        <v>43566</v>
      </c>
      <c r="B920">
        <v>2009</v>
      </c>
      <c r="C920">
        <v>1713</v>
      </c>
      <c r="D920">
        <v>919</v>
      </c>
      <c r="E920">
        <v>8200</v>
      </c>
      <c r="F920" t="s">
        <v>25</v>
      </c>
      <c r="G920">
        <v>4</v>
      </c>
      <c r="H920" t="s">
        <v>68</v>
      </c>
      <c r="I920">
        <v>10</v>
      </c>
      <c r="J920" s="10">
        <f t="shared" si="14"/>
        <v>4</v>
      </c>
    </row>
    <row r="921" spans="1:10" x14ac:dyDescent="0.2">
      <c r="A921" s="6">
        <v>43542</v>
      </c>
      <c r="B921">
        <v>2008</v>
      </c>
      <c r="C921">
        <v>1713</v>
      </c>
      <c r="D921">
        <v>920</v>
      </c>
      <c r="E921">
        <v>7500</v>
      </c>
      <c r="F921" t="s">
        <v>25</v>
      </c>
      <c r="G921">
        <v>12</v>
      </c>
      <c r="H921" t="s">
        <v>68</v>
      </c>
      <c r="I921">
        <v>11</v>
      </c>
      <c r="J921" s="10">
        <f t="shared" si="14"/>
        <v>12</v>
      </c>
    </row>
    <row r="922" spans="1:10" x14ac:dyDescent="0.2">
      <c r="A922" s="6">
        <v>43510</v>
      </c>
      <c r="B922">
        <v>2007</v>
      </c>
      <c r="C922">
        <v>1713</v>
      </c>
      <c r="D922">
        <v>921</v>
      </c>
      <c r="E922">
        <v>7350</v>
      </c>
      <c r="F922" t="s">
        <v>25</v>
      </c>
      <c r="G922">
        <v>6</v>
      </c>
      <c r="H922" t="s">
        <v>68</v>
      </c>
      <c r="I922">
        <v>12</v>
      </c>
      <c r="J922" s="10">
        <f t="shared" si="14"/>
        <v>6</v>
      </c>
    </row>
    <row r="923" spans="1:10" x14ac:dyDescent="0.2">
      <c r="A923" s="6">
        <v>43416</v>
      </c>
      <c r="B923">
        <v>2008</v>
      </c>
      <c r="C923">
        <v>1713</v>
      </c>
      <c r="D923">
        <v>922</v>
      </c>
      <c r="E923">
        <v>7450</v>
      </c>
      <c r="F923" t="s">
        <v>25</v>
      </c>
      <c r="G923">
        <v>6</v>
      </c>
      <c r="H923" t="s">
        <v>68</v>
      </c>
      <c r="I923">
        <v>11</v>
      </c>
      <c r="J923" s="10">
        <f t="shared" si="14"/>
        <v>6</v>
      </c>
    </row>
    <row r="924" spans="1:10" x14ac:dyDescent="0.2">
      <c r="A924" s="6">
        <v>43391</v>
      </c>
      <c r="B924">
        <v>2007</v>
      </c>
      <c r="C924">
        <v>1713</v>
      </c>
      <c r="D924">
        <v>923</v>
      </c>
      <c r="E924">
        <v>9200</v>
      </c>
      <c r="F924" t="s">
        <v>25</v>
      </c>
      <c r="G924">
        <v>6</v>
      </c>
      <c r="H924" t="s">
        <v>68</v>
      </c>
      <c r="I924">
        <v>12</v>
      </c>
      <c r="J924" s="10">
        <f t="shared" si="14"/>
        <v>6</v>
      </c>
    </row>
    <row r="925" spans="1:10" x14ac:dyDescent="0.2">
      <c r="A925" s="6">
        <v>43374</v>
      </c>
      <c r="B925">
        <v>2007</v>
      </c>
      <c r="C925">
        <v>1713</v>
      </c>
      <c r="D925">
        <v>924</v>
      </c>
      <c r="E925">
        <v>8800</v>
      </c>
      <c r="F925" t="s">
        <v>25</v>
      </c>
      <c r="G925">
        <v>6</v>
      </c>
      <c r="H925" t="s">
        <v>68</v>
      </c>
      <c r="I925">
        <v>12</v>
      </c>
      <c r="J925" s="10">
        <f t="shared" si="14"/>
        <v>6</v>
      </c>
    </row>
    <row r="926" spans="1:10" x14ac:dyDescent="0.2">
      <c r="A926" s="6">
        <v>43257</v>
      </c>
      <c r="B926">
        <v>2008</v>
      </c>
      <c r="C926">
        <v>1713</v>
      </c>
      <c r="D926">
        <v>925</v>
      </c>
      <c r="E926">
        <v>10000</v>
      </c>
      <c r="F926" t="s">
        <v>25</v>
      </c>
      <c r="G926">
        <v>6</v>
      </c>
      <c r="H926" t="s">
        <v>68</v>
      </c>
      <c r="I926">
        <v>11</v>
      </c>
      <c r="J926" s="10">
        <f t="shared" si="14"/>
        <v>6</v>
      </c>
    </row>
    <row r="927" spans="1:10" x14ac:dyDescent="0.2">
      <c r="A927" s="6">
        <v>43245</v>
      </c>
      <c r="B927">
        <v>2008</v>
      </c>
      <c r="C927">
        <v>1713</v>
      </c>
      <c r="D927">
        <v>926</v>
      </c>
      <c r="E927">
        <v>11000</v>
      </c>
      <c r="F927" t="s">
        <v>25</v>
      </c>
      <c r="G927">
        <v>8</v>
      </c>
      <c r="H927" t="s">
        <v>68</v>
      </c>
      <c r="I927">
        <v>11</v>
      </c>
      <c r="J927" s="10">
        <f t="shared" si="14"/>
        <v>8</v>
      </c>
    </row>
    <row r="928" spans="1:10" x14ac:dyDescent="0.2">
      <c r="A928" s="6">
        <v>43147</v>
      </c>
      <c r="B928">
        <v>2008</v>
      </c>
      <c r="C928">
        <v>1713</v>
      </c>
      <c r="D928">
        <v>927</v>
      </c>
      <c r="E928">
        <v>9750</v>
      </c>
      <c r="F928" t="s">
        <v>25</v>
      </c>
      <c r="G928">
        <v>3</v>
      </c>
      <c r="H928" t="s">
        <v>69</v>
      </c>
      <c r="I928">
        <v>11</v>
      </c>
      <c r="J928" s="10">
        <f t="shared" si="14"/>
        <v>36</v>
      </c>
    </row>
    <row r="929" spans="1:10" x14ac:dyDescent="0.2">
      <c r="A929" s="6">
        <v>43147</v>
      </c>
      <c r="B929">
        <v>2008</v>
      </c>
      <c r="C929">
        <v>1713</v>
      </c>
      <c r="D929">
        <v>928</v>
      </c>
      <c r="E929">
        <v>9750</v>
      </c>
      <c r="F929" t="s">
        <v>25</v>
      </c>
      <c r="G929">
        <v>3</v>
      </c>
      <c r="H929" t="s">
        <v>69</v>
      </c>
      <c r="I929">
        <v>11</v>
      </c>
      <c r="J929" s="10">
        <f t="shared" si="14"/>
        <v>36</v>
      </c>
    </row>
    <row r="930" spans="1:10" x14ac:dyDescent="0.2">
      <c r="A930" s="6">
        <v>43062</v>
      </c>
      <c r="B930">
        <v>2008</v>
      </c>
      <c r="C930">
        <v>1713</v>
      </c>
      <c r="D930">
        <v>929</v>
      </c>
      <c r="E930">
        <v>8650</v>
      </c>
      <c r="F930" t="s">
        <v>25</v>
      </c>
      <c r="G930">
        <v>7</v>
      </c>
      <c r="H930" t="s">
        <v>68</v>
      </c>
      <c r="I930">
        <v>11</v>
      </c>
      <c r="J930" s="10">
        <f t="shared" si="14"/>
        <v>7</v>
      </c>
    </row>
    <row r="931" spans="1:10" x14ac:dyDescent="0.2">
      <c r="A931" s="6">
        <v>42989</v>
      </c>
      <c r="B931">
        <v>2008</v>
      </c>
      <c r="C931">
        <v>1713</v>
      </c>
      <c r="D931">
        <v>930</v>
      </c>
      <c r="E931">
        <v>7950</v>
      </c>
      <c r="F931" t="s">
        <v>25</v>
      </c>
      <c r="G931">
        <v>9</v>
      </c>
      <c r="H931" t="s">
        <v>68</v>
      </c>
      <c r="I931">
        <v>11</v>
      </c>
      <c r="J931" s="10">
        <f t="shared" si="14"/>
        <v>9</v>
      </c>
    </row>
    <row r="932" spans="1:10" x14ac:dyDescent="0.2">
      <c r="A932" s="6">
        <v>42745</v>
      </c>
      <c r="B932">
        <v>2008</v>
      </c>
      <c r="C932">
        <v>1713</v>
      </c>
      <c r="D932">
        <v>931</v>
      </c>
      <c r="E932">
        <v>6750</v>
      </c>
      <c r="F932" t="s">
        <v>25</v>
      </c>
      <c r="G932">
        <v>90</v>
      </c>
      <c r="H932" t="s">
        <v>26</v>
      </c>
      <c r="I932">
        <v>11</v>
      </c>
      <c r="J932" s="10">
        <f t="shared" si="14"/>
        <v>3</v>
      </c>
    </row>
    <row r="933" spans="1:10" x14ac:dyDescent="0.2">
      <c r="A933" s="6">
        <v>42689</v>
      </c>
      <c r="B933">
        <v>2008</v>
      </c>
      <c r="C933">
        <v>1713</v>
      </c>
      <c r="D933">
        <v>932</v>
      </c>
      <c r="E933">
        <v>6750</v>
      </c>
      <c r="F933" t="s">
        <v>25</v>
      </c>
      <c r="G933">
        <v>12</v>
      </c>
      <c r="H933" t="s">
        <v>68</v>
      </c>
      <c r="I933">
        <v>11</v>
      </c>
      <c r="J933" s="10">
        <f t="shared" si="14"/>
        <v>12</v>
      </c>
    </row>
    <row r="934" spans="1:10" x14ac:dyDescent="0.2">
      <c r="A934" s="6">
        <v>42650</v>
      </c>
      <c r="B934">
        <v>2008</v>
      </c>
      <c r="C934">
        <v>1713</v>
      </c>
      <c r="D934">
        <v>933</v>
      </c>
      <c r="E934">
        <v>6750</v>
      </c>
      <c r="F934" t="s">
        <v>25</v>
      </c>
      <c r="G934">
        <v>12</v>
      </c>
      <c r="H934" t="s">
        <v>68</v>
      </c>
      <c r="I934">
        <v>11</v>
      </c>
      <c r="J934" s="10">
        <f t="shared" si="14"/>
        <v>12</v>
      </c>
    </row>
    <row r="935" spans="1:10" x14ac:dyDescent="0.2">
      <c r="A935" s="6">
        <v>42607</v>
      </c>
      <c r="B935">
        <v>2008</v>
      </c>
      <c r="C935">
        <v>1713</v>
      </c>
      <c r="D935">
        <v>934</v>
      </c>
      <c r="E935">
        <v>6900</v>
      </c>
      <c r="F935" t="s">
        <v>25</v>
      </c>
      <c r="G935">
        <v>7</v>
      </c>
      <c r="H935" t="s">
        <v>68</v>
      </c>
      <c r="I935">
        <v>11</v>
      </c>
      <c r="J935" s="10">
        <f t="shared" si="14"/>
        <v>7</v>
      </c>
    </row>
    <row r="936" spans="1:10" x14ac:dyDescent="0.2">
      <c r="A936" s="6">
        <v>42425</v>
      </c>
      <c r="B936">
        <v>2008</v>
      </c>
      <c r="C936">
        <v>1713</v>
      </c>
      <c r="D936">
        <v>935</v>
      </c>
      <c r="E936">
        <v>7950</v>
      </c>
      <c r="F936" t="s">
        <v>25</v>
      </c>
      <c r="G936">
        <v>7</v>
      </c>
      <c r="H936" t="s">
        <v>68</v>
      </c>
      <c r="I936">
        <v>11</v>
      </c>
      <c r="J936" s="10">
        <f t="shared" si="14"/>
        <v>7</v>
      </c>
    </row>
    <row r="937" spans="1:10" x14ac:dyDescent="0.2">
      <c r="A937" s="6">
        <v>42423</v>
      </c>
      <c r="B937">
        <v>2008</v>
      </c>
      <c r="C937">
        <v>1713</v>
      </c>
      <c r="D937">
        <v>936</v>
      </c>
      <c r="E937">
        <v>7000</v>
      </c>
      <c r="F937" t="s">
        <v>25</v>
      </c>
      <c r="G937">
        <v>12</v>
      </c>
      <c r="H937" t="s">
        <v>68</v>
      </c>
      <c r="I937">
        <v>11</v>
      </c>
      <c r="J937" s="10">
        <f t="shared" si="14"/>
        <v>12</v>
      </c>
    </row>
    <row r="938" spans="1:10" x14ac:dyDescent="0.2">
      <c r="A938" s="6">
        <v>42830</v>
      </c>
      <c r="B938">
        <v>2008</v>
      </c>
      <c r="C938">
        <v>1730</v>
      </c>
      <c r="D938">
        <v>937</v>
      </c>
      <c r="E938">
        <v>6700</v>
      </c>
      <c r="F938" t="s">
        <v>25</v>
      </c>
      <c r="G938">
        <v>6</v>
      </c>
      <c r="H938" t="s">
        <v>68</v>
      </c>
      <c r="I938">
        <v>11</v>
      </c>
      <c r="J938" s="10">
        <f t="shared" si="14"/>
        <v>6</v>
      </c>
    </row>
    <row r="939" spans="1:10" x14ac:dyDescent="0.2">
      <c r="A939" s="6">
        <v>42819</v>
      </c>
      <c r="B939">
        <v>2009</v>
      </c>
      <c r="C939">
        <v>1730</v>
      </c>
      <c r="D939">
        <v>938</v>
      </c>
      <c r="E939">
        <v>6750</v>
      </c>
      <c r="F939" t="s">
        <v>25</v>
      </c>
      <c r="G939">
        <v>12</v>
      </c>
      <c r="H939" t="s">
        <v>68</v>
      </c>
      <c r="I939">
        <v>10</v>
      </c>
      <c r="J939" s="10">
        <f t="shared" si="14"/>
        <v>12</v>
      </c>
    </row>
    <row r="940" spans="1:10" x14ac:dyDescent="0.2">
      <c r="A940" s="6">
        <v>42440</v>
      </c>
      <c r="B940">
        <v>2009</v>
      </c>
      <c r="C940">
        <v>1730</v>
      </c>
      <c r="D940">
        <v>939</v>
      </c>
      <c r="E940">
        <v>8500</v>
      </c>
      <c r="F940" t="s">
        <v>25</v>
      </c>
      <c r="G940">
        <v>12</v>
      </c>
      <c r="H940" t="s">
        <v>68</v>
      </c>
      <c r="I940">
        <v>10</v>
      </c>
      <c r="J940" s="10">
        <f t="shared" si="14"/>
        <v>12</v>
      </c>
    </row>
    <row r="941" spans="1:10" x14ac:dyDescent="0.2">
      <c r="A941" s="6">
        <v>42440</v>
      </c>
      <c r="B941">
        <v>2009</v>
      </c>
      <c r="C941">
        <v>1730</v>
      </c>
      <c r="D941">
        <v>940</v>
      </c>
      <c r="E941">
        <v>8500</v>
      </c>
      <c r="F941" t="s">
        <v>25</v>
      </c>
      <c r="G941">
        <v>12</v>
      </c>
      <c r="H941" t="s">
        <v>68</v>
      </c>
      <c r="I941">
        <v>10</v>
      </c>
      <c r="J941" s="10">
        <f t="shared" si="14"/>
        <v>12</v>
      </c>
    </row>
    <row r="942" spans="1:10" x14ac:dyDescent="0.2">
      <c r="A942" s="6">
        <v>43633</v>
      </c>
      <c r="B942">
        <v>2007</v>
      </c>
      <c r="C942">
        <v>1732</v>
      </c>
      <c r="D942">
        <v>941</v>
      </c>
      <c r="E942">
        <v>9500</v>
      </c>
      <c r="F942" t="s">
        <v>25</v>
      </c>
      <c r="G942">
        <v>11</v>
      </c>
      <c r="H942" t="s">
        <v>68</v>
      </c>
      <c r="I942">
        <v>12</v>
      </c>
      <c r="J942" s="10">
        <f t="shared" si="14"/>
        <v>11</v>
      </c>
    </row>
    <row r="943" spans="1:10" x14ac:dyDescent="0.2">
      <c r="A943" s="6">
        <v>43613</v>
      </c>
      <c r="B943">
        <v>2010</v>
      </c>
      <c r="C943">
        <v>1732</v>
      </c>
      <c r="D943">
        <v>942</v>
      </c>
      <c r="E943">
        <v>8050</v>
      </c>
      <c r="F943" t="s">
        <v>25</v>
      </c>
      <c r="G943">
        <v>6</v>
      </c>
      <c r="H943" t="s">
        <v>68</v>
      </c>
      <c r="I943">
        <v>9</v>
      </c>
      <c r="J943" s="10">
        <f t="shared" si="14"/>
        <v>6</v>
      </c>
    </row>
    <row r="944" spans="1:10" x14ac:dyDescent="0.2">
      <c r="A944" s="6">
        <v>43543</v>
      </c>
      <c r="B944">
        <v>2007</v>
      </c>
      <c r="C944">
        <v>1732</v>
      </c>
      <c r="D944">
        <v>943</v>
      </c>
      <c r="E944">
        <v>7000</v>
      </c>
      <c r="F944" t="s">
        <v>25</v>
      </c>
      <c r="G944">
        <v>4</v>
      </c>
      <c r="H944" t="s">
        <v>68</v>
      </c>
      <c r="I944">
        <v>12</v>
      </c>
      <c r="J944" s="10">
        <f t="shared" si="14"/>
        <v>4</v>
      </c>
    </row>
    <row r="945" spans="1:10" x14ac:dyDescent="0.2">
      <c r="A945" s="6">
        <v>43528</v>
      </c>
      <c r="B945">
        <v>2006</v>
      </c>
      <c r="C945">
        <v>1732</v>
      </c>
      <c r="D945">
        <v>944</v>
      </c>
      <c r="E945">
        <v>7900</v>
      </c>
      <c r="F945" t="s">
        <v>25</v>
      </c>
      <c r="G945">
        <v>8</v>
      </c>
      <c r="H945" t="s">
        <v>68</v>
      </c>
      <c r="I945">
        <v>13</v>
      </c>
      <c r="J945" s="10">
        <f t="shared" si="14"/>
        <v>8</v>
      </c>
    </row>
    <row r="946" spans="1:10" x14ac:dyDescent="0.2">
      <c r="A946" s="6">
        <v>43525</v>
      </c>
      <c r="B946">
        <v>2010</v>
      </c>
      <c r="C946">
        <v>1732</v>
      </c>
      <c r="D946">
        <v>945</v>
      </c>
      <c r="E946">
        <v>7000</v>
      </c>
      <c r="F946" t="s">
        <v>25</v>
      </c>
      <c r="G946">
        <v>6</v>
      </c>
      <c r="H946" t="s">
        <v>68</v>
      </c>
      <c r="I946">
        <v>9</v>
      </c>
      <c r="J946" s="10">
        <f t="shared" si="14"/>
        <v>6</v>
      </c>
    </row>
    <row r="947" spans="1:10" x14ac:dyDescent="0.2">
      <c r="A947" s="6">
        <v>43501</v>
      </c>
      <c r="B947">
        <v>2010</v>
      </c>
      <c r="C947">
        <v>1732</v>
      </c>
      <c r="D947">
        <v>946</v>
      </c>
      <c r="E947">
        <v>7000</v>
      </c>
      <c r="F947" t="s">
        <v>25</v>
      </c>
      <c r="G947">
        <v>4</v>
      </c>
      <c r="H947" t="s">
        <v>68</v>
      </c>
      <c r="I947">
        <v>9</v>
      </c>
      <c r="J947" s="10">
        <f t="shared" si="14"/>
        <v>4</v>
      </c>
    </row>
    <row r="948" spans="1:10" x14ac:dyDescent="0.2">
      <c r="A948" s="6">
        <v>43501</v>
      </c>
      <c r="B948">
        <v>2006</v>
      </c>
      <c r="C948">
        <v>1732</v>
      </c>
      <c r="D948">
        <v>947</v>
      </c>
      <c r="E948">
        <v>7000</v>
      </c>
      <c r="F948" t="s">
        <v>25</v>
      </c>
      <c r="G948">
        <v>13</v>
      </c>
      <c r="H948" t="s">
        <v>68</v>
      </c>
      <c r="I948">
        <v>13</v>
      </c>
      <c r="J948" s="10">
        <f t="shared" si="14"/>
        <v>13</v>
      </c>
    </row>
    <row r="949" spans="1:10" x14ac:dyDescent="0.2">
      <c r="A949" s="6">
        <v>43497</v>
      </c>
      <c r="B949">
        <v>2006</v>
      </c>
      <c r="C949">
        <v>1732</v>
      </c>
      <c r="D949">
        <v>948</v>
      </c>
      <c r="E949">
        <v>6900</v>
      </c>
      <c r="F949" t="s">
        <v>25</v>
      </c>
      <c r="G949">
        <v>5</v>
      </c>
      <c r="H949" t="s">
        <v>68</v>
      </c>
      <c r="I949">
        <v>13</v>
      </c>
      <c r="J949" s="10">
        <f t="shared" si="14"/>
        <v>5</v>
      </c>
    </row>
    <row r="950" spans="1:10" x14ac:dyDescent="0.2">
      <c r="A950" s="6">
        <v>43497</v>
      </c>
      <c r="B950">
        <v>2007</v>
      </c>
      <c r="C950">
        <v>1732</v>
      </c>
      <c r="D950">
        <v>949</v>
      </c>
      <c r="E950">
        <v>8000</v>
      </c>
      <c r="F950" t="s">
        <v>25</v>
      </c>
      <c r="G950">
        <v>8</v>
      </c>
      <c r="H950" t="s">
        <v>68</v>
      </c>
      <c r="I950">
        <v>12</v>
      </c>
      <c r="J950" s="10">
        <f t="shared" si="14"/>
        <v>8</v>
      </c>
    </row>
    <row r="951" spans="1:10" x14ac:dyDescent="0.2">
      <c r="A951" s="6">
        <v>43494</v>
      </c>
      <c r="B951">
        <v>2010</v>
      </c>
      <c r="C951">
        <v>1732</v>
      </c>
      <c r="D951">
        <v>950</v>
      </c>
      <c r="E951">
        <v>6950</v>
      </c>
      <c r="F951" t="s">
        <v>25</v>
      </c>
      <c r="G951">
        <v>3</v>
      </c>
      <c r="H951" t="s">
        <v>68</v>
      </c>
      <c r="I951">
        <v>9</v>
      </c>
      <c r="J951" s="10">
        <f t="shared" si="14"/>
        <v>3</v>
      </c>
    </row>
    <row r="952" spans="1:10" x14ac:dyDescent="0.2">
      <c r="A952" s="6">
        <v>43469</v>
      </c>
      <c r="B952">
        <v>2007</v>
      </c>
      <c r="C952">
        <v>1732</v>
      </c>
      <c r="D952">
        <v>951</v>
      </c>
      <c r="E952">
        <v>8000</v>
      </c>
      <c r="F952" t="s">
        <v>25</v>
      </c>
      <c r="G952">
        <v>5</v>
      </c>
      <c r="H952" t="s">
        <v>68</v>
      </c>
      <c r="I952">
        <v>12</v>
      </c>
      <c r="J952" s="10">
        <f t="shared" si="14"/>
        <v>5</v>
      </c>
    </row>
    <row r="953" spans="1:10" x14ac:dyDescent="0.2">
      <c r="A953" s="6">
        <v>43458</v>
      </c>
      <c r="B953">
        <v>2006</v>
      </c>
      <c r="C953">
        <v>1732</v>
      </c>
      <c r="D953">
        <v>952</v>
      </c>
      <c r="E953">
        <v>7200</v>
      </c>
      <c r="F953" t="s">
        <v>25</v>
      </c>
      <c r="G953">
        <v>42</v>
      </c>
      <c r="H953" t="s">
        <v>26</v>
      </c>
      <c r="I953">
        <v>13</v>
      </c>
      <c r="J953" s="10">
        <f t="shared" si="14"/>
        <v>1</v>
      </c>
    </row>
    <row r="954" spans="1:10" x14ac:dyDescent="0.2">
      <c r="A954" s="6">
        <v>43437</v>
      </c>
      <c r="B954">
        <v>2006</v>
      </c>
      <c r="C954">
        <v>1732</v>
      </c>
      <c r="D954">
        <v>953</v>
      </c>
      <c r="E954">
        <v>7000</v>
      </c>
      <c r="F954" t="s">
        <v>25</v>
      </c>
      <c r="G954">
        <v>2</v>
      </c>
      <c r="H954" t="s">
        <v>68</v>
      </c>
      <c r="I954">
        <v>13</v>
      </c>
      <c r="J954" s="10">
        <f t="shared" si="14"/>
        <v>2</v>
      </c>
    </row>
    <row r="955" spans="1:10" x14ac:dyDescent="0.2">
      <c r="A955" s="6">
        <v>43391</v>
      </c>
      <c r="B955">
        <v>2007</v>
      </c>
      <c r="C955">
        <v>1732</v>
      </c>
      <c r="D955">
        <v>954</v>
      </c>
      <c r="E955">
        <v>8800</v>
      </c>
      <c r="F955" t="s">
        <v>25</v>
      </c>
      <c r="G955">
        <v>6</v>
      </c>
      <c r="H955" t="s">
        <v>68</v>
      </c>
      <c r="I955">
        <v>12</v>
      </c>
      <c r="J955" s="10">
        <f t="shared" si="14"/>
        <v>6</v>
      </c>
    </row>
    <row r="956" spans="1:10" x14ac:dyDescent="0.2">
      <c r="A956" s="6">
        <v>43389</v>
      </c>
      <c r="B956">
        <v>2006</v>
      </c>
      <c r="C956">
        <v>1732</v>
      </c>
      <c r="D956">
        <v>955</v>
      </c>
      <c r="E956">
        <v>8500</v>
      </c>
      <c r="F956" t="s">
        <v>25</v>
      </c>
      <c r="G956">
        <v>2</v>
      </c>
      <c r="H956" t="s">
        <v>68</v>
      </c>
      <c r="I956">
        <v>13</v>
      </c>
      <c r="J956" s="10">
        <f t="shared" si="14"/>
        <v>2</v>
      </c>
    </row>
    <row r="957" spans="1:10" x14ac:dyDescent="0.2">
      <c r="A957" s="6">
        <v>43388</v>
      </c>
      <c r="B957">
        <v>2006</v>
      </c>
      <c r="C957">
        <v>1732</v>
      </c>
      <c r="D957">
        <v>956</v>
      </c>
      <c r="E957">
        <v>8500</v>
      </c>
      <c r="F957" t="s">
        <v>25</v>
      </c>
      <c r="G957">
        <v>42</v>
      </c>
      <c r="H957" t="s">
        <v>26</v>
      </c>
      <c r="I957">
        <v>13</v>
      </c>
      <c r="J957" s="10">
        <f t="shared" si="14"/>
        <v>1</v>
      </c>
    </row>
    <row r="958" spans="1:10" x14ac:dyDescent="0.2">
      <c r="A958" s="6">
        <v>43385</v>
      </c>
      <c r="B958">
        <v>2010</v>
      </c>
      <c r="C958">
        <v>1732</v>
      </c>
      <c r="D958">
        <v>957</v>
      </c>
      <c r="E958">
        <v>9500</v>
      </c>
      <c r="F958" t="s">
        <v>25</v>
      </c>
      <c r="G958">
        <v>6</v>
      </c>
      <c r="H958" t="s">
        <v>68</v>
      </c>
      <c r="I958">
        <v>9</v>
      </c>
      <c r="J958" s="10">
        <f t="shared" si="14"/>
        <v>6</v>
      </c>
    </row>
    <row r="959" spans="1:10" x14ac:dyDescent="0.2">
      <c r="A959" s="6">
        <v>43370</v>
      </c>
      <c r="B959">
        <v>2006</v>
      </c>
      <c r="C959">
        <v>1732</v>
      </c>
      <c r="D959">
        <v>958</v>
      </c>
      <c r="E959">
        <v>9850</v>
      </c>
      <c r="F959" t="s">
        <v>25</v>
      </c>
      <c r="G959">
        <v>7</v>
      </c>
      <c r="H959" t="s">
        <v>68</v>
      </c>
      <c r="I959">
        <v>13</v>
      </c>
      <c r="J959" s="10">
        <f t="shared" si="14"/>
        <v>7</v>
      </c>
    </row>
    <row r="960" spans="1:10" x14ac:dyDescent="0.2">
      <c r="A960" s="6">
        <v>43370</v>
      </c>
      <c r="B960">
        <v>2007</v>
      </c>
      <c r="C960">
        <v>1732</v>
      </c>
      <c r="D960">
        <v>959</v>
      </c>
      <c r="E960">
        <v>9500</v>
      </c>
      <c r="F960" t="s">
        <v>25</v>
      </c>
      <c r="G960">
        <v>2</v>
      </c>
      <c r="H960" t="s">
        <v>68</v>
      </c>
      <c r="I960">
        <v>12</v>
      </c>
      <c r="J960" s="10">
        <f t="shared" si="14"/>
        <v>2</v>
      </c>
    </row>
    <row r="961" spans="1:10" x14ac:dyDescent="0.2">
      <c r="A961" s="6">
        <v>43329</v>
      </c>
      <c r="B961">
        <v>2006</v>
      </c>
      <c r="C961">
        <v>1732</v>
      </c>
      <c r="D961">
        <v>960</v>
      </c>
      <c r="E961">
        <v>9450</v>
      </c>
      <c r="F961" t="s">
        <v>25</v>
      </c>
      <c r="G961">
        <v>42</v>
      </c>
      <c r="H961" t="s">
        <v>26</v>
      </c>
      <c r="I961">
        <v>13</v>
      </c>
      <c r="J961" s="10">
        <f t="shared" si="14"/>
        <v>1</v>
      </c>
    </row>
    <row r="962" spans="1:10" x14ac:dyDescent="0.2">
      <c r="A962" s="6">
        <v>43298</v>
      </c>
      <c r="B962">
        <v>2010</v>
      </c>
      <c r="C962">
        <v>1732</v>
      </c>
      <c r="D962">
        <v>961</v>
      </c>
      <c r="E962">
        <v>10500</v>
      </c>
      <c r="F962" t="s">
        <v>25</v>
      </c>
      <c r="G962">
        <v>4</v>
      </c>
      <c r="H962" t="s">
        <v>68</v>
      </c>
      <c r="I962">
        <v>9</v>
      </c>
      <c r="J962" s="10">
        <f t="shared" ref="J962:J1025" si="15">IF(H962="days",ROUND(G962/30,0),IF(H962="years",G962*12,G962))</f>
        <v>4</v>
      </c>
    </row>
    <row r="963" spans="1:10" x14ac:dyDescent="0.2">
      <c r="A963" s="6">
        <v>43285</v>
      </c>
      <c r="B963">
        <v>2007</v>
      </c>
      <c r="C963">
        <v>1732</v>
      </c>
      <c r="D963">
        <v>962</v>
      </c>
      <c r="E963">
        <v>11000</v>
      </c>
      <c r="F963" t="s">
        <v>25</v>
      </c>
      <c r="G963">
        <v>9</v>
      </c>
      <c r="H963" t="s">
        <v>68</v>
      </c>
      <c r="I963">
        <v>12</v>
      </c>
      <c r="J963" s="10">
        <f t="shared" si="15"/>
        <v>9</v>
      </c>
    </row>
    <row r="964" spans="1:10" x14ac:dyDescent="0.2">
      <c r="A964" s="6">
        <v>43266</v>
      </c>
      <c r="B964">
        <v>2007</v>
      </c>
      <c r="C964">
        <v>1732</v>
      </c>
      <c r="D964">
        <v>963</v>
      </c>
      <c r="E964">
        <v>10700</v>
      </c>
      <c r="F964" t="s">
        <v>25</v>
      </c>
      <c r="G964">
        <v>5</v>
      </c>
      <c r="H964" t="s">
        <v>68</v>
      </c>
      <c r="I964">
        <v>12</v>
      </c>
      <c r="J964" s="10">
        <f t="shared" si="15"/>
        <v>5</v>
      </c>
    </row>
    <row r="965" spans="1:10" x14ac:dyDescent="0.2">
      <c r="A965" s="6">
        <v>43251</v>
      </c>
      <c r="B965">
        <v>2006</v>
      </c>
      <c r="C965">
        <v>1732</v>
      </c>
      <c r="D965">
        <v>964</v>
      </c>
      <c r="E965">
        <v>11250</v>
      </c>
      <c r="F965" t="s">
        <v>25</v>
      </c>
      <c r="G965">
        <v>5</v>
      </c>
      <c r="H965" t="s">
        <v>68</v>
      </c>
      <c r="I965">
        <v>13</v>
      </c>
      <c r="J965" s="10">
        <f t="shared" si="15"/>
        <v>5</v>
      </c>
    </row>
    <row r="966" spans="1:10" x14ac:dyDescent="0.2">
      <c r="A966" s="6">
        <v>43203</v>
      </c>
      <c r="B966">
        <v>2006</v>
      </c>
      <c r="C966">
        <v>1732</v>
      </c>
      <c r="D966">
        <v>965</v>
      </c>
      <c r="E966">
        <v>11000</v>
      </c>
      <c r="F966" t="s">
        <v>25</v>
      </c>
      <c r="G966">
        <v>5</v>
      </c>
      <c r="H966" t="s">
        <v>68</v>
      </c>
      <c r="I966">
        <v>13</v>
      </c>
      <c r="J966" s="10">
        <f t="shared" si="15"/>
        <v>5</v>
      </c>
    </row>
    <row r="967" spans="1:10" x14ac:dyDescent="0.2">
      <c r="A967" s="6">
        <v>43188</v>
      </c>
      <c r="B967">
        <v>2007</v>
      </c>
      <c r="C967">
        <v>1732</v>
      </c>
      <c r="D967">
        <v>966</v>
      </c>
      <c r="E967">
        <v>10800</v>
      </c>
      <c r="F967" t="s">
        <v>25</v>
      </c>
      <c r="G967">
        <v>6</v>
      </c>
      <c r="H967" t="s">
        <v>68</v>
      </c>
      <c r="I967">
        <v>12</v>
      </c>
      <c r="J967" s="10">
        <f t="shared" si="15"/>
        <v>6</v>
      </c>
    </row>
    <row r="968" spans="1:10" x14ac:dyDescent="0.2">
      <c r="A968" s="6">
        <v>43108</v>
      </c>
      <c r="B968">
        <v>2007</v>
      </c>
      <c r="C968">
        <v>1732</v>
      </c>
      <c r="D968">
        <v>967</v>
      </c>
      <c r="E968">
        <v>9000</v>
      </c>
      <c r="F968" t="s">
        <v>25</v>
      </c>
      <c r="G968">
        <v>6</v>
      </c>
      <c r="H968" t="s">
        <v>68</v>
      </c>
      <c r="I968">
        <v>12</v>
      </c>
      <c r="J968" s="10">
        <f t="shared" si="15"/>
        <v>6</v>
      </c>
    </row>
    <row r="969" spans="1:10" x14ac:dyDescent="0.2">
      <c r="A969" s="6">
        <v>43077</v>
      </c>
      <c r="B969">
        <v>2007</v>
      </c>
      <c r="C969">
        <v>1732</v>
      </c>
      <c r="D969">
        <v>968</v>
      </c>
      <c r="E969">
        <v>9000</v>
      </c>
      <c r="F969" t="s">
        <v>25</v>
      </c>
      <c r="G969">
        <v>4</v>
      </c>
      <c r="H969" t="s">
        <v>68</v>
      </c>
      <c r="I969">
        <v>12</v>
      </c>
      <c r="J969" s="10">
        <f t="shared" si="15"/>
        <v>4</v>
      </c>
    </row>
    <row r="970" spans="1:10" x14ac:dyDescent="0.2">
      <c r="A970" s="6">
        <v>43067</v>
      </c>
      <c r="B970">
        <v>2007</v>
      </c>
      <c r="C970">
        <v>1732</v>
      </c>
      <c r="D970">
        <v>969</v>
      </c>
      <c r="E970">
        <v>8250</v>
      </c>
      <c r="F970" t="s">
        <v>25</v>
      </c>
      <c r="G970">
        <v>3</v>
      </c>
      <c r="H970" t="s">
        <v>68</v>
      </c>
      <c r="I970">
        <v>12</v>
      </c>
      <c r="J970" s="10">
        <f t="shared" si="15"/>
        <v>3</v>
      </c>
    </row>
    <row r="971" spans="1:10" x14ac:dyDescent="0.2">
      <c r="A971" s="6">
        <v>43062</v>
      </c>
      <c r="B971">
        <v>2006</v>
      </c>
      <c r="C971">
        <v>1732</v>
      </c>
      <c r="D971">
        <v>970</v>
      </c>
      <c r="E971">
        <v>8600</v>
      </c>
      <c r="F971" t="s">
        <v>25</v>
      </c>
      <c r="G971">
        <v>6</v>
      </c>
      <c r="H971" t="s">
        <v>68</v>
      </c>
      <c r="I971">
        <v>13</v>
      </c>
      <c r="J971" s="10">
        <f t="shared" si="15"/>
        <v>6</v>
      </c>
    </row>
    <row r="972" spans="1:10" x14ac:dyDescent="0.2">
      <c r="A972" s="6">
        <v>43052</v>
      </c>
      <c r="B972">
        <v>2007</v>
      </c>
      <c r="C972">
        <v>1732</v>
      </c>
      <c r="D972">
        <v>971</v>
      </c>
      <c r="E972">
        <v>8100</v>
      </c>
      <c r="F972" t="s">
        <v>25</v>
      </c>
      <c r="G972">
        <v>7</v>
      </c>
      <c r="H972" t="s">
        <v>68</v>
      </c>
      <c r="I972">
        <v>12</v>
      </c>
      <c r="J972" s="10">
        <f t="shared" si="15"/>
        <v>7</v>
      </c>
    </row>
    <row r="973" spans="1:10" x14ac:dyDescent="0.2">
      <c r="A973" s="6">
        <v>43038</v>
      </c>
      <c r="B973">
        <v>2006</v>
      </c>
      <c r="C973">
        <v>1732</v>
      </c>
      <c r="D973">
        <v>972</v>
      </c>
      <c r="E973">
        <v>8050</v>
      </c>
      <c r="F973" t="s">
        <v>25</v>
      </c>
      <c r="G973">
        <v>5</v>
      </c>
      <c r="H973" t="s">
        <v>68</v>
      </c>
      <c r="I973">
        <v>13</v>
      </c>
      <c r="J973" s="10">
        <f t="shared" si="15"/>
        <v>5</v>
      </c>
    </row>
    <row r="974" spans="1:10" x14ac:dyDescent="0.2">
      <c r="A974" s="6">
        <v>42992</v>
      </c>
      <c r="B974">
        <v>2010</v>
      </c>
      <c r="C974">
        <v>1732</v>
      </c>
      <c r="D974">
        <v>973</v>
      </c>
      <c r="E974">
        <v>7650</v>
      </c>
      <c r="F974" t="s">
        <v>25</v>
      </c>
      <c r="G974">
        <v>8</v>
      </c>
      <c r="H974" t="s">
        <v>68</v>
      </c>
      <c r="I974">
        <v>9</v>
      </c>
      <c r="J974" s="10">
        <f t="shared" si="15"/>
        <v>8</v>
      </c>
    </row>
    <row r="975" spans="1:10" x14ac:dyDescent="0.2">
      <c r="A975" s="6">
        <v>42961</v>
      </c>
      <c r="B975">
        <v>2007</v>
      </c>
      <c r="C975">
        <v>1732</v>
      </c>
      <c r="D975">
        <v>974</v>
      </c>
      <c r="E975">
        <v>7500</v>
      </c>
      <c r="F975" t="s">
        <v>25</v>
      </c>
      <c r="G975">
        <v>3</v>
      </c>
      <c r="H975" t="s">
        <v>68</v>
      </c>
      <c r="I975">
        <v>12</v>
      </c>
      <c r="J975" s="10">
        <f t="shared" si="15"/>
        <v>3</v>
      </c>
    </row>
    <row r="976" spans="1:10" x14ac:dyDescent="0.2">
      <c r="A976" s="6">
        <v>42952</v>
      </c>
      <c r="B976">
        <v>2007</v>
      </c>
      <c r="C976">
        <v>1732</v>
      </c>
      <c r="D976">
        <v>975</v>
      </c>
      <c r="E976">
        <v>7200</v>
      </c>
      <c r="F976" t="s">
        <v>25</v>
      </c>
      <c r="G976">
        <v>4</v>
      </c>
      <c r="H976" t="s">
        <v>68</v>
      </c>
      <c r="I976">
        <v>12</v>
      </c>
      <c r="J976" s="10">
        <f t="shared" si="15"/>
        <v>4</v>
      </c>
    </row>
    <row r="977" spans="1:10" x14ac:dyDescent="0.2">
      <c r="A977" s="6">
        <v>42950</v>
      </c>
      <c r="B977">
        <v>2007</v>
      </c>
      <c r="C977">
        <v>1732</v>
      </c>
      <c r="D977">
        <v>976</v>
      </c>
      <c r="E977">
        <v>7950</v>
      </c>
      <c r="F977" t="s">
        <v>25</v>
      </c>
      <c r="G977">
        <v>4</v>
      </c>
      <c r="H977" t="s">
        <v>68</v>
      </c>
      <c r="I977">
        <v>12</v>
      </c>
      <c r="J977" s="10">
        <f t="shared" si="15"/>
        <v>4</v>
      </c>
    </row>
    <row r="978" spans="1:10" x14ac:dyDescent="0.2">
      <c r="A978" s="6">
        <v>42946</v>
      </c>
      <c r="B978">
        <v>2006</v>
      </c>
      <c r="C978">
        <v>1732</v>
      </c>
      <c r="D978">
        <v>977</v>
      </c>
      <c r="E978">
        <v>7450</v>
      </c>
      <c r="F978" t="s">
        <v>25</v>
      </c>
      <c r="G978">
        <v>4</v>
      </c>
      <c r="H978" t="s">
        <v>68</v>
      </c>
      <c r="I978">
        <v>13</v>
      </c>
      <c r="J978" s="10">
        <f t="shared" si="15"/>
        <v>4</v>
      </c>
    </row>
    <row r="979" spans="1:10" x14ac:dyDescent="0.2">
      <c r="A979" s="6">
        <v>42942</v>
      </c>
      <c r="B979">
        <v>2006</v>
      </c>
      <c r="C979">
        <v>1732</v>
      </c>
      <c r="D979">
        <v>978</v>
      </c>
      <c r="E979">
        <v>7200</v>
      </c>
      <c r="F979" t="s">
        <v>25</v>
      </c>
      <c r="G979">
        <v>3</v>
      </c>
      <c r="H979" t="s">
        <v>68</v>
      </c>
      <c r="I979">
        <v>13</v>
      </c>
      <c r="J979" s="10">
        <f t="shared" si="15"/>
        <v>3</v>
      </c>
    </row>
    <row r="980" spans="1:10" x14ac:dyDescent="0.2">
      <c r="A980" s="6">
        <v>42922</v>
      </c>
      <c r="B980">
        <v>2007</v>
      </c>
      <c r="C980">
        <v>1732</v>
      </c>
      <c r="D980">
        <v>979</v>
      </c>
      <c r="E980">
        <v>7250</v>
      </c>
      <c r="F980" t="s">
        <v>25</v>
      </c>
      <c r="G980">
        <v>2</v>
      </c>
      <c r="H980" t="s">
        <v>68</v>
      </c>
      <c r="I980">
        <v>12</v>
      </c>
      <c r="J980" s="10">
        <f t="shared" si="15"/>
        <v>2</v>
      </c>
    </row>
    <row r="981" spans="1:10" x14ac:dyDescent="0.2">
      <c r="A981" s="6">
        <v>42888</v>
      </c>
      <c r="B981">
        <v>2010</v>
      </c>
      <c r="C981">
        <v>1732</v>
      </c>
      <c r="D981">
        <v>980</v>
      </c>
      <c r="E981">
        <v>7500</v>
      </c>
      <c r="F981" t="s">
        <v>25</v>
      </c>
      <c r="G981">
        <v>10</v>
      </c>
      <c r="H981" t="s">
        <v>68</v>
      </c>
      <c r="I981">
        <v>9</v>
      </c>
      <c r="J981" s="10">
        <f t="shared" si="15"/>
        <v>10</v>
      </c>
    </row>
    <row r="982" spans="1:10" x14ac:dyDescent="0.2">
      <c r="A982" s="6">
        <v>42830</v>
      </c>
      <c r="B982">
        <v>2007</v>
      </c>
      <c r="C982">
        <v>1732</v>
      </c>
      <c r="D982">
        <v>981</v>
      </c>
      <c r="E982">
        <v>6750</v>
      </c>
      <c r="F982" t="s">
        <v>25</v>
      </c>
      <c r="G982">
        <v>4</v>
      </c>
      <c r="H982" t="s">
        <v>68</v>
      </c>
      <c r="I982">
        <v>12</v>
      </c>
      <c r="J982" s="10">
        <f t="shared" si="15"/>
        <v>4</v>
      </c>
    </row>
    <row r="983" spans="1:10" x14ac:dyDescent="0.2">
      <c r="A983" s="6">
        <v>42830</v>
      </c>
      <c r="B983">
        <v>2006</v>
      </c>
      <c r="C983">
        <v>1732</v>
      </c>
      <c r="D983">
        <v>982</v>
      </c>
      <c r="E983">
        <v>6600</v>
      </c>
      <c r="F983" t="s">
        <v>25</v>
      </c>
      <c r="G983">
        <v>4</v>
      </c>
      <c r="H983" t="s">
        <v>68</v>
      </c>
      <c r="I983">
        <v>13</v>
      </c>
      <c r="J983" s="10">
        <f t="shared" si="15"/>
        <v>4</v>
      </c>
    </row>
    <row r="984" spans="1:10" x14ac:dyDescent="0.2">
      <c r="A984" s="6">
        <v>42796</v>
      </c>
      <c r="B984">
        <v>2007</v>
      </c>
      <c r="C984">
        <v>1732</v>
      </c>
      <c r="D984">
        <v>983</v>
      </c>
      <c r="E984">
        <v>6550</v>
      </c>
      <c r="F984" t="s">
        <v>25</v>
      </c>
      <c r="G984">
        <v>70</v>
      </c>
      <c r="H984" t="s">
        <v>26</v>
      </c>
      <c r="I984">
        <v>12</v>
      </c>
      <c r="J984" s="10">
        <f t="shared" si="15"/>
        <v>2</v>
      </c>
    </row>
    <row r="985" spans="1:10" x14ac:dyDescent="0.2">
      <c r="A985" s="6">
        <v>42795</v>
      </c>
      <c r="B985">
        <v>2007</v>
      </c>
      <c r="C985">
        <v>1732</v>
      </c>
      <c r="D985">
        <v>984</v>
      </c>
      <c r="E985">
        <v>6450</v>
      </c>
      <c r="F985" t="s">
        <v>25</v>
      </c>
      <c r="G985">
        <v>60</v>
      </c>
      <c r="H985" t="s">
        <v>26</v>
      </c>
      <c r="I985">
        <v>12</v>
      </c>
      <c r="J985" s="10">
        <f t="shared" si="15"/>
        <v>2</v>
      </c>
    </row>
    <row r="986" spans="1:10" x14ac:dyDescent="0.2">
      <c r="A986" s="6">
        <v>42781</v>
      </c>
      <c r="B986">
        <v>2007</v>
      </c>
      <c r="C986">
        <v>1732</v>
      </c>
      <c r="D986">
        <v>985</v>
      </c>
      <c r="E986">
        <v>6500</v>
      </c>
      <c r="F986" t="s">
        <v>25</v>
      </c>
      <c r="G986">
        <v>12</v>
      </c>
      <c r="H986" t="s">
        <v>68</v>
      </c>
      <c r="I986">
        <v>12</v>
      </c>
      <c r="J986" s="10">
        <f t="shared" si="15"/>
        <v>12</v>
      </c>
    </row>
    <row r="987" spans="1:10" x14ac:dyDescent="0.2">
      <c r="A987" s="6">
        <v>42780</v>
      </c>
      <c r="B987">
        <v>2006</v>
      </c>
      <c r="C987">
        <v>1732</v>
      </c>
      <c r="D987">
        <v>986</v>
      </c>
      <c r="E987">
        <v>6400</v>
      </c>
      <c r="F987" t="s">
        <v>25</v>
      </c>
      <c r="G987">
        <v>4</v>
      </c>
      <c r="H987" t="s">
        <v>68</v>
      </c>
      <c r="I987">
        <v>13</v>
      </c>
      <c r="J987" s="10">
        <f t="shared" si="15"/>
        <v>4</v>
      </c>
    </row>
    <row r="988" spans="1:10" x14ac:dyDescent="0.2">
      <c r="A988" s="6">
        <v>42773</v>
      </c>
      <c r="B988">
        <v>2007</v>
      </c>
      <c r="C988">
        <v>1732</v>
      </c>
      <c r="D988">
        <v>987</v>
      </c>
      <c r="E988">
        <v>6850</v>
      </c>
      <c r="F988" t="s">
        <v>25</v>
      </c>
      <c r="G988">
        <v>45</v>
      </c>
      <c r="H988" t="s">
        <v>26</v>
      </c>
      <c r="I988">
        <v>12</v>
      </c>
      <c r="J988" s="10">
        <f t="shared" si="15"/>
        <v>2</v>
      </c>
    </row>
    <row r="989" spans="1:10" x14ac:dyDescent="0.2">
      <c r="A989" s="6">
        <v>42773</v>
      </c>
      <c r="B989">
        <v>2006</v>
      </c>
      <c r="C989">
        <v>1732</v>
      </c>
      <c r="D989">
        <v>988</v>
      </c>
      <c r="E989">
        <v>6500</v>
      </c>
      <c r="F989" t="s">
        <v>25</v>
      </c>
      <c r="G989">
        <v>6</v>
      </c>
      <c r="H989" t="s">
        <v>68</v>
      </c>
      <c r="I989">
        <v>13</v>
      </c>
      <c r="J989" s="10">
        <f t="shared" si="15"/>
        <v>6</v>
      </c>
    </row>
    <row r="990" spans="1:10" x14ac:dyDescent="0.2">
      <c r="A990" s="6">
        <v>42773</v>
      </c>
      <c r="B990">
        <v>2006</v>
      </c>
      <c r="C990">
        <v>1732</v>
      </c>
      <c r="D990">
        <v>989</v>
      </c>
      <c r="E990">
        <v>6500</v>
      </c>
      <c r="F990" t="s">
        <v>25</v>
      </c>
      <c r="G990">
        <v>6</v>
      </c>
      <c r="H990" t="s">
        <v>68</v>
      </c>
      <c r="I990">
        <v>13</v>
      </c>
      <c r="J990" s="10">
        <f t="shared" si="15"/>
        <v>6</v>
      </c>
    </row>
    <row r="991" spans="1:10" x14ac:dyDescent="0.2">
      <c r="A991" s="6">
        <v>42745</v>
      </c>
      <c r="B991">
        <v>2006</v>
      </c>
      <c r="C991">
        <v>1732</v>
      </c>
      <c r="D991">
        <v>990</v>
      </c>
      <c r="E991">
        <v>6500</v>
      </c>
      <c r="F991" t="s">
        <v>25</v>
      </c>
      <c r="G991">
        <v>60</v>
      </c>
      <c r="H991" t="s">
        <v>26</v>
      </c>
      <c r="I991">
        <v>13</v>
      </c>
      <c r="J991" s="10">
        <f t="shared" si="15"/>
        <v>2</v>
      </c>
    </row>
    <row r="992" spans="1:10" x14ac:dyDescent="0.2">
      <c r="A992" s="6">
        <v>42729</v>
      </c>
      <c r="B992">
        <v>2007</v>
      </c>
      <c r="C992">
        <v>1732</v>
      </c>
      <c r="D992">
        <v>991</v>
      </c>
      <c r="E992">
        <v>6500</v>
      </c>
      <c r="F992" t="s">
        <v>25</v>
      </c>
      <c r="G992">
        <v>60</v>
      </c>
      <c r="H992" t="s">
        <v>26</v>
      </c>
      <c r="I992">
        <v>12</v>
      </c>
      <c r="J992" s="10">
        <f t="shared" si="15"/>
        <v>2</v>
      </c>
    </row>
    <row r="993" spans="1:10" x14ac:dyDescent="0.2">
      <c r="A993" s="6">
        <v>42720</v>
      </c>
      <c r="B993">
        <v>2007</v>
      </c>
      <c r="C993">
        <v>1732</v>
      </c>
      <c r="D993">
        <v>992</v>
      </c>
      <c r="E993">
        <v>6550</v>
      </c>
      <c r="F993" t="s">
        <v>25</v>
      </c>
      <c r="G993">
        <v>3</v>
      </c>
      <c r="H993" t="s">
        <v>68</v>
      </c>
      <c r="I993">
        <v>12</v>
      </c>
      <c r="J993" s="10">
        <f t="shared" si="15"/>
        <v>3</v>
      </c>
    </row>
    <row r="994" spans="1:10" x14ac:dyDescent="0.2">
      <c r="A994" s="6">
        <v>42689</v>
      </c>
      <c r="B994">
        <v>2010</v>
      </c>
      <c r="C994">
        <v>1732</v>
      </c>
      <c r="D994">
        <v>993</v>
      </c>
      <c r="E994">
        <v>6400</v>
      </c>
      <c r="F994" t="s">
        <v>25</v>
      </c>
      <c r="G994">
        <v>6</v>
      </c>
      <c r="H994" t="s">
        <v>68</v>
      </c>
      <c r="I994">
        <v>9</v>
      </c>
      <c r="J994" s="10">
        <f t="shared" si="15"/>
        <v>6</v>
      </c>
    </row>
    <row r="995" spans="1:10" x14ac:dyDescent="0.2">
      <c r="A995" s="6">
        <v>42663</v>
      </c>
      <c r="B995">
        <v>2006</v>
      </c>
      <c r="C995">
        <v>1732</v>
      </c>
      <c r="D995">
        <v>994</v>
      </c>
      <c r="E995">
        <v>6500</v>
      </c>
      <c r="F995" t="s">
        <v>25</v>
      </c>
      <c r="G995">
        <v>3</v>
      </c>
      <c r="H995" t="s">
        <v>68</v>
      </c>
      <c r="I995">
        <v>13</v>
      </c>
      <c r="J995" s="10">
        <f t="shared" si="15"/>
        <v>3</v>
      </c>
    </row>
    <row r="996" spans="1:10" x14ac:dyDescent="0.2">
      <c r="A996" s="6">
        <v>42663</v>
      </c>
      <c r="B996">
        <v>2007</v>
      </c>
      <c r="C996">
        <v>1732</v>
      </c>
      <c r="D996">
        <v>995</v>
      </c>
      <c r="E996">
        <v>6500</v>
      </c>
      <c r="F996" t="s">
        <v>25</v>
      </c>
      <c r="G996">
        <v>3</v>
      </c>
      <c r="H996" t="s">
        <v>68</v>
      </c>
      <c r="I996">
        <v>12</v>
      </c>
      <c r="J996" s="10">
        <f t="shared" si="15"/>
        <v>3</v>
      </c>
    </row>
    <row r="997" spans="1:10" x14ac:dyDescent="0.2">
      <c r="A997" s="6">
        <v>42632</v>
      </c>
      <c r="B997">
        <v>2007</v>
      </c>
      <c r="C997">
        <v>1732</v>
      </c>
      <c r="D997">
        <v>996</v>
      </c>
      <c r="E997">
        <v>6500</v>
      </c>
      <c r="F997" t="s">
        <v>25</v>
      </c>
      <c r="G997">
        <v>5</v>
      </c>
      <c r="H997" t="s">
        <v>68</v>
      </c>
      <c r="I997">
        <v>12</v>
      </c>
      <c r="J997" s="10">
        <f t="shared" si="15"/>
        <v>5</v>
      </c>
    </row>
    <row r="998" spans="1:10" x14ac:dyDescent="0.2">
      <c r="A998" s="6">
        <v>42577</v>
      </c>
      <c r="B998">
        <v>2006</v>
      </c>
      <c r="C998">
        <v>1732</v>
      </c>
      <c r="D998">
        <v>997</v>
      </c>
      <c r="E998">
        <v>6750</v>
      </c>
      <c r="F998" t="s">
        <v>25</v>
      </c>
      <c r="G998">
        <v>7</v>
      </c>
      <c r="H998" t="s">
        <v>68</v>
      </c>
      <c r="I998">
        <v>13</v>
      </c>
      <c r="J998" s="10">
        <f t="shared" si="15"/>
        <v>7</v>
      </c>
    </row>
    <row r="999" spans="1:10" x14ac:dyDescent="0.2">
      <c r="A999" s="6">
        <v>42571</v>
      </c>
      <c r="B999">
        <v>2007</v>
      </c>
      <c r="C999">
        <v>1732</v>
      </c>
      <c r="D999">
        <v>998</v>
      </c>
      <c r="E999">
        <v>7150</v>
      </c>
      <c r="F999" t="s">
        <v>25</v>
      </c>
      <c r="G999">
        <v>6</v>
      </c>
      <c r="H999" t="s">
        <v>68</v>
      </c>
      <c r="I999">
        <v>12</v>
      </c>
      <c r="J999" s="10">
        <f t="shared" si="15"/>
        <v>6</v>
      </c>
    </row>
    <row r="1000" spans="1:10" x14ac:dyDescent="0.2">
      <c r="A1000" s="6">
        <v>42564</v>
      </c>
      <c r="B1000">
        <v>2006</v>
      </c>
      <c r="C1000">
        <v>1732</v>
      </c>
      <c r="D1000">
        <v>999</v>
      </c>
      <c r="E1000">
        <v>6750</v>
      </c>
      <c r="F1000" t="s">
        <v>25</v>
      </c>
      <c r="G1000">
        <v>42</v>
      </c>
      <c r="H1000" t="s">
        <v>26</v>
      </c>
      <c r="I1000">
        <v>13</v>
      </c>
      <c r="J1000" s="10">
        <f t="shared" si="15"/>
        <v>1</v>
      </c>
    </row>
    <row r="1001" spans="1:10" x14ac:dyDescent="0.2">
      <c r="A1001" s="6">
        <v>42543</v>
      </c>
      <c r="B1001">
        <v>2007</v>
      </c>
      <c r="C1001">
        <v>1732</v>
      </c>
      <c r="D1001">
        <v>1000</v>
      </c>
      <c r="E1001">
        <v>6750</v>
      </c>
      <c r="F1001" t="s">
        <v>25</v>
      </c>
      <c r="G1001">
        <v>9</v>
      </c>
      <c r="H1001" t="s">
        <v>68</v>
      </c>
      <c r="I1001">
        <v>12</v>
      </c>
      <c r="J1001" s="10">
        <f t="shared" si="15"/>
        <v>9</v>
      </c>
    </row>
    <row r="1002" spans="1:10" x14ac:dyDescent="0.2">
      <c r="A1002" s="6">
        <v>42530</v>
      </c>
      <c r="B1002">
        <v>2010</v>
      </c>
      <c r="C1002">
        <v>1732</v>
      </c>
      <c r="D1002">
        <v>1001</v>
      </c>
      <c r="E1002">
        <v>6750</v>
      </c>
      <c r="F1002" t="s">
        <v>25</v>
      </c>
      <c r="G1002">
        <v>5</v>
      </c>
      <c r="H1002" t="s">
        <v>68</v>
      </c>
      <c r="I1002">
        <v>9</v>
      </c>
      <c r="J1002" s="10">
        <f t="shared" si="15"/>
        <v>5</v>
      </c>
    </row>
    <row r="1003" spans="1:10" x14ac:dyDescent="0.2">
      <c r="A1003" s="6">
        <v>42521</v>
      </c>
      <c r="B1003">
        <v>2006</v>
      </c>
      <c r="C1003">
        <v>1732</v>
      </c>
      <c r="D1003">
        <v>1002</v>
      </c>
      <c r="E1003">
        <v>8000</v>
      </c>
      <c r="F1003" t="s">
        <v>25</v>
      </c>
      <c r="G1003">
        <v>12</v>
      </c>
      <c r="H1003" t="s">
        <v>68</v>
      </c>
      <c r="I1003">
        <v>13</v>
      </c>
      <c r="J1003" s="10">
        <f t="shared" si="15"/>
        <v>12</v>
      </c>
    </row>
    <row r="1004" spans="1:10" x14ac:dyDescent="0.2">
      <c r="A1004" s="6">
        <v>42515</v>
      </c>
      <c r="B1004">
        <v>2006</v>
      </c>
      <c r="C1004">
        <v>1732</v>
      </c>
      <c r="D1004">
        <v>1003</v>
      </c>
      <c r="E1004">
        <v>6800</v>
      </c>
      <c r="F1004" t="s">
        <v>25</v>
      </c>
      <c r="G1004">
        <v>30</v>
      </c>
      <c r="H1004" t="s">
        <v>26</v>
      </c>
      <c r="I1004">
        <v>13</v>
      </c>
      <c r="J1004" s="10">
        <f t="shared" si="15"/>
        <v>1</v>
      </c>
    </row>
    <row r="1005" spans="1:10" x14ac:dyDescent="0.2">
      <c r="A1005" s="6">
        <v>42430</v>
      </c>
      <c r="B1005">
        <v>2007</v>
      </c>
      <c r="C1005">
        <v>1732</v>
      </c>
      <c r="D1005">
        <v>1004</v>
      </c>
      <c r="E1005">
        <v>6300</v>
      </c>
      <c r="F1005" t="s">
        <v>25</v>
      </c>
      <c r="G1005">
        <v>8</v>
      </c>
      <c r="H1005" t="s">
        <v>68</v>
      </c>
      <c r="I1005">
        <v>12</v>
      </c>
      <c r="J1005" s="10">
        <f t="shared" si="15"/>
        <v>8</v>
      </c>
    </row>
    <row r="1006" spans="1:10" x14ac:dyDescent="0.2">
      <c r="A1006" s="6">
        <v>42429</v>
      </c>
      <c r="B1006">
        <v>2006</v>
      </c>
      <c r="C1006">
        <v>1732</v>
      </c>
      <c r="D1006">
        <v>1005</v>
      </c>
      <c r="E1006">
        <v>6250</v>
      </c>
      <c r="F1006" t="s">
        <v>25</v>
      </c>
      <c r="G1006">
        <v>3</v>
      </c>
      <c r="H1006" t="s">
        <v>68</v>
      </c>
      <c r="I1006">
        <v>13</v>
      </c>
      <c r="J1006" s="10">
        <f t="shared" si="15"/>
        <v>3</v>
      </c>
    </row>
    <row r="1007" spans="1:10" x14ac:dyDescent="0.2">
      <c r="A1007" s="6">
        <v>42429</v>
      </c>
      <c r="B1007">
        <v>2006</v>
      </c>
      <c r="C1007">
        <v>1732</v>
      </c>
      <c r="D1007">
        <v>1006</v>
      </c>
      <c r="E1007">
        <v>6250</v>
      </c>
      <c r="F1007" t="s">
        <v>25</v>
      </c>
      <c r="G1007">
        <v>5</v>
      </c>
      <c r="H1007" t="s">
        <v>68</v>
      </c>
      <c r="I1007">
        <v>13</v>
      </c>
      <c r="J1007" s="10">
        <f t="shared" si="15"/>
        <v>5</v>
      </c>
    </row>
    <row r="1008" spans="1:10" x14ac:dyDescent="0.2">
      <c r="A1008" s="6">
        <v>42409</v>
      </c>
      <c r="B1008">
        <v>2010</v>
      </c>
      <c r="C1008">
        <v>1732</v>
      </c>
      <c r="D1008">
        <v>1007</v>
      </c>
      <c r="E1008">
        <v>6750</v>
      </c>
      <c r="F1008" t="s">
        <v>25</v>
      </c>
      <c r="G1008">
        <v>12</v>
      </c>
      <c r="H1008" t="s">
        <v>68</v>
      </c>
      <c r="I1008">
        <v>9</v>
      </c>
      <c r="J1008" s="10">
        <f t="shared" si="15"/>
        <v>12</v>
      </c>
    </row>
    <row r="1009" spans="1:10" x14ac:dyDescent="0.2">
      <c r="A1009" s="6">
        <v>42403</v>
      </c>
      <c r="B1009">
        <v>2006</v>
      </c>
      <c r="C1009">
        <v>1732</v>
      </c>
      <c r="D1009">
        <v>1008</v>
      </c>
      <c r="E1009">
        <v>7250</v>
      </c>
      <c r="F1009" t="s">
        <v>25</v>
      </c>
      <c r="G1009">
        <v>6</v>
      </c>
      <c r="H1009" t="s">
        <v>68</v>
      </c>
      <c r="I1009">
        <v>13</v>
      </c>
      <c r="J1009" s="10">
        <f t="shared" si="15"/>
        <v>6</v>
      </c>
    </row>
    <row r="1010" spans="1:10" x14ac:dyDescent="0.2">
      <c r="A1010" s="6">
        <v>43623</v>
      </c>
      <c r="B1010">
        <v>2008</v>
      </c>
      <c r="C1010">
        <v>1740</v>
      </c>
      <c r="D1010">
        <v>1009</v>
      </c>
      <c r="E1010">
        <v>9500</v>
      </c>
      <c r="F1010" t="s">
        <v>25</v>
      </c>
      <c r="G1010">
        <v>12</v>
      </c>
      <c r="H1010" t="s">
        <v>68</v>
      </c>
      <c r="I1010">
        <v>11</v>
      </c>
      <c r="J1010" s="10">
        <f t="shared" si="15"/>
        <v>12</v>
      </c>
    </row>
    <row r="1011" spans="1:10" x14ac:dyDescent="0.2">
      <c r="A1011" s="6">
        <v>43621</v>
      </c>
      <c r="B1011">
        <v>2006</v>
      </c>
      <c r="C1011">
        <v>1740</v>
      </c>
      <c r="D1011">
        <v>1010</v>
      </c>
      <c r="E1011">
        <v>8600</v>
      </c>
      <c r="F1011" t="s">
        <v>25</v>
      </c>
      <c r="G1011">
        <v>5</v>
      </c>
      <c r="H1011" t="s">
        <v>68</v>
      </c>
      <c r="I1011">
        <v>13</v>
      </c>
      <c r="J1011" s="10">
        <f t="shared" si="15"/>
        <v>5</v>
      </c>
    </row>
    <row r="1012" spans="1:10" x14ac:dyDescent="0.2">
      <c r="A1012" s="6">
        <v>43621</v>
      </c>
      <c r="B1012">
        <v>2009</v>
      </c>
      <c r="C1012">
        <v>1740</v>
      </c>
      <c r="D1012">
        <v>1011</v>
      </c>
      <c r="E1012">
        <v>8000</v>
      </c>
      <c r="F1012" t="s">
        <v>25</v>
      </c>
      <c r="G1012">
        <v>6</v>
      </c>
      <c r="H1012" t="s">
        <v>68</v>
      </c>
      <c r="I1012">
        <v>10</v>
      </c>
      <c r="J1012" s="10">
        <f t="shared" si="15"/>
        <v>6</v>
      </c>
    </row>
    <row r="1013" spans="1:10" x14ac:dyDescent="0.2">
      <c r="A1013" s="6">
        <v>43619</v>
      </c>
      <c r="B1013">
        <v>2007</v>
      </c>
      <c r="C1013">
        <v>1740</v>
      </c>
      <c r="D1013">
        <v>1012</v>
      </c>
      <c r="E1013">
        <v>8350</v>
      </c>
      <c r="F1013" t="s">
        <v>25</v>
      </c>
      <c r="G1013">
        <v>30</v>
      </c>
      <c r="H1013" t="s">
        <v>26</v>
      </c>
      <c r="I1013">
        <v>12</v>
      </c>
      <c r="J1013" s="10">
        <f t="shared" si="15"/>
        <v>1</v>
      </c>
    </row>
    <row r="1014" spans="1:10" x14ac:dyDescent="0.2">
      <c r="A1014" s="6">
        <v>43613</v>
      </c>
      <c r="B1014">
        <v>2010</v>
      </c>
      <c r="C1014">
        <v>1740</v>
      </c>
      <c r="D1014">
        <v>1013</v>
      </c>
      <c r="E1014">
        <v>8050</v>
      </c>
      <c r="F1014" t="s">
        <v>25</v>
      </c>
      <c r="G1014">
        <v>5</v>
      </c>
      <c r="H1014" t="s">
        <v>68</v>
      </c>
      <c r="I1014">
        <v>9</v>
      </c>
      <c r="J1014" s="10">
        <f t="shared" si="15"/>
        <v>5</v>
      </c>
    </row>
    <row r="1015" spans="1:10" x14ac:dyDescent="0.2">
      <c r="A1015" s="6">
        <v>43594</v>
      </c>
      <c r="B1015">
        <v>2008</v>
      </c>
      <c r="C1015">
        <v>1740</v>
      </c>
      <c r="D1015">
        <v>1014</v>
      </c>
      <c r="E1015">
        <v>8250</v>
      </c>
      <c r="F1015" t="s">
        <v>25</v>
      </c>
      <c r="G1015">
        <v>6</v>
      </c>
      <c r="H1015" t="s">
        <v>68</v>
      </c>
      <c r="I1015">
        <v>11</v>
      </c>
      <c r="J1015" s="10">
        <f t="shared" si="15"/>
        <v>6</v>
      </c>
    </row>
    <row r="1016" spans="1:10" x14ac:dyDescent="0.2">
      <c r="A1016" s="6">
        <v>43594</v>
      </c>
      <c r="B1016">
        <v>2006</v>
      </c>
      <c r="C1016">
        <v>1740</v>
      </c>
      <c r="D1016">
        <v>1015</v>
      </c>
      <c r="E1016">
        <v>8350</v>
      </c>
      <c r="F1016" t="s">
        <v>25</v>
      </c>
      <c r="G1016">
        <v>6</v>
      </c>
      <c r="H1016" t="s">
        <v>68</v>
      </c>
      <c r="I1016">
        <v>13</v>
      </c>
      <c r="J1016" s="10">
        <f t="shared" si="15"/>
        <v>6</v>
      </c>
    </row>
    <row r="1017" spans="1:10" x14ac:dyDescent="0.2">
      <c r="A1017" s="6">
        <v>43571</v>
      </c>
      <c r="B1017">
        <v>2010</v>
      </c>
      <c r="C1017">
        <v>1740</v>
      </c>
      <c r="D1017">
        <v>1016</v>
      </c>
      <c r="E1017">
        <v>9250</v>
      </c>
      <c r="F1017" t="s">
        <v>25</v>
      </c>
      <c r="G1017">
        <v>13</v>
      </c>
      <c r="H1017" t="s">
        <v>68</v>
      </c>
      <c r="I1017">
        <v>9</v>
      </c>
      <c r="J1017" s="10">
        <f t="shared" si="15"/>
        <v>13</v>
      </c>
    </row>
    <row r="1018" spans="1:10" x14ac:dyDescent="0.2">
      <c r="A1018" s="6">
        <v>43556</v>
      </c>
      <c r="B1018">
        <v>2008</v>
      </c>
      <c r="C1018">
        <v>1740</v>
      </c>
      <c r="D1018">
        <v>1017</v>
      </c>
      <c r="E1018">
        <v>7900</v>
      </c>
      <c r="F1018" t="s">
        <v>25</v>
      </c>
      <c r="G1018">
        <v>12</v>
      </c>
      <c r="H1018" t="s">
        <v>68</v>
      </c>
      <c r="I1018">
        <v>11</v>
      </c>
      <c r="J1018" s="10">
        <f t="shared" si="15"/>
        <v>12</v>
      </c>
    </row>
    <row r="1019" spans="1:10" x14ac:dyDescent="0.2">
      <c r="A1019" s="6">
        <v>43549</v>
      </c>
      <c r="B1019">
        <v>2006</v>
      </c>
      <c r="C1019">
        <v>1740</v>
      </c>
      <c r="D1019">
        <v>1018</v>
      </c>
      <c r="E1019">
        <v>7900</v>
      </c>
      <c r="F1019" t="s">
        <v>25</v>
      </c>
      <c r="G1019">
        <v>4</v>
      </c>
      <c r="H1019" t="s">
        <v>68</v>
      </c>
      <c r="I1019">
        <v>13</v>
      </c>
      <c r="J1019" s="10">
        <f t="shared" si="15"/>
        <v>4</v>
      </c>
    </row>
    <row r="1020" spans="1:10" x14ac:dyDescent="0.2">
      <c r="A1020" s="6">
        <v>43542</v>
      </c>
      <c r="B1020">
        <v>2007</v>
      </c>
      <c r="C1020">
        <v>1740</v>
      </c>
      <c r="D1020">
        <v>1019</v>
      </c>
      <c r="E1020">
        <v>7000</v>
      </c>
      <c r="F1020" t="s">
        <v>25</v>
      </c>
      <c r="G1020">
        <v>6</v>
      </c>
      <c r="H1020" t="s">
        <v>68</v>
      </c>
      <c r="I1020">
        <v>12</v>
      </c>
      <c r="J1020" s="10">
        <f t="shared" si="15"/>
        <v>6</v>
      </c>
    </row>
    <row r="1021" spans="1:10" x14ac:dyDescent="0.2">
      <c r="A1021" s="6">
        <v>43542</v>
      </c>
      <c r="B1021">
        <v>2009</v>
      </c>
      <c r="C1021">
        <v>1740</v>
      </c>
      <c r="D1021">
        <v>1020</v>
      </c>
      <c r="E1021">
        <v>7000</v>
      </c>
      <c r="F1021" t="s">
        <v>25</v>
      </c>
      <c r="G1021">
        <v>6</v>
      </c>
      <c r="H1021" t="s">
        <v>68</v>
      </c>
      <c r="I1021">
        <v>10</v>
      </c>
      <c r="J1021" s="10">
        <f t="shared" si="15"/>
        <v>6</v>
      </c>
    </row>
    <row r="1022" spans="1:10" x14ac:dyDescent="0.2">
      <c r="A1022" s="6">
        <v>43539</v>
      </c>
      <c r="B1022">
        <v>2007</v>
      </c>
      <c r="C1022">
        <v>1740</v>
      </c>
      <c r="D1022">
        <v>1021</v>
      </c>
      <c r="E1022">
        <v>7500</v>
      </c>
      <c r="F1022" t="s">
        <v>25</v>
      </c>
      <c r="G1022">
        <v>7</v>
      </c>
      <c r="H1022" t="s">
        <v>68</v>
      </c>
      <c r="I1022">
        <v>12</v>
      </c>
      <c r="J1022" s="10">
        <f t="shared" si="15"/>
        <v>7</v>
      </c>
    </row>
    <row r="1023" spans="1:10" x14ac:dyDescent="0.2">
      <c r="A1023" s="6">
        <v>43539</v>
      </c>
      <c r="B1023">
        <v>2010</v>
      </c>
      <c r="C1023">
        <v>1740</v>
      </c>
      <c r="D1023">
        <v>1022</v>
      </c>
      <c r="E1023">
        <v>7500</v>
      </c>
      <c r="F1023" t="s">
        <v>25</v>
      </c>
      <c r="G1023">
        <v>5</v>
      </c>
      <c r="H1023" t="s">
        <v>68</v>
      </c>
      <c r="I1023">
        <v>9</v>
      </c>
      <c r="J1023" s="10">
        <f t="shared" si="15"/>
        <v>5</v>
      </c>
    </row>
    <row r="1024" spans="1:10" x14ac:dyDescent="0.2">
      <c r="A1024" s="6">
        <v>43537</v>
      </c>
      <c r="B1024">
        <v>2010</v>
      </c>
      <c r="C1024">
        <v>1740</v>
      </c>
      <c r="D1024">
        <v>1023</v>
      </c>
      <c r="E1024">
        <v>7250</v>
      </c>
      <c r="F1024" t="s">
        <v>25</v>
      </c>
      <c r="G1024">
        <v>7</v>
      </c>
      <c r="H1024" t="s">
        <v>68</v>
      </c>
      <c r="I1024">
        <v>9</v>
      </c>
      <c r="J1024" s="10">
        <f t="shared" si="15"/>
        <v>7</v>
      </c>
    </row>
    <row r="1025" spans="1:10" x14ac:dyDescent="0.2">
      <c r="A1025" s="6">
        <v>43535</v>
      </c>
      <c r="B1025">
        <v>2010</v>
      </c>
      <c r="C1025">
        <v>1740</v>
      </c>
      <c r="D1025">
        <v>1024</v>
      </c>
      <c r="E1025">
        <v>9000</v>
      </c>
      <c r="F1025" t="s">
        <v>25</v>
      </c>
      <c r="G1025">
        <v>2</v>
      </c>
      <c r="H1025" t="s">
        <v>68</v>
      </c>
      <c r="I1025">
        <v>9</v>
      </c>
      <c r="J1025" s="10">
        <f t="shared" si="15"/>
        <v>2</v>
      </c>
    </row>
    <row r="1026" spans="1:10" x14ac:dyDescent="0.2">
      <c r="A1026" s="6">
        <v>43523</v>
      </c>
      <c r="B1026">
        <v>2009</v>
      </c>
      <c r="C1026">
        <v>1740</v>
      </c>
      <c r="D1026">
        <v>1025</v>
      </c>
      <c r="E1026">
        <v>7250</v>
      </c>
      <c r="F1026" t="s">
        <v>25</v>
      </c>
      <c r="G1026">
        <v>7</v>
      </c>
      <c r="H1026" t="s">
        <v>68</v>
      </c>
      <c r="I1026">
        <v>10</v>
      </c>
      <c r="J1026" s="10">
        <f t="shared" ref="J1026:J1089" si="16">IF(H1026="days",ROUND(G1026/30,0),IF(H1026="years",G1026*12,G1026))</f>
        <v>7</v>
      </c>
    </row>
    <row r="1027" spans="1:10" x14ac:dyDescent="0.2">
      <c r="A1027" s="6">
        <v>43516</v>
      </c>
      <c r="B1027">
        <v>2010</v>
      </c>
      <c r="C1027">
        <v>1740</v>
      </c>
      <c r="D1027">
        <v>1026</v>
      </c>
      <c r="E1027">
        <v>7100</v>
      </c>
      <c r="F1027" t="s">
        <v>25</v>
      </c>
      <c r="G1027">
        <v>5</v>
      </c>
      <c r="H1027" t="s">
        <v>68</v>
      </c>
      <c r="I1027">
        <v>9</v>
      </c>
      <c r="J1027" s="10">
        <f t="shared" si="16"/>
        <v>5</v>
      </c>
    </row>
    <row r="1028" spans="1:10" x14ac:dyDescent="0.2">
      <c r="A1028" s="6">
        <v>43508</v>
      </c>
      <c r="B1028">
        <v>2007</v>
      </c>
      <c r="C1028">
        <v>1740</v>
      </c>
      <c r="D1028">
        <v>1027</v>
      </c>
      <c r="E1028">
        <v>7000</v>
      </c>
      <c r="F1028" t="s">
        <v>25</v>
      </c>
      <c r="G1028">
        <v>24</v>
      </c>
      <c r="H1028" t="s">
        <v>68</v>
      </c>
      <c r="I1028">
        <v>12</v>
      </c>
      <c r="J1028" s="10">
        <f t="shared" si="16"/>
        <v>24</v>
      </c>
    </row>
    <row r="1029" spans="1:10" x14ac:dyDescent="0.2">
      <c r="A1029" s="6">
        <v>43453</v>
      </c>
      <c r="B1029">
        <v>2006</v>
      </c>
      <c r="C1029">
        <v>1740</v>
      </c>
      <c r="D1029">
        <v>1028</v>
      </c>
      <c r="E1029">
        <v>7750</v>
      </c>
      <c r="F1029" t="s">
        <v>25</v>
      </c>
      <c r="G1029">
        <v>60</v>
      </c>
      <c r="H1029" t="s">
        <v>26</v>
      </c>
      <c r="I1029">
        <v>13</v>
      </c>
      <c r="J1029" s="10">
        <f t="shared" si="16"/>
        <v>2</v>
      </c>
    </row>
    <row r="1030" spans="1:10" x14ac:dyDescent="0.2">
      <c r="A1030" s="6">
        <v>43438</v>
      </c>
      <c r="B1030">
        <v>2006</v>
      </c>
      <c r="C1030">
        <v>1740</v>
      </c>
      <c r="D1030">
        <v>1029</v>
      </c>
      <c r="E1030">
        <v>7750</v>
      </c>
      <c r="F1030" t="s">
        <v>25</v>
      </c>
      <c r="G1030">
        <v>60</v>
      </c>
      <c r="H1030" t="s">
        <v>26</v>
      </c>
      <c r="I1030">
        <v>13</v>
      </c>
      <c r="J1030" s="10">
        <f t="shared" si="16"/>
        <v>2</v>
      </c>
    </row>
    <row r="1031" spans="1:10" x14ac:dyDescent="0.2">
      <c r="A1031" s="6">
        <v>43426</v>
      </c>
      <c r="B1031">
        <v>2010</v>
      </c>
      <c r="C1031">
        <v>1740</v>
      </c>
      <c r="D1031">
        <v>1030</v>
      </c>
      <c r="E1031">
        <v>8500</v>
      </c>
      <c r="F1031" t="s">
        <v>25</v>
      </c>
      <c r="G1031">
        <v>5</v>
      </c>
      <c r="H1031" t="s">
        <v>68</v>
      </c>
      <c r="I1031">
        <v>9</v>
      </c>
      <c r="J1031" s="10">
        <f t="shared" si="16"/>
        <v>5</v>
      </c>
    </row>
    <row r="1032" spans="1:10" x14ac:dyDescent="0.2">
      <c r="A1032" s="6">
        <v>43426</v>
      </c>
      <c r="B1032">
        <v>2007</v>
      </c>
      <c r="C1032">
        <v>1740</v>
      </c>
      <c r="D1032">
        <v>1031</v>
      </c>
      <c r="E1032">
        <v>8500</v>
      </c>
      <c r="F1032" t="s">
        <v>25</v>
      </c>
      <c r="G1032">
        <v>12</v>
      </c>
      <c r="H1032" t="s">
        <v>68</v>
      </c>
      <c r="I1032">
        <v>12</v>
      </c>
      <c r="J1032" s="10">
        <f t="shared" si="16"/>
        <v>12</v>
      </c>
    </row>
    <row r="1033" spans="1:10" x14ac:dyDescent="0.2">
      <c r="A1033" s="6">
        <v>43425</v>
      </c>
      <c r="B1033">
        <v>2009</v>
      </c>
      <c r="C1033">
        <v>1740</v>
      </c>
      <c r="D1033">
        <v>1032</v>
      </c>
      <c r="E1033">
        <v>7450</v>
      </c>
      <c r="F1033" t="s">
        <v>25</v>
      </c>
      <c r="G1033">
        <v>6</v>
      </c>
      <c r="H1033" t="s">
        <v>68</v>
      </c>
      <c r="I1033">
        <v>10</v>
      </c>
      <c r="J1033" s="10">
        <f t="shared" si="16"/>
        <v>6</v>
      </c>
    </row>
    <row r="1034" spans="1:10" x14ac:dyDescent="0.2">
      <c r="A1034" s="6">
        <v>43425</v>
      </c>
      <c r="B1034">
        <v>2007</v>
      </c>
      <c r="C1034">
        <v>1740</v>
      </c>
      <c r="D1034">
        <v>1033</v>
      </c>
      <c r="E1034">
        <v>7500</v>
      </c>
      <c r="F1034" t="s">
        <v>25</v>
      </c>
      <c r="G1034">
        <v>6</v>
      </c>
      <c r="H1034" t="s">
        <v>68</v>
      </c>
      <c r="I1034">
        <v>12</v>
      </c>
      <c r="J1034" s="10">
        <f t="shared" si="16"/>
        <v>6</v>
      </c>
    </row>
    <row r="1035" spans="1:10" x14ac:dyDescent="0.2">
      <c r="A1035" s="6">
        <v>43423</v>
      </c>
      <c r="B1035">
        <v>2008</v>
      </c>
      <c r="C1035">
        <v>1740</v>
      </c>
      <c r="D1035">
        <v>1034</v>
      </c>
      <c r="E1035">
        <v>7500</v>
      </c>
      <c r="F1035" t="s">
        <v>25</v>
      </c>
      <c r="G1035">
        <v>11</v>
      </c>
      <c r="H1035" t="s">
        <v>68</v>
      </c>
      <c r="I1035">
        <v>11</v>
      </c>
      <c r="J1035" s="10">
        <f t="shared" si="16"/>
        <v>11</v>
      </c>
    </row>
    <row r="1036" spans="1:10" x14ac:dyDescent="0.2">
      <c r="A1036" s="6">
        <v>43391</v>
      </c>
      <c r="B1036">
        <v>2006</v>
      </c>
      <c r="C1036">
        <v>1740</v>
      </c>
      <c r="D1036">
        <v>1035</v>
      </c>
      <c r="E1036">
        <v>9100</v>
      </c>
      <c r="F1036" t="s">
        <v>25</v>
      </c>
      <c r="G1036">
        <v>8</v>
      </c>
      <c r="H1036" t="s">
        <v>68</v>
      </c>
      <c r="I1036">
        <v>13</v>
      </c>
      <c r="J1036" s="10">
        <f t="shared" si="16"/>
        <v>8</v>
      </c>
    </row>
    <row r="1037" spans="1:10" x14ac:dyDescent="0.2">
      <c r="A1037" s="6">
        <v>43385</v>
      </c>
      <c r="B1037">
        <v>2010</v>
      </c>
      <c r="C1037">
        <v>1740</v>
      </c>
      <c r="D1037">
        <v>1036</v>
      </c>
      <c r="E1037">
        <v>9400</v>
      </c>
      <c r="F1037" t="s">
        <v>25</v>
      </c>
      <c r="G1037">
        <v>1</v>
      </c>
      <c r="H1037" t="s">
        <v>68</v>
      </c>
      <c r="I1037">
        <v>9</v>
      </c>
      <c r="J1037" s="10">
        <f t="shared" si="16"/>
        <v>1</v>
      </c>
    </row>
    <row r="1038" spans="1:10" x14ac:dyDescent="0.2">
      <c r="A1038" s="6">
        <v>43343</v>
      </c>
      <c r="B1038">
        <v>2009</v>
      </c>
      <c r="C1038">
        <v>1740</v>
      </c>
      <c r="D1038">
        <v>1037</v>
      </c>
      <c r="E1038">
        <v>10000</v>
      </c>
      <c r="F1038" t="s">
        <v>25</v>
      </c>
      <c r="G1038">
        <v>3</v>
      </c>
      <c r="H1038" t="s">
        <v>68</v>
      </c>
      <c r="I1038">
        <v>10</v>
      </c>
      <c r="J1038" s="10">
        <f t="shared" si="16"/>
        <v>3</v>
      </c>
    </row>
    <row r="1039" spans="1:10" x14ac:dyDescent="0.2">
      <c r="A1039" s="6">
        <v>43340</v>
      </c>
      <c r="B1039">
        <v>2009</v>
      </c>
      <c r="C1039">
        <v>1740</v>
      </c>
      <c r="D1039">
        <v>1038</v>
      </c>
      <c r="E1039">
        <v>10100</v>
      </c>
      <c r="F1039" t="s">
        <v>25</v>
      </c>
      <c r="G1039">
        <v>6</v>
      </c>
      <c r="H1039" t="s">
        <v>68</v>
      </c>
      <c r="I1039">
        <v>10</v>
      </c>
      <c r="J1039" s="10">
        <f t="shared" si="16"/>
        <v>6</v>
      </c>
    </row>
    <row r="1040" spans="1:10" x14ac:dyDescent="0.2">
      <c r="A1040" s="6">
        <v>43336</v>
      </c>
      <c r="B1040">
        <v>2008</v>
      </c>
      <c r="C1040">
        <v>1740</v>
      </c>
      <c r="D1040">
        <v>1039</v>
      </c>
      <c r="E1040">
        <v>9650</v>
      </c>
      <c r="F1040" t="s">
        <v>25</v>
      </c>
      <c r="G1040">
        <v>2</v>
      </c>
      <c r="H1040" t="s">
        <v>68</v>
      </c>
      <c r="I1040">
        <v>11</v>
      </c>
      <c r="J1040" s="10">
        <f t="shared" si="16"/>
        <v>2</v>
      </c>
    </row>
    <row r="1041" spans="1:10" x14ac:dyDescent="0.2">
      <c r="A1041" s="6">
        <v>43321</v>
      </c>
      <c r="B1041">
        <v>2008</v>
      </c>
      <c r="C1041">
        <v>1740</v>
      </c>
      <c r="D1041">
        <v>1040</v>
      </c>
      <c r="E1041">
        <v>9450</v>
      </c>
      <c r="F1041" t="s">
        <v>25</v>
      </c>
      <c r="G1041">
        <v>9</v>
      </c>
      <c r="H1041" t="s">
        <v>68</v>
      </c>
      <c r="I1041">
        <v>11</v>
      </c>
      <c r="J1041" s="10">
        <f t="shared" si="16"/>
        <v>9</v>
      </c>
    </row>
    <row r="1042" spans="1:10" x14ac:dyDescent="0.2">
      <c r="A1042" s="6">
        <v>43263</v>
      </c>
      <c r="B1042">
        <v>2007</v>
      </c>
      <c r="C1042">
        <v>1740</v>
      </c>
      <c r="D1042">
        <v>1041</v>
      </c>
      <c r="E1042">
        <v>10500</v>
      </c>
      <c r="F1042" t="s">
        <v>25</v>
      </c>
      <c r="G1042">
        <v>11</v>
      </c>
      <c r="H1042" t="s">
        <v>68</v>
      </c>
      <c r="I1042">
        <v>12</v>
      </c>
      <c r="J1042" s="10">
        <f t="shared" si="16"/>
        <v>11</v>
      </c>
    </row>
    <row r="1043" spans="1:10" x14ac:dyDescent="0.2">
      <c r="A1043" s="6">
        <v>43250</v>
      </c>
      <c r="B1043">
        <v>2006</v>
      </c>
      <c r="C1043">
        <v>1740</v>
      </c>
      <c r="D1043">
        <v>1042</v>
      </c>
      <c r="E1043">
        <v>10875</v>
      </c>
      <c r="F1043" t="s">
        <v>25</v>
      </c>
      <c r="G1043">
        <v>12</v>
      </c>
      <c r="H1043" t="s">
        <v>68</v>
      </c>
      <c r="I1043">
        <v>13</v>
      </c>
      <c r="J1043" s="10">
        <f t="shared" si="16"/>
        <v>12</v>
      </c>
    </row>
    <row r="1044" spans="1:10" x14ac:dyDescent="0.2">
      <c r="A1044" s="6">
        <v>43250</v>
      </c>
      <c r="B1044">
        <v>2010</v>
      </c>
      <c r="C1044">
        <v>1740</v>
      </c>
      <c r="D1044">
        <v>1043</v>
      </c>
      <c r="E1044">
        <v>10750</v>
      </c>
      <c r="F1044" t="s">
        <v>25</v>
      </c>
      <c r="G1044">
        <v>5</v>
      </c>
      <c r="H1044" t="s">
        <v>68</v>
      </c>
      <c r="I1044">
        <v>9</v>
      </c>
      <c r="J1044" s="10">
        <f t="shared" si="16"/>
        <v>5</v>
      </c>
    </row>
    <row r="1045" spans="1:10" x14ac:dyDescent="0.2">
      <c r="A1045" s="6">
        <v>43245</v>
      </c>
      <c r="B1045">
        <v>2008</v>
      </c>
      <c r="C1045">
        <v>1740</v>
      </c>
      <c r="D1045">
        <v>1044</v>
      </c>
      <c r="E1045">
        <v>11000</v>
      </c>
      <c r="F1045" t="s">
        <v>25</v>
      </c>
      <c r="G1045">
        <v>12</v>
      </c>
      <c r="H1045" t="s">
        <v>68</v>
      </c>
      <c r="I1045">
        <v>11</v>
      </c>
      <c r="J1045" s="10">
        <f t="shared" si="16"/>
        <v>12</v>
      </c>
    </row>
    <row r="1046" spans="1:10" x14ac:dyDescent="0.2">
      <c r="A1046" s="6">
        <v>43235</v>
      </c>
      <c r="B1046">
        <v>2010</v>
      </c>
      <c r="C1046">
        <v>1740</v>
      </c>
      <c r="D1046">
        <v>1045</v>
      </c>
      <c r="E1046">
        <v>10700</v>
      </c>
      <c r="F1046" t="s">
        <v>25</v>
      </c>
      <c r="G1046">
        <v>5</v>
      </c>
      <c r="H1046" t="s">
        <v>68</v>
      </c>
      <c r="I1046">
        <v>9</v>
      </c>
      <c r="J1046" s="10">
        <f t="shared" si="16"/>
        <v>5</v>
      </c>
    </row>
    <row r="1047" spans="1:10" x14ac:dyDescent="0.2">
      <c r="A1047" s="6">
        <v>43234</v>
      </c>
      <c r="B1047">
        <v>2008</v>
      </c>
      <c r="C1047">
        <v>1740</v>
      </c>
      <c r="D1047">
        <v>1046</v>
      </c>
      <c r="E1047">
        <v>10750</v>
      </c>
      <c r="F1047" t="s">
        <v>25</v>
      </c>
      <c r="G1047">
        <v>9</v>
      </c>
      <c r="H1047" t="s">
        <v>68</v>
      </c>
      <c r="I1047">
        <v>11</v>
      </c>
      <c r="J1047" s="10">
        <f t="shared" si="16"/>
        <v>9</v>
      </c>
    </row>
    <row r="1048" spans="1:10" x14ac:dyDescent="0.2">
      <c r="A1048" s="6">
        <v>43220</v>
      </c>
      <c r="B1048">
        <v>2007</v>
      </c>
      <c r="C1048">
        <v>1740</v>
      </c>
      <c r="D1048">
        <v>1047</v>
      </c>
      <c r="E1048">
        <v>10850</v>
      </c>
      <c r="F1048" t="s">
        <v>25</v>
      </c>
      <c r="G1048">
        <v>7</v>
      </c>
      <c r="H1048" t="s">
        <v>68</v>
      </c>
      <c r="I1048">
        <v>12</v>
      </c>
      <c r="J1048" s="10">
        <f t="shared" si="16"/>
        <v>7</v>
      </c>
    </row>
    <row r="1049" spans="1:10" x14ac:dyDescent="0.2">
      <c r="A1049" s="6">
        <v>43202</v>
      </c>
      <c r="B1049">
        <v>2008</v>
      </c>
      <c r="C1049">
        <v>1740</v>
      </c>
      <c r="D1049">
        <v>1048</v>
      </c>
      <c r="E1049">
        <v>10500</v>
      </c>
      <c r="F1049" t="s">
        <v>25</v>
      </c>
      <c r="G1049">
        <v>12</v>
      </c>
      <c r="H1049" t="s">
        <v>68</v>
      </c>
      <c r="I1049">
        <v>11</v>
      </c>
      <c r="J1049" s="10">
        <f t="shared" si="16"/>
        <v>12</v>
      </c>
    </row>
    <row r="1050" spans="1:10" x14ac:dyDescent="0.2">
      <c r="A1050" s="6">
        <v>43202</v>
      </c>
      <c r="B1050">
        <v>2008</v>
      </c>
      <c r="C1050">
        <v>1740</v>
      </c>
      <c r="D1050">
        <v>1049</v>
      </c>
      <c r="E1050">
        <v>10500</v>
      </c>
      <c r="F1050" t="s">
        <v>25</v>
      </c>
      <c r="G1050">
        <v>5</v>
      </c>
      <c r="H1050" t="s">
        <v>68</v>
      </c>
      <c r="I1050">
        <v>11</v>
      </c>
      <c r="J1050" s="10">
        <f t="shared" si="16"/>
        <v>5</v>
      </c>
    </row>
    <row r="1051" spans="1:10" x14ac:dyDescent="0.2">
      <c r="A1051" s="6">
        <v>43202</v>
      </c>
      <c r="B1051">
        <v>2009</v>
      </c>
      <c r="C1051">
        <v>1740</v>
      </c>
      <c r="D1051">
        <v>1050</v>
      </c>
      <c r="E1051">
        <v>10750</v>
      </c>
      <c r="F1051" t="s">
        <v>25</v>
      </c>
      <c r="G1051">
        <v>6</v>
      </c>
      <c r="H1051" t="s">
        <v>68</v>
      </c>
      <c r="I1051">
        <v>10</v>
      </c>
      <c r="J1051" s="10">
        <f t="shared" si="16"/>
        <v>6</v>
      </c>
    </row>
    <row r="1052" spans="1:10" x14ac:dyDescent="0.2">
      <c r="A1052" s="6">
        <v>43195</v>
      </c>
      <c r="B1052">
        <v>2010</v>
      </c>
      <c r="C1052">
        <v>1740</v>
      </c>
      <c r="D1052">
        <v>1051</v>
      </c>
      <c r="E1052">
        <v>11500</v>
      </c>
      <c r="F1052" t="s">
        <v>25</v>
      </c>
      <c r="G1052">
        <v>12</v>
      </c>
      <c r="H1052" t="s">
        <v>68</v>
      </c>
      <c r="I1052">
        <v>9</v>
      </c>
      <c r="J1052" s="10">
        <f t="shared" si="16"/>
        <v>12</v>
      </c>
    </row>
    <row r="1053" spans="1:10" x14ac:dyDescent="0.2">
      <c r="A1053" s="6">
        <v>43187</v>
      </c>
      <c r="B1053">
        <v>2009</v>
      </c>
      <c r="C1053">
        <v>1740</v>
      </c>
      <c r="D1053">
        <v>1052</v>
      </c>
      <c r="E1053">
        <v>10750</v>
      </c>
      <c r="F1053" t="s">
        <v>25</v>
      </c>
      <c r="G1053">
        <v>5</v>
      </c>
      <c r="H1053" t="s">
        <v>68</v>
      </c>
      <c r="I1053">
        <v>10</v>
      </c>
      <c r="J1053" s="10">
        <f t="shared" si="16"/>
        <v>5</v>
      </c>
    </row>
    <row r="1054" spans="1:10" x14ac:dyDescent="0.2">
      <c r="A1054" s="6">
        <v>43186</v>
      </c>
      <c r="B1054">
        <v>2006</v>
      </c>
      <c r="C1054">
        <v>1740</v>
      </c>
      <c r="D1054">
        <v>1053</v>
      </c>
      <c r="E1054">
        <v>10300</v>
      </c>
      <c r="F1054" t="s">
        <v>25</v>
      </c>
      <c r="G1054">
        <v>6</v>
      </c>
      <c r="H1054" t="s">
        <v>68</v>
      </c>
      <c r="I1054">
        <v>13</v>
      </c>
      <c r="J1054" s="10">
        <f t="shared" si="16"/>
        <v>6</v>
      </c>
    </row>
    <row r="1055" spans="1:10" x14ac:dyDescent="0.2">
      <c r="A1055" s="6">
        <v>43182</v>
      </c>
      <c r="B1055">
        <v>2006</v>
      </c>
      <c r="C1055">
        <v>1740</v>
      </c>
      <c r="D1055">
        <v>1054</v>
      </c>
      <c r="E1055">
        <v>10500</v>
      </c>
      <c r="F1055" t="s">
        <v>25</v>
      </c>
      <c r="G1055">
        <v>6</v>
      </c>
      <c r="H1055" t="s">
        <v>68</v>
      </c>
      <c r="I1055">
        <v>13</v>
      </c>
      <c r="J1055" s="10">
        <f t="shared" si="16"/>
        <v>6</v>
      </c>
    </row>
    <row r="1056" spans="1:10" x14ac:dyDescent="0.2">
      <c r="A1056" s="6">
        <v>43175</v>
      </c>
      <c r="B1056">
        <v>2010</v>
      </c>
      <c r="C1056">
        <v>1740</v>
      </c>
      <c r="D1056">
        <v>1055</v>
      </c>
      <c r="E1056">
        <v>11000</v>
      </c>
      <c r="F1056" t="s">
        <v>25</v>
      </c>
      <c r="G1056">
        <v>6</v>
      </c>
      <c r="H1056" t="s">
        <v>68</v>
      </c>
      <c r="I1056">
        <v>9</v>
      </c>
      <c r="J1056" s="10">
        <f t="shared" si="16"/>
        <v>6</v>
      </c>
    </row>
    <row r="1057" spans="1:10" x14ac:dyDescent="0.2">
      <c r="A1057" s="6">
        <v>43174</v>
      </c>
      <c r="B1057">
        <v>2008</v>
      </c>
      <c r="C1057">
        <v>1740</v>
      </c>
      <c r="D1057">
        <v>1056</v>
      </c>
      <c r="E1057">
        <v>10250</v>
      </c>
      <c r="F1057" t="s">
        <v>25</v>
      </c>
      <c r="G1057">
        <v>3</v>
      </c>
      <c r="H1057" t="s">
        <v>68</v>
      </c>
      <c r="I1057">
        <v>11</v>
      </c>
      <c r="J1057" s="10">
        <f t="shared" si="16"/>
        <v>3</v>
      </c>
    </row>
    <row r="1058" spans="1:10" x14ac:dyDescent="0.2">
      <c r="A1058" s="6">
        <v>43159</v>
      </c>
      <c r="B1058">
        <v>2010</v>
      </c>
      <c r="C1058">
        <v>1740</v>
      </c>
      <c r="D1058">
        <v>1057</v>
      </c>
      <c r="E1058">
        <v>9500</v>
      </c>
      <c r="F1058" t="s">
        <v>25</v>
      </c>
      <c r="G1058">
        <v>8</v>
      </c>
      <c r="H1058" t="s">
        <v>68</v>
      </c>
      <c r="I1058">
        <v>9</v>
      </c>
      <c r="J1058" s="10">
        <f t="shared" si="16"/>
        <v>8</v>
      </c>
    </row>
    <row r="1059" spans="1:10" x14ac:dyDescent="0.2">
      <c r="A1059" s="6">
        <v>43115</v>
      </c>
      <c r="B1059">
        <v>2009</v>
      </c>
      <c r="C1059">
        <v>1740</v>
      </c>
      <c r="D1059">
        <v>1058</v>
      </c>
      <c r="E1059">
        <v>9200</v>
      </c>
      <c r="F1059" t="s">
        <v>25</v>
      </c>
      <c r="G1059">
        <v>12</v>
      </c>
      <c r="H1059" t="s">
        <v>68</v>
      </c>
      <c r="I1059">
        <v>10</v>
      </c>
      <c r="J1059" s="10">
        <f t="shared" si="16"/>
        <v>12</v>
      </c>
    </row>
    <row r="1060" spans="1:10" x14ac:dyDescent="0.2">
      <c r="A1060" s="6">
        <v>43111</v>
      </c>
      <c r="B1060">
        <v>2009</v>
      </c>
      <c r="C1060">
        <v>1740</v>
      </c>
      <c r="D1060">
        <v>1059</v>
      </c>
      <c r="E1060">
        <v>9400</v>
      </c>
      <c r="F1060" t="s">
        <v>25</v>
      </c>
      <c r="G1060">
        <v>8</v>
      </c>
      <c r="H1060" t="s">
        <v>68</v>
      </c>
      <c r="I1060">
        <v>10</v>
      </c>
      <c r="J1060" s="10">
        <f t="shared" si="16"/>
        <v>8</v>
      </c>
    </row>
    <row r="1061" spans="1:10" x14ac:dyDescent="0.2">
      <c r="A1061" s="6">
        <v>43102</v>
      </c>
      <c r="B1061">
        <v>2010</v>
      </c>
      <c r="C1061">
        <v>1740</v>
      </c>
      <c r="D1061">
        <v>1060</v>
      </c>
      <c r="E1061">
        <v>8900</v>
      </c>
      <c r="F1061" t="s">
        <v>25</v>
      </c>
      <c r="G1061">
        <v>5.5</v>
      </c>
      <c r="H1061" t="s">
        <v>68</v>
      </c>
      <c r="I1061">
        <v>9</v>
      </c>
      <c r="J1061" s="10">
        <f t="shared" si="16"/>
        <v>5.5</v>
      </c>
    </row>
    <row r="1062" spans="1:10" x14ac:dyDescent="0.2">
      <c r="A1062" s="6">
        <v>43097</v>
      </c>
      <c r="B1062">
        <v>2008</v>
      </c>
      <c r="C1062">
        <v>1740</v>
      </c>
      <c r="D1062">
        <v>1061</v>
      </c>
      <c r="E1062">
        <v>8475</v>
      </c>
      <c r="F1062" t="s">
        <v>25</v>
      </c>
      <c r="G1062">
        <v>4</v>
      </c>
      <c r="H1062" t="s">
        <v>68</v>
      </c>
      <c r="I1062">
        <v>11</v>
      </c>
      <c r="J1062" s="10">
        <f t="shared" si="16"/>
        <v>4</v>
      </c>
    </row>
    <row r="1063" spans="1:10" x14ac:dyDescent="0.2">
      <c r="A1063" s="6">
        <v>43097</v>
      </c>
      <c r="B1063">
        <v>2010</v>
      </c>
      <c r="C1063">
        <v>1740</v>
      </c>
      <c r="D1063">
        <v>1062</v>
      </c>
      <c r="E1063">
        <v>8500</v>
      </c>
      <c r="F1063" t="s">
        <v>25</v>
      </c>
      <c r="G1063">
        <v>6</v>
      </c>
      <c r="H1063" t="s">
        <v>68</v>
      </c>
      <c r="I1063">
        <v>9</v>
      </c>
      <c r="J1063" s="10">
        <f t="shared" si="16"/>
        <v>6</v>
      </c>
    </row>
    <row r="1064" spans="1:10" x14ac:dyDescent="0.2">
      <c r="A1064" s="6">
        <v>43097</v>
      </c>
      <c r="B1064">
        <v>2010</v>
      </c>
      <c r="C1064">
        <v>1740</v>
      </c>
      <c r="D1064">
        <v>1063</v>
      </c>
      <c r="E1064">
        <v>8500</v>
      </c>
      <c r="F1064" t="s">
        <v>25</v>
      </c>
      <c r="G1064">
        <v>5.5</v>
      </c>
      <c r="H1064" t="s">
        <v>68</v>
      </c>
      <c r="I1064">
        <v>9</v>
      </c>
      <c r="J1064" s="10">
        <f t="shared" si="16"/>
        <v>5.5</v>
      </c>
    </row>
    <row r="1065" spans="1:10" x14ac:dyDescent="0.2">
      <c r="A1065" s="6">
        <v>43073</v>
      </c>
      <c r="B1065">
        <v>2006</v>
      </c>
      <c r="C1065">
        <v>1740</v>
      </c>
      <c r="D1065">
        <v>1064</v>
      </c>
      <c r="E1065">
        <v>8250</v>
      </c>
      <c r="F1065" t="s">
        <v>25</v>
      </c>
      <c r="G1065">
        <v>6</v>
      </c>
      <c r="H1065" t="s">
        <v>68</v>
      </c>
      <c r="I1065">
        <v>13</v>
      </c>
      <c r="J1065" s="10">
        <f t="shared" si="16"/>
        <v>6</v>
      </c>
    </row>
    <row r="1066" spans="1:10" x14ac:dyDescent="0.2">
      <c r="A1066" s="6">
        <v>43056</v>
      </c>
      <c r="B1066">
        <v>2008</v>
      </c>
      <c r="C1066">
        <v>1740</v>
      </c>
      <c r="D1066">
        <v>1065</v>
      </c>
      <c r="E1066">
        <v>8000</v>
      </c>
      <c r="F1066" t="s">
        <v>25</v>
      </c>
      <c r="G1066">
        <v>6</v>
      </c>
      <c r="H1066" t="s">
        <v>68</v>
      </c>
      <c r="I1066">
        <v>11</v>
      </c>
      <c r="J1066" s="10">
        <f t="shared" si="16"/>
        <v>6</v>
      </c>
    </row>
    <row r="1067" spans="1:10" x14ac:dyDescent="0.2">
      <c r="A1067" s="6">
        <v>43055</v>
      </c>
      <c r="B1067">
        <v>2010</v>
      </c>
      <c r="C1067">
        <v>1740</v>
      </c>
      <c r="D1067">
        <v>1066</v>
      </c>
      <c r="E1067">
        <v>8500</v>
      </c>
      <c r="F1067" t="s">
        <v>25</v>
      </c>
      <c r="G1067">
        <v>35</v>
      </c>
      <c r="H1067" t="s">
        <v>26</v>
      </c>
      <c r="I1067">
        <v>9</v>
      </c>
      <c r="J1067" s="10">
        <f t="shared" si="16"/>
        <v>1</v>
      </c>
    </row>
    <row r="1068" spans="1:10" x14ac:dyDescent="0.2">
      <c r="A1068" s="6">
        <v>43054</v>
      </c>
      <c r="B1068">
        <v>2007</v>
      </c>
      <c r="C1068">
        <v>1740</v>
      </c>
      <c r="D1068">
        <v>1067</v>
      </c>
      <c r="E1068">
        <v>8000</v>
      </c>
      <c r="F1068" t="s">
        <v>25</v>
      </c>
      <c r="G1068">
        <v>6.5</v>
      </c>
      <c r="H1068" t="s">
        <v>68</v>
      </c>
      <c r="I1068">
        <v>12</v>
      </c>
      <c r="J1068" s="10">
        <f t="shared" si="16"/>
        <v>6.5</v>
      </c>
    </row>
    <row r="1069" spans="1:10" x14ac:dyDescent="0.2">
      <c r="A1069" s="6">
        <v>43054</v>
      </c>
      <c r="B1069">
        <v>2009</v>
      </c>
      <c r="C1069">
        <v>1740</v>
      </c>
      <c r="D1069">
        <v>1068</v>
      </c>
      <c r="E1069">
        <v>8000</v>
      </c>
      <c r="F1069" t="s">
        <v>25</v>
      </c>
      <c r="G1069">
        <v>6</v>
      </c>
      <c r="H1069" t="s">
        <v>68</v>
      </c>
      <c r="I1069">
        <v>10</v>
      </c>
      <c r="J1069" s="10">
        <f t="shared" si="16"/>
        <v>6</v>
      </c>
    </row>
    <row r="1070" spans="1:10" x14ac:dyDescent="0.2">
      <c r="A1070" s="6">
        <v>43054</v>
      </c>
      <c r="B1070">
        <v>2006</v>
      </c>
      <c r="C1070">
        <v>1740</v>
      </c>
      <c r="D1070">
        <v>1069</v>
      </c>
      <c r="E1070">
        <v>8000</v>
      </c>
      <c r="F1070" t="s">
        <v>25</v>
      </c>
      <c r="G1070">
        <v>5</v>
      </c>
      <c r="H1070" t="s">
        <v>68</v>
      </c>
      <c r="I1070">
        <v>13</v>
      </c>
      <c r="J1070" s="10">
        <f t="shared" si="16"/>
        <v>5</v>
      </c>
    </row>
    <row r="1071" spans="1:10" x14ac:dyDescent="0.2">
      <c r="A1071" s="6">
        <v>43038</v>
      </c>
      <c r="B1071">
        <v>2008</v>
      </c>
      <c r="C1071">
        <v>1740</v>
      </c>
      <c r="D1071">
        <v>1070</v>
      </c>
      <c r="E1071">
        <v>9000</v>
      </c>
      <c r="F1071" t="s">
        <v>25</v>
      </c>
      <c r="G1071">
        <v>12</v>
      </c>
      <c r="H1071" t="s">
        <v>68</v>
      </c>
      <c r="I1071">
        <v>11</v>
      </c>
      <c r="J1071" s="10">
        <f t="shared" si="16"/>
        <v>12</v>
      </c>
    </row>
    <row r="1072" spans="1:10" x14ac:dyDescent="0.2">
      <c r="A1072" s="6">
        <v>43028</v>
      </c>
      <c r="B1072">
        <v>2007</v>
      </c>
      <c r="C1072">
        <v>1740</v>
      </c>
      <c r="D1072">
        <v>1071</v>
      </c>
      <c r="E1072">
        <v>8350</v>
      </c>
      <c r="F1072" t="s">
        <v>25</v>
      </c>
      <c r="G1072">
        <v>12</v>
      </c>
      <c r="H1072" t="s">
        <v>68</v>
      </c>
      <c r="I1072">
        <v>12</v>
      </c>
      <c r="J1072" s="10">
        <f t="shared" si="16"/>
        <v>12</v>
      </c>
    </row>
    <row r="1073" spans="1:10" x14ac:dyDescent="0.2">
      <c r="A1073" s="6">
        <v>43018</v>
      </c>
      <c r="B1073">
        <v>2008</v>
      </c>
      <c r="C1073">
        <v>1740</v>
      </c>
      <c r="D1073">
        <v>1072</v>
      </c>
      <c r="E1073">
        <v>7750</v>
      </c>
      <c r="F1073" t="s">
        <v>25</v>
      </c>
      <c r="G1073">
        <v>10</v>
      </c>
      <c r="H1073" t="s">
        <v>68</v>
      </c>
      <c r="I1073">
        <v>11</v>
      </c>
      <c r="J1073" s="10">
        <f t="shared" si="16"/>
        <v>10</v>
      </c>
    </row>
    <row r="1074" spans="1:10" x14ac:dyDescent="0.2">
      <c r="A1074" s="6">
        <v>42983</v>
      </c>
      <c r="B1074">
        <v>2007</v>
      </c>
      <c r="C1074">
        <v>1740</v>
      </c>
      <c r="D1074">
        <v>1073</v>
      </c>
      <c r="E1074">
        <v>7100</v>
      </c>
      <c r="F1074" t="s">
        <v>25</v>
      </c>
      <c r="G1074">
        <v>7</v>
      </c>
      <c r="H1074" t="s">
        <v>68</v>
      </c>
      <c r="I1074">
        <v>12</v>
      </c>
      <c r="J1074" s="10">
        <f t="shared" si="16"/>
        <v>7</v>
      </c>
    </row>
    <row r="1075" spans="1:10" x14ac:dyDescent="0.2">
      <c r="A1075" s="6">
        <v>42969</v>
      </c>
      <c r="B1075">
        <v>2010</v>
      </c>
      <c r="C1075">
        <v>1740</v>
      </c>
      <c r="D1075">
        <v>1074</v>
      </c>
      <c r="E1075">
        <v>7400</v>
      </c>
      <c r="F1075" t="s">
        <v>25</v>
      </c>
      <c r="G1075">
        <v>6</v>
      </c>
      <c r="H1075" t="s">
        <v>68</v>
      </c>
      <c r="I1075">
        <v>9</v>
      </c>
      <c r="J1075" s="10">
        <f t="shared" si="16"/>
        <v>6</v>
      </c>
    </row>
    <row r="1076" spans="1:10" x14ac:dyDescent="0.2">
      <c r="A1076" s="6">
        <v>42968</v>
      </c>
      <c r="B1076">
        <v>2008</v>
      </c>
      <c r="C1076">
        <v>1740</v>
      </c>
      <c r="D1076">
        <v>1075</v>
      </c>
      <c r="E1076">
        <v>7000</v>
      </c>
      <c r="F1076" t="s">
        <v>25</v>
      </c>
      <c r="G1076">
        <v>8</v>
      </c>
      <c r="H1076" t="s">
        <v>68</v>
      </c>
      <c r="I1076">
        <v>11</v>
      </c>
      <c r="J1076" s="10">
        <f t="shared" si="16"/>
        <v>8</v>
      </c>
    </row>
    <row r="1077" spans="1:10" x14ac:dyDescent="0.2">
      <c r="A1077" s="6">
        <v>42963</v>
      </c>
      <c r="B1077">
        <v>2008</v>
      </c>
      <c r="C1077">
        <v>1740</v>
      </c>
      <c r="D1077">
        <v>1076</v>
      </c>
      <c r="E1077">
        <v>7650</v>
      </c>
      <c r="F1077" t="s">
        <v>25</v>
      </c>
      <c r="G1077">
        <v>5</v>
      </c>
      <c r="H1077" t="s">
        <v>68</v>
      </c>
      <c r="I1077">
        <v>11</v>
      </c>
      <c r="J1077" s="10">
        <f t="shared" si="16"/>
        <v>5</v>
      </c>
    </row>
    <row r="1078" spans="1:10" x14ac:dyDescent="0.2">
      <c r="A1078" s="6">
        <v>42948</v>
      </c>
      <c r="B1078">
        <v>2006</v>
      </c>
      <c r="C1078">
        <v>1740</v>
      </c>
      <c r="D1078">
        <v>1077</v>
      </c>
      <c r="E1078">
        <v>6850</v>
      </c>
      <c r="F1078" t="s">
        <v>25</v>
      </c>
      <c r="G1078">
        <v>30</v>
      </c>
      <c r="H1078" t="s">
        <v>26</v>
      </c>
      <c r="I1078">
        <v>13</v>
      </c>
      <c r="J1078" s="10">
        <f t="shared" si="16"/>
        <v>1</v>
      </c>
    </row>
    <row r="1079" spans="1:10" x14ac:dyDescent="0.2">
      <c r="A1079" s="6">
        <v>42941</v>
      </c>
      <c r="B1079">
        <v>2007</v>
      </c>
      <c r="C1079">
        <v>1740</v>
      </c>
      <c r="D1079">
        <v>1078</v>
      </c>
      <c r="E1079">
        <v>7000</v>
      </c>
      <c r="F1079" t="s">
        <v>25</v>
      </c>
      <c r="G1079">
        <v>90</v>
      </c>
      <c r="H1079" t="s">
        <v>26</v>
      </c>
      <c r="I1079">
        <v>12</v>
      </c>
      <c r="J1079" s="10">
        <f t="shared" si="16"/>
        <v>3</v>
      </c>
    </row>
    <row r="1080" spans="1:10" x14ac:dyDescent="0.2">
      <c r="A1080" s="6">
        <v>42941</v>
      </c>
      <c r="B1080">
        <v>2009</v>
      </c>
      <c r="C1080">
        <v>1740</v>
      </c>
      <c r="D1080">
        <v>1079</v>
      </c>
      <c r="E1080">
        <v>7000</v>
      </c>
      <c r="F1080" t="s">
        <v>25</v>
      </c>
      <c r="G1080">
        <v>90</v>
      </c>
      <c r="H1080" t="s">
        <v>26</v>
      </c>
      <c r="I1080">
        <v>10</v>
      </c>
      <c r="J1080" s="10">
        <f t="shared" si="16"/>
        <v>3</v>
      </c>
    </row>
    <row r="1081" spans="1:10" x14ac:dyDescent="0.2">
      <c r="A1081" s="6">
        <v>42936</v>
      </c>
      <c r="B1081">
        <v>2008</v>
      </c>
      <c r="C1081">
        <v>1740</v>
      </c>
      <c r="D1081">
        <v>1080</v>
      </c>
      <c r="E1081">
        <v>7250</v>
      </c>
      <c r="F1081" t="s">
        <v>25</v>
      </c>
      <c r="G1081">
        <v>9</v>
      </c>
      <c r="H1081" t="s">
        <v>68</v>
      </c>
      <c r="I1081">
        <v>11</v>
      </c>
      <c r="J1081" s="10">
        <f t="shared" si="16"/>
        <v>9</v>
      </c>
    </row>
    <row r="1082" spans="1:10" x14ac:dyDescent="0.2">
      <c r="A1082" s="6">
        <v>42930</v>
      </c>
      <c r="B1082">
        <v>2010</v>
      </c>
      <c r="C1082">
        <v>1740</v>
      </c>
      <c r="D1082">
        <v>1081</v>
      </c>
      <c r="E1082">
        <v>6950</v>
      </c>
      <c r="F1082" t="s">
        <v>25</v>
      </c>
      <c r="G1082">
        <v>6</v>
      </c>
      <c r="H1082" t="s">
        <v>68</v>
      </c>
      <c r="I1082">
        <v>9</v>
      </c>
      <c r="J1082" s="10">
        <f t="shared" si="16"/>
        <v>6</v>
      </c>
    </row>
    <row r="1083" spans="1:10" x14ac:dyDescent="0.2">
      <c r="A1083" s="6">
        <v>42916</v>
      </c>
      <c r="B1083">
        <v>2007</v>
      </c>
      <c r="C1083">
        <v>1740</v>
      </c>
      <c r="D1083">
        <v>1082</v>
      </c>
      <c r="E1083">
        <v>7000</v>
      </c>
      <c r="F1083" t="s">
        <v>25</v>
      </c>
      <c r="G1083">
        <v>3</v>
      </c>
      <c r="H1083" t="s">
        <v>68</v>
      </c>
      <c r="I1083">
        <v>12</v>
      </c>
      <c r="J1083" s="10">
        <f t="shared" si="16"/>
        <v>3</v>
      </c>
    </row>
    <row r="1084" spans="1:10" x14ac:dyDescent="0.2">
      <c r="A1084" s="6">
        <v>42914</v>
      </c>
      <c r="B1084">
        <v>2008</v>
      </c>
      <c r="C1084">
        <v>1740</v>
      </c>
      <c r="D1084">
        <v>1083</v>
      </c>
      <c r="E1084">
        <v>7200</v>
      </c>
      <c r="F1084" t="s">
        <v>25</v>
      </c>
      <c r="G1084">
        <v>3</v>
      </c>
      <c r="H1084" t="s">
        <v>68</v>
      </c>
      <c r="I1084">
        <v>11</v>
      </c>
      <c r="J1084" s="10">
        <f t="shared" si="16"/>
        <v>3</v>
      </c>
    </row>
    <row r="1085" spans="1:10" x14ac:dyDescent="0.2">
      <c r="A1085" s="6">
        <v>42898</v>
      </c>
      <c r="B1085">
        <v>2007</v>
      </c>
      <c r="C1085">
        <v>1740</v>
      </c>
      <c r="D1085">
        <v>1084</v>
      </c>
      <c r="E1085">
        <v>7150</v>
      </c>
      <c r="F1085" t="s">
        <v>25</v>
      </c>
      <c r="G1085">
        <v>12</v>
      </c>
      <c r="H1085" t="s">
        <v>68</v>
      </c>
      <c r="I1085">
        <v>12</v>
      </c>
      <c r="J1085" s="10">
        <f t="shared" si="16"/>
        <v>12</v>
      </c>
    </row>
    <row r="1086" spans="1:10" x14ac:dyDescent="0.2">
      <c r="A1086" s="6">
        <v>42898</v>
      </c>
      <c r="B1086">
        <v>2006</v>
      </c>
      <c r="C1086">
        <v>1740</v>
      </c>
      <c r="D1086">
        <v>1085</v>
      </c>
      <c r="E1086">
        <v>7250</v>
      </c>
      <c r="F1086" t="s">
        <v>25</v>
      </c>
      <c r="G1086">
        <v>9</v>
      </c>
      <c r="H1086" t="s">
        <v>68</v>
      </c>
      <c r="I1086">
        <v>13</v>
      </c>
      <c r="J1086" s="10">
        <f t="shared" si="16"/>
        <v>9</v>
      </c>
    </row>
    <row r="1087" spans="1:10" x14ac:dyDescent="0.2">
      <c r="A1087" s="6">
        <v>42898</v>
      </c>
      <c r="B1087">
        <v>2006</v>
      </c>
      <c r="C1087">
        <v>1740</v>
      </c>
      <c r="D1087">
        <v>1086</v>
      </c>
      <c r="E1087">
        <v>6600</v>
      </c>
      <c r="F1087" t="s">
        <v>25</v>
      </c>
      <c r="G1087">
        <v>5</v>
      </c>
      <c r="H1087" t="s">
        <v>68</v>
      </c>
      <c r="I1087">
        <v>13</v>
      </c>
      <c r="J1087" s="10">
        <f t="shared" si="16"/>
        <v>5</v>
      </c>
    </row>
    <row r="1088" spans="1:10" x14ac:dyDescent="0.2">
      <c r="A1088" s="6">
        <v>42895</v>
      </c>
      <c r="B1088">
        <v>2008</v>
      </c>
      <c r="C1088">
        <v>1740</v>
      </c>
      <c r="D1088">
        <v>1087</v>
      </c>
      <c r="E1088">
        <v>7250</v>
      </c>
      <c r="F1088" t="s">
        <v>25</v>
      </c>
      <c r="G1088">
        <v>3</v>
      </c>
      <c r="H1088" t="s">
        <v>68</v>
      </c>
      <c r="I1088">
        <v>11</v>
      </c>
      <c r="J1088" s="10">
        <f t="shared" si="16"/>
        <v>3</v>
      </c>
    </row>
    <row r="1089" spans="1:10" x14ac:dyDescent="0.2">
      <c r="A1089" s="6">
        <v>42891</v>
      </c>
      <c r="B1089">
        <v>2006</v>
      </c>
      <c r="C1089">
        <v>1740</v>
      </c>
      <c r="D1089">
        <v>1088</v>
      </c>
      <c r="E1089">
        <v>7000</v>
      </c>
      <c r="F1089" t="s">
        <v>25</v>
      </c>
      <c r="G1089">
        <v>5</v>
      </c>
      <c r="H1089" t="s">
        <v>68</v>
      </c>
      <c r="I1089">
        <v>13</v>
      </c>
      <c r="J1089" s="10">
        <f t="shared" si="16"/>
        <v>5</v>
      </c>
    </row>
    <row r="1090" spans="1:10" x14ac:dyDescent="0.2">
      <c r="A1090" s="6">
        <v>42887</v>
      </c>
      <c r="B1090">
        <v>2009</v>
      </c>
      <c r="C1090">
        <v>1740</v>
      </c>
      <c r="D1090">
        <v>1089</v>
      </c>
      <c r="E1090">
        <v>7000</v>
      </c>
      <c r="F1090" t="s">
        <v>25</v>
      </c>
      <c r="G1090">
        <v>5</v>
      </c>
      <c r="H1090" t="s">
        <v>68</v>
      </c>
      <c r="I1090">
        <v>10</v>
      </c>
      <c r="J1090" s="10">
        <f t="shared" ref="J1090:J1153" si="17">IF(H1090="days",ROUND(G1090/30,0),IF(H1090="years",G1090*12,G1090))</f>
        <v>5</v>
      </c>
    </row>
    <row r="1091" spans="1:10" x14ac:dyDescent="0.2">
      <c r="A1091" s="6">
        <v>42878</v>
      </c>
      <c r="B1091">
        <v>2008</v>
      </c>
      <c r="C1091">
        <v>1740</v>
      </c>
      <c r="D1091">
        <v>1090</v>
      </c>
      <c r="E1091">
        <v>7000</v>
      </c>
      <c r="F1091" t="s">
        <v>25</v>
      </c>
      <c r="G1091">
        <v>6</v>
      </c>
      <c r="H1091" t="s">
        <v>68</v>
      </c>
      <c r="I1091">
        <v>11</v>
      </c>
      <c r="J1091" s="10">
        <f t="shared" si="17"/>
        <v>6</v>
      </c>
    </row>
    <row r="1092" spans="1:10" x14ac:dyDescent="0.2">
      <c r="A1092" s="6">
        <v>42866</v>
      </c>
      <c r="B1092">
        <v>2008</v>
      </c>
      <c r="C1092">
        <v>1740</v>
      </c>
      <c r="D1092">
        <v>1091</v>
      </c>
      <c r="E1092">
        <v>7950</v>
      </c>
      <c r="F1092" t="s">
        <v>25</v>
      </c>
      <c r="G1092">
        <v>12</v>
      </c>
      <c r="H1092" t="s">
        <v>68</v>
      </c>
      <c r="I1092">
        <v>11</v>
      </c>
      <c r="J1092" s="10">
        <f t="shared" si="17"/>
        <v>12</v>
      </c>
    </row>
    <row r="1093" spans="1:10" x14ac:dyDescent="0.2">
      <c r="A1093" s="6">
        <v>42858</v>
      </c>
      <c r="B1093">
        <v>2008</v>
      </c>
      <c r="C1093">
        <v>1740</v>
      </c>
      <c r="D1093">
        <v>1092</v>
      </c>
      <c r="E1093">
        <v>7000</v>
      </c>
      <c r="F1093" t="s">
        <v>25</v>
      </c>
      <c r="G1093">
        <v>5</v>
      </c>
      <c r="H1093" t="s">
        <v>68</v>
      </c>
      <c r="I1093">
        <v>11</v>
      </c>
      <c r="J1093" s="10">
        <f t="shared" si="17"/>
        <v>5</v>
      </c>
    </row>
    <row r="1094" spans="1:10" x14ac:dyDescent="0.2">
      <c r="A1094" s="6">
        <v>42835</v>
      </c>
      <c r="B1094">
        <v>2007</v>
      </c>
      <c r="C1094">
        <v>1740</v>
      </c>
      <c r="D1094">
        <v>1093</v>
      </c>
      <c r="E1094">
        <v>6775</v>
      </c>
      <c r="F1094" t="s">
        <v>25</v>
      </c>
      <c r="G1094">
        <v>12</v>
      </c>
      <c r="H1094" t="s">
        <v>68</v>
      </c>
      <c r="I1094">
        <v>12</v>
      </c>
      <c r="J1094" s="10">
        <f t="shared" si="17"/>
        <v>12</v>
      </c>
    </row>
    <row r="1095" spans="1:10" x14ac:dyDescent="0.2">
      <c r="A1095" s="6">
        <v>42831</v>
      </c>
      <c r="B1095">
        <v>2007</v>
      </c>
      <c r="C1095">
        <v>1740</v>
      </c>
      <c r="D1095">
        <v>1094</v>
      </c>
      <c r="E1095">
        <v>7000</v>
      </c>
      <c r="F1095" t="s">
        <v>25</v>
      </c>
      <c r="G1095">
        <v>6</v>
      </c>
      <c r="H1095" t="s">
        <v>68</v>
      </c>
      <c r="I1095">
        <v>12</v>
      </c>
      <c r="J1095" s="10">
        <f t="shared" si="17"/>
        <v>6</v>
      </c>
    </row>
    <row r="1096" spans="1:10" x14ac:dyDescent="0.2">
      <c r="A1096" s="6">
        <v>42826</v>
      </c>
      <c r="B1096">
        <v>2009</v>
      </c>
      <c r="C1096">
        <v>1740</v>
      </c>
      <c r="D1096">
        <v>1095</v>
      </c>
      <c r="E1096">
        <v>7000</v>
      </c>
      <c r="F1096" t="s">
        <v>25</v>
      </c>
      <c r="G1096">
        <v>84</v>
      </c>
      <c r="H1096" t="s">
        <v>26</v>
      </c>
      <c r="I1096">
        <v>10</v>
      </c>
      <c r="J1096" s="10">
        <f t="shared" si="17"/>
        <v>3</v>
      </c>
    </row>
    <row r="1097" spans="1:10" x14ac:dyDescent="0.2">
      <c r="A1097" s="6">
        <v>42821</v>
      </c>
      <c r="B1097">
        <v>2008</v>
      </c>
      <c r="C1097">
        <v>1740</v>
      </c>
      <c r="D1097">
        <v>1096</v>
      </c>
      <c r="E1097">
        <v>6950</v>
      </c>
      <c r="F1097" t="s">
        <v>25</v>
      </c>
      <c r="G1097">
        <v>3</v>
      </c>
      <c r="H1097" t="s">
        <v>68</v>
      </c>
      <c r="I1097">
        <v>11</v>
      </c>
      <c r="J1097" s="10">
        <f t="shared" si="17"/>
        <v>3</v>
      </c>
    </row>
    <row r="1098" spans="1:10" x14ac:dyDescent="0.2">
      <c r="A1098" s="6">
        <v>42818</v>
      </c>
      <c r="B1098">
        <v>2010</v>
      </c>
      <c r="C1098">
        <v>1740</v>
      </c>
      <c r="D1098">
        <v>1097</v>
      </c>
      <c r="E1098">
        <v>6650</v>
      </c>
      <c r="F1098" t="s">
        <v>25</v>
      </c>
      <c r="G1098">
        <v>6</v>
      </c>
      <c r="H1098" t="s">
        <v>68</v>
      </c>
      <c r="I1098">
        <v>9</v>
      </c>
      <c r="J1098" s="10">
        <f t="shared" si="17"/>
        <v>6</v>
      </c>
    </row>
    <row r="1099" spans="1:10" x14ac:dyDescent="0.2">
      <c r="A1099" s="6">
        <v>42815</v>
      </c>
      <c r="B1099">
        <v>2007</v>
      </c>
      <c r="C1099">
        <v>1740</v>
      </c>
      <c r="D1099">
        <v>1098</v>
      </c>
      <c r="E1099">
        <v>6500</v>
      </c>
      <c r="F1099" t="s">
        <v>25</v>
      </c>
      <c r="G1099">
        <v>4</v>
      </c>
      <c r="H1099" t="s">
        <v>68</v>
      </c>
      <c r="I1099">
        <v>12</v>
      </c>
      <c r="J1099" s="10">
        <f t="shared" si="17"/>
        <v>4</v>
      </c>
    </row>
    <row r="1100" spans="1:10" x14ac:dyDescent="0.2">
      <c r="A1100" s="6">
        <v>42795</v>
      </c>
      <c r="B1100">
        <v>2009</v>
      </c>
      <c r="C1100">
        <v>1740</v>
      </c>
      <c r="D1100">
        <v>1099</v>
      </c>
      <c r="E1100">
        <v>6950</v>
      </c>
      <c r="F1100" t="s">
        <v>25</v>
      </c>
      <c r="G1100">
        <v>5</v>
      </c>
      <c r="H1100" t="s">
        <v>68</v>
      </c>
      <c r="I1100">
        <v>10</v>
      </c>
      <c r="J1100" s="10">
        <f t="shared" si="17"/>
        <v>5</v>
      </c>
    </row>
    <row r="1101" spans="1:10" x14ac:dyDescent="0.2">
      <c r="A1101" s="6">
        <v>42795</v>
      </c>
      <c r="B1101">
        <v>2010</v>
      </c>
      <c r="C1101">
        <v>1740</v>
      </c>
      <c r="D1101">
        <v>1100</v>
      </c>
      <c r="E1101">
        <v>6400</v>
      </c>
      <c r="F1101" t="s">
        <v>25</v>
      </c>
      <c r="G1101">
        <v>4.5</v>
      </c>
      <c r="H1101" t="s">
        <v>68</v>
      </c>
      <c r="I1101">
        <v>9</v>
      </c>
      <c r="J1101" s="10">
        <f t="shared" si="17"/>
        <v>4.5</v>
      </c>
    </row>
    <row r="1102" spans="1:10" x14ac:dyDescent="0.2">
      <c r="A1102" s="6">
        <v>42774</v>
      </c>
      <c r="B1102">
        <v>2006</v>
      </c>
      <c r="C1102">
        <v>1740</v>
      </c>
      <c r="D1102">
        <v>1101</v>
      </c>
      <c r="E1102">
        <v>6400</v>
      </c>
      <c r="F1102" t="s">
        <v>25</v>
      </c>
      <c r="G1102">
        <v>5</v>
      </c>
      <c r="H1102" t="s">
        <v>68</v>
      </c>
      <c r="I1102">
        <v>13</v>
      </c>
      <c r="J1102" s="10">
        <f t="shared" si="17"/>
        <v>5</v>
      </c>
    </row>
    <row r="1103" spans="1:10" x14ac:dyDescent="0.2">
      <c r="A1103" s="6">
        <v>42767</v>
      </c>
      <c r="B1103">
        <v>2009</v>
      </c>
      <c r="C1103">
        <v>1740</v>
      </c>
      <c r="D1103">
        <v>1102</v>
      </c>
      <c r="E1103">
        <v>6400</v>
      </c>
      <c r="F1103" t="s">
        <v>25</v>
      </c>
      <c r="G1103">
        <v>12</v>
      </c>
      <c r="H1103" t="s">
        <v>68</v>
      </c>
      <c r="I1103">
        <v>10</v>
      </c>
      <c r="J1103" s="10">
        <f t="shared" si="17"/>
        <v>12</v>
      </c>
    </row>
    <row r="1104" spans="1:10" x14ac:dyDescent="0.2">
      <c r="A1104" s="6">
        <v>42767</v>
      </c>
      <c r="B1104">
        <v>2007</v>
      </c>
      <c r="C1104">
        <v>1740</v>
      </c>
      <c r="D1104">
        <v>1103</v>
      </c>
      <c r="E1104">
        <v>6650</v>
      </c>
      <c r="F1104" t="s">
        <v>25</v>
      </c>
      <c r="G1104">
        <v>8</v>
      </c>
      <c r="H1104" t="s">
        <v>68</v>
      </c>
      <c r="I1104">
        <v>12</v>
      </c>
      <c r="J1104" s="10">
        <f t="shared" si="17"/>
        <v>8</v>
      </c>
    </row>
    <row r="1105" spans="1:10" x14ac:dyDescent="0.2">
      <c r="A1105" s="6">
        <v>42761</v>
      </c>
      <c r="B1105">
        <v>2008</v>
      </c>
      <c r="C1105">
        <v>1740</v>
      </c>
      <c r="D1105">
        <v>1104</v>
      </c>
      <c r="E1105">
        <v>6350</v>
      </c>
      <c r="F1105" t="s">
        <v>25</v>
      </c>
      <c r="G1105">
        <v>4</v>
      </c>
      <c r="H1105" t="s">
        <v>68</v>
      </c>
      <c r="I1105">
        <v>11</v>
      </c>
      <c r="J1105" s="10">
        <f t="shared" si="17"/>
        <v>4</v>
      </c>
    </row>
    <row r="1106" spans="1:10" x14ac:dyDescent="0.2">
      <c r="A1106" s="6">
        <v>42758</v>
      </c>
      <c r="B1106">
        <v>2008</v>
      </c>
      <c r="C1106">
        <v>1740</v>
      </c>
      <c r="D1106">
        <v>1105</v>
      </c>
      <c r="E1106">
        <v>6500</v>
      </c>
      <c r="F1106" t="s">
        <v>25</v>
      </c>
      <c r="G1106">
        <v>5</v>
      </c>
      <c r="H1106" t="s">
        <v>68</v>
      </c>
      <c r="I1106">
        <v>11</v>
      </c>
      <c r="J1106" s="10">
        <f t="shared" si="17"/>
        <v>5</v>
      </c>
    </row>
    <row r="1107" spans="1:10" x14ac:dyDescent="0.2">
      <c r="A1107" s="6">
        <v>42744</v>
      </c>
      <c r="B1107">
        <v>2010</v>
      </c>
      <c r="C1107">
        <v>1740</v>
      </c>
      <c r="D1107">
        <v>1106</v>
      </c>
      <c r="E1107">
        <v>6500</v>
      </c>
      <c r="F1107" t="s">
        <v>25</v>
      </c>
      <c r="G1107">
        <v>5</v>
      </c>
      <c r="H1107" t="s">
        <v>68</v>
      </c>
      <c r="I1107">
        <v>9</v>
      </c>
      <c r="J1107" s="10">
        <f t="shared" si="17"/>
        <v>5</v>
      </c>
    </row>
    <row r="1108" spans="1:10" x14ac:dyDescent="0.2">
      <c r="A1108" s="6">
        <v>42741</v>
      </c>
      <c r="B1108">
        <v>2010</v>
      </c>
      <c r="C1108">
        <v>1740</v>
      </c>
      <c r="D1108">
        <v>1107</v>
      </c>
      <c r="E1108">
        <v>6700</v>
      </c>
      <c r="F1108" t="s">
        <v>25</v>
      </c>
      <c r="G1108">
        <v>12</v>
      </c>
      <c r="H1108" t="s">
        <v>68</v>
      </c>
      <c r="I1108">
        <v>9</v>
      </c>
      <c r="J1108" s="10">
        <f t="shared" si="17"/>
        <v>12</v>
      </c>
    </row>
    <row r="1109" spans="1:10" x14ac:dyDescent="0.2">
      <c r="A1109" s="6">
        <v>42725</v>
      </c>
      <c r="B1109">
        <v>2007</v>
      </c>
      <c r="C1109">
        <v>1740</v>
      </c>
      <c r="D1109">
        <v>1108</v>
      </c>
      <c r="E1109">
        <v>6500</v>
      </c>
      <c r="F1109" t="s">
        <v>25</v>
      </c>
      <c r="G1109">
        <v>6</v>
      </c>
      <c r="H1109" t="s">
        <v>68</v>
      </c>
      <c r="I1109">
        <v>12</v>
      </c>
      <c r="J1109" s="10">
        <f t="shared" si="17"/>
        <v>6</v>
      </c>
    </row>
    <row r="1110" spans="1:10" x14ac:dyDescent="0.2">
      <c r="A1110" s="6">
        <v>42709</v>
      </c>
      <c r="B1110">
        <v>2007</v>
      </c>
      <c r="C1110">
        <v>1740</v>
      </c>
      <c r="D1110">
        <v>1109</v>
      </c>
      <c r="E1110">
        <v>5500</v>
      </c>
      <c r="F1110" t="s">
        <v>25</v>
      </c>
      <c r="G1110">
        <v>12</v>
      </c>
      <c r="H1110" t="s">
        <v>68</v>
      </c>
      <c r="I1110">
        <v>12</v>
      </c>
      <c r="J1110" s="10">
        <f t="shared" si="17"/>
        <v>12</v>
      </c>
    </row>
    <row r="1111" spans="1:10" x14ac:dyDescent="0.2">
      <c r="A1111" s="6">
        <v>42709</v>
      </c>
      <c r="B1111">
        <v>2009</v>
      </c>
      <c r="C1111">
        <v>1740</v>
      </c>
      <c r="D1111">
        <v>1110</v>
      </c>
      <c r="E1111">
        <v>6500</v>
      </c>
      <c r="F1111" t="s">
        <v>25</v>
      </c>
      <c r="G1111">
        <v>5</v>
      </c>
      <c r="H1111" t="s">
        <v>68</v>
      </c>
      <c r="I1111">
        <v>10</v>
      </c>
      <c r="J1111" s="10">
        <f t="shared" si="17"/>
        <v>5</v>
      </c>
    </row>
    <row r="1112" spans="1:10" x14ac:dyDescent="0.2">
      <c r="A1112" s="6">
        <v>42705</v>
      </c>
      <c r="B1112">
        <v>2010</v>
      </c>
      <c r="C1112">
        <v>1740</v>
      </c>
      <c r="D1112">
        <v>1111</v>
      </c>
      <c r="E1112">
        <v>6100</v>
      </c>
      <c r="F1112" t="s">
        <v>25</v>
      </c>
      <c r="G1112">
        <v>14</v>
      </c>
      <c r="H1112" t="s">
        <v>68</v>
      </c>
      <c r="I1112">
        <v>9</v>
      </c>
      <c r="J1112" s="10">
        <f t="shared" si="17"/>
        <v>14</v>
      </c>
    </row>
    <row r="1113" spans="1:10" x14ac:dyDescent="0.2">
      <c r="A1113" s="6">
        <v>42692</v>
      </c>
      <c r="B1113">
        <v>2008</v>
      </c>
      <c r="C1113">
        <v>1740</v>
      </c>
      <c r="D1113">
        <v>1112</v>
      </c>
      <c r="E1113">
        <v>7000</v>
      </c>
      <c r="F1113" t="s">
        <v>25</v>
      </c>
      <c r="G1113">
        <v>30</v>
      </c>
      <c r="H1113" t="s">
        <v>26</v>
      </c>
      <c r="I1113">
        <v>11</v>
      </c>
      <c r="J1113" s="10">
        <f t="shared" si="17"/>
        <v>1</v>
      </c>
    </row>
    <row r="1114" spans="1:10" x14ac:dyDescent="0.2">
      <c r="A1114" s="6">
        <v>42650</v>
      </c>
      <c r="B1114">
        <v>2006</v>
      </c>
      <c r="C1114">
        <v>1740</v>
      </c>
      <c r="D1114">
        <v>1113</v>
      </c>
      <c r="E1114">
        <v>6400</v>
      </c>
      <c r="F1114" t="s">
        <v>25</v>
      </c>
      <c r="G1114">
        <v>8</v>
      </c>
      <c r="H1114" t="s">
        <v>68</v>
      </c>
      <c r="I1114">
        <v>13</v>
      </c>
      <c r="J1114" s="10">
        <f t="shared" si="17"/>
        <v>8</v>
      </c>
    </row>
    <row r="1115" spans="1:10" x14ac:dyDescent="0.2">
      <c r="A1115" s="6">
        <v>42642</v>
      </c>
      <c r="B1115">
        <v>2006</v>
      </c>
      <c r="C1115">
        <v>1740</v>
      </c>
      <c r="D1115">
        <v>1114</v>
      </c>
      <c r="E1115">
        <v>6400</v>
      </c>
      <c r="F1115" t="s">
        <v>25</v>
      </c>
      <c r="G1115">
        <v>6</v>
      </c>
      <c r="H1115" t="s">
        <v>68</v>
      </c>
      <c r="I1115">
        <v>13</v>
      </c>
      <c r="J1115" s="10">
        <f t="shared" si="17"/>
        <v>6</v>
      </c>
    </row>
    <row r="1116" spans="1:10" x14ac:dyDescent="0.2">
      <c r="A1116" s="6">
        <v>42639</v>
      </c>
      <c r="B1116">
        <v>2008</v>
      </c>
      <c r="C1116">
        <v>1740</v>
      </c>
      <c r="D1116">
        <v>1115</v>
      </c>
      <c r="E1116">
        <v>7000</v>
      </c>
      <c r="F1116" t="s">
        <v>25</v>
      </c>
      <c r="G1116">
        <v>7</v>
      </c>
      <c r="H1116" t="s">
        <v>68</v>
      </c>
      <c r="I1116">
        <v>11</v>
      </c>
      <c r="J1116" s="10">
        <f t="shared" si="17"/>
        <v>7</v>
      </c>
    </row>
    <row r="1117" spans="1:10" x14ac:dyDescent="0.2">
      <c r="A1117" s="6">
        <v>42628</v>
      </c>
      <c r="B1117">
        <v>2010</v>
      </c>
      <c r="C1117">
        <v>1740</v>
      </c>
      <c r="D1117">
        <v>1116</v>
      </c>
      <c r="E1117">
        <v>6700</v>
      </c>
      <c r="F1117" t="s">
        <v>25</v>
      </c>
      <c r="G1117">
        <v>4</v>
      </c>
      <c r="H1117" t="s">
        <v>68</v>
      </c>
      <c r="I1117">
        <v>9</v>
      </c>
      <c r="J1117" s="10">
        <f t="shared" si="17"/>
        <v>4</v>
      </c>
    </row>
    <row r="1118" spans="1:10" x14ac:dyDescent="0.2">
      <c r="A1118" s="6">
        <v>42621</v>
      </c>
      <c r="B1118">
        <v>2008</v>
      </c>
      <c r="C1118">
        <v>1740</v>
      </c>
      <c r="D1118">
        <v>1117</v>
      </c>
      <c r="E1118">
        <v>6750</v>
      </c>
      <c r="F1118" t="s">
        <v>25</v>
      </c>
      <c r="G1118">
        <v>6</v>
      </c>
      <c r="H1118" t="s">
        <v>68</v>
      </c>
      <c r="I1118">
        <v>11</v>
      </c>
      <c r="J1118" s="10">
        <f t="shared" si="17"/>
        <v>6</v>
      </c>
    </row>
    <row r="1119" spans="1:10" x14ac:dyDescent="0.2">
      <c r="A1119" s="6">
        <v>42615</v>
      </c>
      <c r="B1119">
        <v>2007</v>
      </c>
      <c r="C1119">
        <v>1740</v>
      </c>
      <c r="D1119">
        <v>1118</v>
      </c>
      <c r="E1119">
        <v>6400</v>
      </c>
      <c r="F1119" t="s">
        <v>25</v>
      </c>
      <c r="G1119">
        <v>6</v>
      </c>
      <c r="H1119" t="s">
        <v>68</v>
      </c>
      <c r="I1119">
        <v>12</v>
      </c>
      <c r="J1119" s="10">
        <f t="shared" si="17"/>
        <v>6</v>
      </c>
    </row>
    <row r="1120" spans="1:10" x14ac:dyDescent="0.2">
      <c r="A1120" s="6">
        <v>42615</v>
      </c>
      <c r="B1120">
        <v>2008</v>
      </c>
      <c r="C1120">
        <v>1740</v>
      </c>
      <c r="D1120">
        <v>1119</v>
      </c>
      <c r="E1120">
        <v>6400</v>
      </c>
      <c r="F1120" t="s">
        <v>25</v>
      </c>
      <c r="G1120">
        <v>10</v>
      </c>
      <c r="H1120" t="s">
        <v>68</v>
      </c>
      <c r="I1120">
        <v>11</v>
      </c>
      <c r="J1120" s="10">
        <f t="shared" si="17"/>
        <v>10</v>
      </c>
    </row>
    <row r="1121" spans="1:10" x14ac:dyDescent="0.2">
      <c r="A1121" s="6">
        <v>42614</v>
      </c>
      <c r="B1121">
        <v>2010</v>
      </c>
      <c r="C1121">
        <v>1740</v>
      </c>
      <c r="D1121">
        <v>1120</v>
      </c>
      <c r="E1121">
        <v>6750</v>
      </c>
      <c r="F1121" t="s">
        <v>25</v>
      </c>
      <c r="G1121">
        <v>9</v>
      </c>
      <c r="H1121" t="s">
        <v>68</v>
      </c>
      <c r="I1121">
        <v>9</v>
      </c>
      <c r="J1121" s="10">
        <f t="shared" si="17"/>
        <v>9</v>
      </c>
    </row>
    <row r="1122" spans="1:10" x14ac:dyDescent="0.2">
      <c r="A1122" s="6">
        <v>42612</v>
      </c>
      <c r="B1122">
        <v>2008</v>
      </c>
      <c r="C1122">
        <v>1740</v>
      </c>
      <c r="D1122">
        <v>1121</v>
      </c>
      <c r="E1122">
        <v>6950</v>
      </c>
      <c r="F1122" t="s">
        <v>25</v>
      </c>
      <c r="G1122">
        <v>9</v>
      </c>
      <c r="H1122" t="s">
        <v>68</v>
      </c>
      <c r="I1122">
        <v>11</v>
      </c>
      <c r="J1122" s="10">
        <f t="shared" si="17"/>
        <v>9</v>
      </c>
    </row>
    <row r="1123" spans="1:10" x14ac:dyDescent="0.2">
      <c r="A1123" s="6">
        <v>42605</v>
      </c>
      <c r="B1123">
        <v>2010</v>
      </c>
      <c r="C1123">
        <v>1740</v>
      </c>
      <c r="D1123">
        <v>1122</v>
      </c>
      <c r="E1123">
        <v>6750</v>
      </c>
      <c r="F1123" t="s">
        <v>25</v>
      </c>
      <c r="G1123">
        <v>42</v>
      </c>
      <c r="H1123" t="s">
        <v>26</v>
      </c>
      <c r="I1123">
        <v>9</v>
      </c>
      <c r="J1123" s="10">
        <f t="shared" si="17"/>
        <v>1</v>
      </c>
    </row>
    <row r="1124" spans="1:10" x14ac:dyDescent="0.2">
      <c r="A1124" s="6">
        <v>42585</v>
      </c>
      <c r="B1124">
        <v>2007</v>
      </c>
      <c r="C1124">
        <v>1740</v>
      </c>
      <c r="D1124">
        <v>1123</v>
      </c>
      <c r="E1124">
        <v>7000</v>
      </c>
      <c r="F1124" t="s">
        <v>25</v>
      </c>
      <c r="G1124">
        <v>7</v>
      </c>
      <c r="H1124" t="s">
        <v>68</v>
      </c>
      <c r="I1124">
        <v>12</v>
      </c>
      <c r="J1124" s="10">
        <f t="shared" si="17"/>
        <v>7</v>
      </c>
    </row>
    <row r="1125" spans="1:10" x14ac:dyDescent="0.2">
      <c r="A1125" s="6">
        <v>42585</v>
      </c>
      <c r="B1125">
        <v>2007</v>
      </c>
      <c r="C1125">
        <v>1740</v>
      </c>
      <c r="D1125">
        <v>1124</v>
      </c>
      <c r="E1125">
        <v>7000</v>
      </c>
      <c r="F1125" t="s">
        <v>25</v>
      </c>
      <c r="G1125">
        <v>6</v>
      </c>
      <c r="H1125" t="s">
        <v>68</v>
      </c>
      <c r="I1125">
        <v>12</v>
      </c>
      <c r="J1125" s="10">
        <f t="shared" si="17"/>
        <v>6</v>
      </c>
    </row>
    <row r="1126" spans="1:10" x14ac:dyDescent="0.2">
      <c r="A1126" s="6">
        <v>42576</v>
      </c>
      <c r="B1126">
        <v>2009</v>
      </c>
      <c r="C1126">
        <v>1740</v>
      </c>
      <c r="D1126">
        <v>1125</v>
      </c>
      <c r="E1126">
        <v>6750</v>
      </c>
      <c r="F1126" t="s">
        <v>25</v>
      </c>
      <c r="G1126">
        <v>9</v>
      </c>
      <c r="H1126" t="s">
        <v>68</v>
      </c>
      <c r="I1126">
        <v>10</v>
      </c>
      <c r="J1126" s="10">
        <f t="shared" si="17"/>
        <v>9</v>
      </c>
    </row>
    <row r="1127" spans="1:10" x14ac:dyDescent="0.2">
      <c r="A1127" s="6">
        <v>42566</v>
      </c>
      <c r="B1127">
        <v>2009</v>
      </c>
      <c r="C1127">
        <v>1740</v>
      </c>
      <c r="D1127">
        <v>1126</v>
      </c>
      <c r="E1127">
        <v>7000</v>
      </c>
      <c r="F1127" t="s">
        <v>25</v>
      </c>
      <c r="G1127">
        <v>5</v>
      </c>
      <c r="H1127" t="s">
        <v>68</v>
      </c>
      <c r="I1127">
        <v>10</v>
      </c>
      <c r="J1127" s="10">
        <f t="shared" si="17"/>
        <v>5</v>
      </c>
    </row>
    <row r="1128" spans="1:10" x14ac:dyDescent="0.2">
      <c r="A1128" s="6">
        <v>42564</v>
      </c>
      <c r="B1128">
        <v>2009</v>
      </c>
      <c r="C1128">
        <v>1740</v>
      </c>
      <c r="D1128">
        <v>1127</v>
      </c>
      <c r="E1128">
        <v>6750</v>
      </c>
      <c r="F1128" t="s">
        <v>25</v>
      </c>
      <c r="G1128">
        <v>42</v>
      </c>
      <c r="H1128" t="s">
        <v>26</v>
      </c>
      <c r="I1128">
        <v>10</v>
      </c>
      <c r="J1128" s="10">
        <f t="shared" si="17"/>
        <v>1</v>
      </c>
    </row>
    <row r="1129" spans="1:10" x14ac:dyDescent="0.2">
      <c r="A1129" s="6">
        <v>42558</v>
      </c>
      <c r="B1129">
        <v>2007</v>
      </c>
      <c r="C1129">
        <v>1740</v>
      </c>
      <c r="D1129">
        <v>1128</v>
      </c>
      <c r="E1129">
        <v>7000</v>
      </c>
      <c r="F1129" t="s">
        <v>25</v>
      </c>
      <c r="G1129">
        <v>9</v>
      </c>
      <c r="H1129" t="s">
        <v>68</v>
      </c>
      <c r="I1129">
        <v>12</v>
      </c>
      <c r="J1129" s="10">
        <f t="shared" si="17"/>
        <v>9</v>
      </c>
    </row>
    <row r="1130" spans="1:10" x14ac:dyDescent="0.2">
      <c r="A1130" s="6">
        <v>42555</v>
      </c>
      <c r="B1130">
        <v>2008</v>
      </c>
      <c r="C1130">
        <v>1740</v>
      </c>
      <c r="D1130">
        <v>1129</v>
      </c>
      <c r="E1130">
        <v>7250</v>
      </c>
      <c r="F1130" t="s">
        <v>25</v>
      </c>
      <c r="G1130">
        <v>10</v>
      </c>
      <c r="H1130" t="s">
        <v>68</v>
      </c>
      <c r="I1130">
        <v>11</v>
      </c>
      <c r="J1130" s="10">
        <f t="shared" si="17"/>
        <v>10</v>
      </c>
    </row>
    <row r="1131" spans="1:10" x14ac:dyDescent="0.2">
      <c r="A1131" s="6">
        <v>42548</v>
      </c>
      <c r="B1131">
        <v>2006</v>
      </c>
      <c r="C1131">
        <v>1740</v>
      </c>
      <c r="D1131">
        <v>1130</v>
      </c>
      <c r="E1131">
        <v>7500</v>
      </c>
      <c r="F1131" t="s">
        <v>25</v>
      </c>
      <c r="G1131">
        <v>84</v>
      </c>
      <c r="H1131" t="s">
        <v>26</v>
      </c>
      <c r="I1131">
        <v>13</v>
      </c>
      <c r="J1131" s="10">
        <f t="shared" si="17"/>
        <v>3</v>
      </c>
    </row>
    <row r="1132" spans="1:10" x14ac:dyDescent="0.2">
      <c r="A1132" s="6">
        <v>42536</v>
      </c>
      <c r="B1132">
        <v>2008</v>
      </c>
      <c r="C1132">
        <v>1740</v>
      </c>
      <c r="D1132">
        <v>1131</v>
      </c>
      <c r="E1132">
        <v>6950</v>
      </c>
      <c r="F1132" t="s">
        <v>25</v>
      </c>
      <c r="G1132">
        <v>6</v>
      </c>
      <c r="H1132" t="s">
        <v>68</v>
      </c>
      <c r="I1132">
        <v>11</v>
      </c>
      <c r="J1132" s="10">
        <f t="shared" si="17"/>
        <v>6</v>
      </c>
    </row>
    <row r="1133" spans="1:10" x14ac:dyDescent="0.2">
      <c r="A1133" s="6">
        <v>42522</v>
      </c>
      <c r="B1133">
        <v>2007</v>
      </c>
      <c r="C1133">
        <v>1740</v>
      </c>
      <c r="D1133">
        <v>1132</v>
      </c>
      <c r="E1133">
        <v>7750</v>
      </c>
      <c r="F1133" t="s">
        <v>25</v>
      </c>
      <c r="G1133">
        <v>12</v>
      </c>
      <c r="H1133" t="s">
        <v>68</v>
      </c>
      <c r="I1133">
        <v>12</v>
      </c>
      <c r="J1133" s="10">
        <f t="shared" si="17"/>
        <v>12</v>
      </c>
    </row>
    <row r="1134" spans="1:10" x14ac:dyDescent="0.2">
      <c r="A1134" s="6">
        <v>42513</v>
      </c>
      <c r="B1134">
        <v>2010</v>
      </c>
      <c r="C1134">
        <v>1740</v>
      </c>
      <c r="D1134">
        <v>1133</v>
      </c>
      <c r="E1134">
        <v>6750</v>
      </c>
      <c r="F1134" t="s">
        <v>25</v>
      </c>
      <c r="G1134">
        <v>6</v>
      </c>
      <c r="H1134" t="s">
        <v>68</v>
      </c>
      <c r="I1134">
        <v>9</v>
      </c>
      <c r="J1134" s="10">
        <f t="shared" si="17"/>
        <v>6</v>
      </c>
    </row>
    <row r="1135" spans="1:10" x14ac:dyDescent="0.2">
      <c r="A1135" s="6">
        <v>42509</v>
      </c>
      <c r="B1135">
        <v>2008</v>
      </c>
      <c r="C1135">
        <v>1740</v>
      </c>
      <c r="D1135">
        <v>1134</v>
      </c>
      <c r="E1135">
        <v>7000</v>
      </c>
      <c r="F1135" t="s">
        <v>25</v>
      </c>
      <c r="G1135">
        <v>5</v>
      </c>
      <c r="H1135" t="s">
        <v>68</v>
      </c>
      <c r="I1135">
        <v>11</v>
      </c>
      <c r="J1135" s="10">
        <f t="shared" si="17"/>
        <v>5</v>
      </c>
    </row>
    <row r="1136" spans="1:10" x14ac:dyDescent="0.2">
      <c r="A1136" s="6">
        <v>42494</v>
      </c>
      <c r="B1136">
        <v>2007</v>
      </c>
      <c r="C1136">
        <v>1740</v>
      </c>
      <c r="D1136">
        <v>1135</v>
      </c>
      <c r="E1136">
        <v>8400</v>
      </c>
      <c r="F1136" t="s">
        <v>25</v>
      </c>
      <c r="G1136">
        <v>120</v>
      </c>
      <c r="H1136" t="s">
        <v>26</v>
      </c>
      <c r="I1136">
        <v>12</v>
      </c>
      <c r="J1136" s="10">
        <f t="shared" si="17"/>
        <v>4</v>
      </c>
    </row>
    <row r="1137" spans="1:10" x14ac:dyDescent="0.2">
      <c r="A1137" s="6">
        <v>42489</v>
      </c>
      <c r="B1137">
        <v>2010</v>
      </c>
      <c r="C1137">
        <v>1740</v>
      </c>
      <c r="D1137">
        <v>1136</v>
      </c>
      <c r="E1137">
        <v>7750</v>
      </c>
      <c r="F1137" t="s">
        <v>25</v>
      </c>
      <c r="G1137">
        <v>9</v>
      </c>
      <c r="H1137" t="s">
        <v>68</v>
      </c>
      <c r="I1137">
        <v>9</v>
      </c>
      <c r="J1137" s="10">
        <f t="shared" si="17"/>
        <v>9</v>
      </c>
    </row>
    <row r="1138" spans="1:10" x14ac:dyDescent="0.2">
      <c r="A1138" s="6">
        <v>42489</v>
      </c>
      <c r="B1138">
        <v>2006</v>
      </c>
      <c r="C1138">
        <v>1740</v>
      </c>
      <c r="D1138">
        <v>1137</v>
      </c>
      <c r="E1138">
        <v>7750</v>
      </c>
      <c r="F1138" t="s">
        <v>25</v>
      </c>
      <c r="G1138">
        <v>12</v>
      </c>
      <c r="H1138" t="s">
        <v>68</v>
      </c>
      <c r="I1138">
        <v>13</v>
      </c>
      <c r="J1138" s="10">
        <f t="shared" si="17"/>
        <v>12</v>
      </c>
    </row>
    <row r="1139" spans="1:10" x14ac:dyDescent="0.2">
      <c r="A1139" s="6">
        <v>42480</v>
      </c>
      <c r="B1139">
        <v>2010</v>
      </c>
      <c r="C1139">
        <v>1740</v>
      </c>
      <c r="D1139">
        <v>1138</v>
      </c>
      <c r="E1139">
        <v>7200</v>
      </c>
      <c r="F1139" t="s">
        <v>25</v>
      </c>
      <c r="G1139">
        <v>5</v>
      </c>
      <c r="H1139" t="s">
        <v>68</v>
      </c>
      <c r="I1139">
        <v>9</v>
      </c>
      <c r="J1139" s="10">
        <f t="shared" si="17"/>
        <v>5</v>
      </c>
    </row>
    <row r="1140" spans="1:10" x14ac:dyDescent="0.2">
      <c r="A1140" s="6">
        <v>42479</v>
      </c>
      <c r="B1140">
        <v>2008</v>
      </c>
      <c r="C1140">
        <v>1740</v>
      </c>
      <c r="D1140">
        <v>1139</v>
      </c>
      <c r="E1140">
        <v>7750</v>
      </c>
      <c r="F1140" t="s">
        <v>25</v>
      </c>
      <c r="G1140">
        <v>6</v>
      </c>
      <c r="H1140" t="s">
        <v>68</v>
      </c>
      <c r="I1140">
        <v>11</v>
      </c>
      <c r="J1140" s="10">
        <f t="shared" si="17"/>
        <v>6</v>
      </c>
    </row>
    <row r="1141" spans="1:10" x14ac:dyDescent="0.2">
      <c r="A1141" s="6">
        <v>42471</v>
      </c>
      <c r="B1141">
        <v>2007</v>
      </c>
      <c r="C1141">
        <v>1740</v>
      </c>
      <c r="D1141">
        <v>1140</v>
      </c>
      <c r="E1141">
        <v>7400</v>
      </c>
      <c r="F1141" t="s">
        <v>25</v>
      </c>
      <c r="G1141">
        <v>6</v>
      </c>
      <c r="H1141" t="s">
        <v>68</v>
      </c>
      <c r="I1141">
        <v>12</v>
      </c>
      <c r="J1141" s="10">
        <f t="shared" si="17"/>
        <v>6</v>
      </c>
    </row>
    <row r="1142" spans="1:10" x14ac:dyDescent="0.2">
      <c r="A1142" s="6">
        <v>42460</v>
      </c>
      <c r="B1142">
        <v>2008</v>
      </c>
      <c r="C1142">
        <v>1740</v>
      </c>
      <c r="D1142">
        <v>1141</v>
      </c>
      <c r="E1142">
        <v>7500</v>
      </c>
      <c r="F1142" t="s">
        <v>25</v>
      </c>
      <c r="G1142">
        <v>35</v>
      </c>
      <c r="H1142" t="s">
        <v>26</v>
      </c>
      <c r="I1142">
        <v>11</v>
      </c>
      <c r="J1142" s="10">
        <f t="shared" si="17"/>
        <v>1</v>
      </c>
    </row>
    <row r="1143" spans="1:10" x14ac:dyDescent="0.2">
      <c r="A1143" s="6">
        <v>42450</v>
      </c>
      <c r="B1143">
        <v>2006</v>
      </c>
      <c r="C1143">
        <v>1740</v>
      </c>
      <c r="D1143">
        <v>1142</v>
      </c>
      <c r="E1143">
        <v>8000</v>
      </c>
      <c r="F1143" t="s">
        <v>25</v>
      </c>
      <c r="G1143">
        <v>5</v>
      </c>
      <c r="H1143" t="s">
        <v>68</v>
      </c>
      <c r="I1143">
        <v>13</v>
      </c>
      <c r="J1143" s="10">
        <f t="shared" si="17"/>
        <v>5</v>
      </c>
    </row>
    <row r="1144" spans="1:10" x14ac:dyDescent="0.2">
      <c r="A1144" s="6">
        <v>42449</v>
      </c>
      <c r="B1144">
        <v>2007</v>
      </c>
      <c r="C1144">
        <v>1740</v>
      </c>
      <c r="D1144">
        <v>1143</v>
      </c>
      <c r="E1144">
        <v>7000</v>
      </c>
      <c r="F1144" t="s">
        <v>25</v>
      </c>
      <c r="G1144">
        <v>12</v>
      </c>
      <c r="H1144" t="s">
        <v>68</v>
      </c>
      <c r="I1144">
        <v>12</v>
      </c>
      <c r="J1144" s="10">
        <f t="shared" si="17"/>
        <v>12</v>
      </c>
    </row>
    <row r="1145" spans="1:10" x14ac:dyDescent="0.2">
      <c r="A1145" s="6">
        <v>42443</v>
      </c>
      <c r="B1145">
        <v>2008</v>
      </c>
      <c r="C1145">
        <v>1740</v>
      </c>
      <c r="D1145">
        <v>1144</v>
      </c>
      <c r="E1145">
        <v>7200</v>
      </c>
      <c r="F1145" t="s">
        <v>25</v>
      </c>
      <c r="G1145">
        <v>12</v>
      </c>
      <c r="H1145" t="s">
        <v>68</v>
      </c>
      <c r="I1145">
        <v>11</v>
      </c>
      <c r="J1145" s="10">
        <f t="shared" si="17"/>
        <v>12</v>
      </c>
    </row>
    <row r="1146" spans="1:10" x14ac:dyDescent="0.2">
      <c r="A1146" s="6">
        <v>42430</v>
      </c>
      <c r="B1146">
        <v>2007</v>
      </c>
      <c r="C1146">
        <v>1740</v>
      </c>
      <c r="D1146">
        <v>1145</v>
      </c>
      <c r="E1146">
        <v>7250</v>
      </c>
      <c r="F1146" t="s">
        <v>25</v>
      </c>
      <c r="G1146">
        <v>6</v>
      </c>
      <c r="H1146" t="s">
        <v>68</v>
      </c>
      <c r="I1146">
        <v>12</v>
      </c>
      <c r="J1146" s="10">
        <f t="shared" si="17"/>
        <v>6</v>
      </c>
    </row>
    <row r="1147" spans="1:10" x14ac:dyDescent="0.2">
      <c r="A1147" s="6">
        <v>42430</v>
      </c>
      <c r="B1147">
        <v>2007</v>
      </c>
      <c r="C1147">
        <v>1740</v>
      </c>
      <c r="D1147">
        <v>1146</v>
      </c>
      <c r="E1147">
        <v>7500</v>
      </c>
      <c r="F1147" t="s">
        <v>25</v>
      </c>
      <c r="G1147">
        <v>5</v>
      </c>
      <c r="H1147" t="s">
        <v>68</v>
      </c>
      <c r="I1147">
        <v>12</v>
      </c>
      <c r="J1147" s="10">
        <f t="shared" si="17"/>
        <v>5</v>
      </c>
    </row>
    <row r="1148" spans="1:10" x14ac:dyDescent="0.2">
      <c r="A1148" s="6">
        <v>42430</v>
      </c>
      <c r="B1148">
        <v>2009</v>
      </c>
      <c r="C1148">
        <v>1740</v>
      </c>
      <c r="D1148">
        <v>1147</v>
      </c>
      <c r="E1148">
        <v>7000</v>
      </c>
      <c r="F1148" t="s">
        <v>25</v>
      </c>
      <c r="G1148">
        <v>6</v>
      </c>
      <c r="H1148" t="s">
        <v>68</v>
      </c>
      <c r="I1148">
        <v>10</v>
      </c>
      <c r="J1148" s="10">
        <f t="shared" si="17"/>
        <v>6</v>
      </c>
    </row>
    <row r="1149" spans="1:10" x14ac:dyDescent="0.2">
      <c r="A1149" s="6">
        <v>42426</v>
      </c>
      <c r="B1149">
        <v>2006</v>
      </c>
      <c r="C1149">
        <v>1740</v>
      </c>
      <c r="D1149">
        <v>1148</v>
      </c>
      <c r="E1149">
        <v>7700</v>
      </c>
      <c r="F1149" t="s">
        <v>25</v>
      </c>
      <c r="G1149">
        <v>3</v>
      </c>
      <c r="H1149" t="s">
        <v>68</v>
      </c>
      <c r="I1149">
        <v>13</v>
      </c>
      <c r="J1149" s="10">
        <f t="shared" si="17"/>
        <v>3</v>
      </c>
    </row>
    <row r="1150" spans="1:10" x14ac:dyDescent="0.2">
      <c r="A1150" s="6">
        <v>42423</v>
      </c>
      <c r="B1150">
        <v>2009</v>
      </c>
      <c r="C1150">
        <v>1740</v>
      </c>
      <c r="D1150">
        <v>1149</v>
      </c>
      <c r="E1150">
        <v>6900</v>
      </c>
      <c r="F1150" t="s">
        <v>25</v>
      </c>
      <c r="G1150">
        <v>6</v>
      </c>
      <c r="H1150" t="s">
        <v>68</v>
      </c>
      <c r="I1150">
        <v>10</v>
      </c>
      <c r="J1150" s="10">
        <f t="shared" si="17"/>
        <v>6</v>
      </c>
    </row>
    <row r="1151" spans="1:10" x14ac:dyDescent="0.2">
      <c r="A1151" s="6">
        <v>42408</v>
      </c>
      <c r="B1151">
        <v>2009</v>
      </c>
      <c r="C1151">
        <v>1740</v>
      </c>
      <c r="D1151">
        <v>1150</v>
      </c>
      <c r="E1151">
        <v>6900</v>
      </c>
      <c r="F1151" t="s">
        <v>25</v>
      </c>
      <c r="G1151">
        <v>5</v>
      </c>
      <c r="H1151" t="s">
        <v>68</v>
      </c>
      <c r="I1151">
        <v>10</v>
      </c>
      <c r="J1151" s="10">
        <f t="shared" si="17"/>
        <v>5</v>
      </c>
    </row>
    <row r="1152" spans="1:10" x14ac:dyDescent="0.2">
      <c r="A1152" s="6">
        <v>42405</v>
      </c>
      <c r="B1152">
        <v>2006</v>
      </c>
      <c r="C1152">
        <v>1740</v>
      </c>
      <c r="D1152">
        <v>1151</v>
      </c>
      <c r="E1152">
        <v>7000</v>
      </c>
      <c r="F1152" t="s">
        <v>25</v>
      </c>
      <c r="G1152">
        <v>50</v>
      </c>
      <c r="H1152" t="s">
        <v>26</v>
      </c>
      <c r="I1152">
        <v>13</v>
      </c>
      <c r="J1152" s="10">
        <f t="shared" si="17"/>
        <v>2</v>
      </c>
    </row>
    <row r="1153" spans="1:10" x14ac:dyDescent="0.2">
      <c r="A1153" s="6">
        <v>42395</v>
      </c>
      <c r="B1153">
        <v>2007</v>
      </c>
      <c r="C1153">
        <v>1740</v>
      </c>
      <c r="D1153">
        <v>1152</v>
      </c>
      <c r="E1153">
        <v>7200</v>
      </c>
      <c r="F1153" t="s">
        <v>25</v>
      </c>
      <c r="G1153">
        <v>7</v>
      </c>
      <c r="H1153" t="s">
        <v>68</v>
      </c>
      <c r="I1153">
        <v>12</v>
      </c>
      <c r="J1153" s="10">
        <f t="shared" si="17"/>
        <v>7</v>
      </c>
    </row>
    <row r="1154" spans="1:10" x14ac:dyDescent="0.2">
      <c r="A1154" s="6">
        <v>42383</v>
      </c>
      <c r="B1154">
        <v>2007</v>
      </c>
      <c r="C1154">
        <v>1740</v>
      </c>
      <c r="D1154">
        <v>1153</v>
      </c>
      <c r="E1154">
        <v>7000</v>
      </c>
      <c r="F1154" t="s">
        <v>25</v>
      </c>
      <c r="G1154">
        <v>5</v>
      </c>
      <c r="H1154" t="s">
        <v>68</v>
      </c>
      <c r="I1154">
        <v>12</v>
      </c>
      <c r="J1154" s="10">
        <f t="shared" ref="J1154:J1217" si="18">IF(H1154="days",ROUND(G1154/30,0),IF(H1154="years",G1154*12,G1154))</f>
        <v>5</v>
      </c>
    </row>
    <row r="1155" spans="1:10" x14ac:dyDescent="0.2">
      <c r="A1155" s="6">
        <v>43344</v>
      </c>
      <c r="B1155">
        <v>2008</v>
      </c>
      <c r="C1155">
        <v>1794</v>
      </c>
      <c r="D1155">
        <v>1154</v>
      </c>
      <c r="E1155">
        <v>9500</v>
      </c>
      <c r="F1155" t="s">
        <v>25</v>
      </c>
      <c r="G1155">
        <v>2</v>
      </c>
      <c r="H1155" t="s">
        <v>68</v>
      </c>
      <c r="I1155">
        <v>11</v>
      </c>
      <c r="J1155" s="10">
        <f t="shared" si="18"/>
        <v>2</v>
      </c>
    </row>
    <row r="1156" spans="1:10" x14ac:dyDescent="0.2">
      <c r="A1156" s="6">
        <v>43209</v>
      </c>
      <c r="B1156">
        <v>2008</v>
      </c>
      <c r="C1156">
        <v>1794</v>
      </c>
      <c r="D1156">
        <v>1155</v>
      </c>
      <c r="E1156">
        <v>10800</v>
      </c>
      <c r="F1156" t="s">
        <v>25</v>
      </c>
      <c r="G1156">
        <v>6</v>
      </c>
      <c r="H1156" t="s">
        <v>68</v>
      </c>
      <c r="I1156">
        <v>11</v>
      </c>
      <c r="J1156" s="10">
        <f t="shared" si="18"/>
        <v>6</v>
      </c>
    </row>
    <row r="1157" spans="1:10" x14ac:dyDescent="0.2">
      <c r="A1157" s="6">
        <v>43201</v>
      </c>
      <c r="B1157">
        <v>2008</v>
      </c>
      <c r="C1157">
        <v>1794</v>
      </c>
      <c r="D1157">
        <v>1156</v>
      </c>
      <c r="E1157">
        <v>10700</v>
      </c>
      <c r="F1157" t="s">
        <v>25</v>
      </c>
      <c r="G1157">
        <v>12</v>
      </c>
      <c r="H1157" t="s">
        <v>68</v>
      </c>
      <c r="I1157">
        <v>11</v>
      </c>
      <c r="J1157" s="10">
        <f t="shared" si="18"/>
        <v>12</v>
      </c>
    </row>
    <row r="1158" spans="1:10" x14ac:dyDescent="0.2">
      <c r="A1158" s="6">
        <v>42741</v>
      </c>
      <c r="B1158">
        <v>2008</v>
      </c>
      <c r="C1158">
        <v>1794</v>
      </c>
      <c r="D1158">
        <v>1157</v>
      </c>
      <c r="E1158">
        <v>7450</v>
      </c>
      <c r="F1158" t="s">
        <v>25</v>
      </c>
      <c r="G1158">
        <v>12</v>
      </c>
      <c r="H1158" t="s">
        <v>68</v>
      </c>
      <c r="I1158">
        <v>11</v>
      </c>
      <c r="J1158" s="10">
        <f t="shared" si="18"/>
        <v>12</v>
      </c>
    </row>
    <row r="1159" spans="1:10" x14ac:dyDescent="0.2">
      <c r="A1159" s="6">
        <v>43619</v>
      </c>
      <c r="B1159">
        <v>2008</v>
      </c>
      <c r="C1159">
        <v>1795</v>
      </c>
      <c r="D1159">
        <v>1158</v>
      </c>
      <c r="E1159">
        <v>9200</v>
      </c>
      <c r="F1159" t="s">
        <v>25</v>
      </c>
      <c r="G1159">
        <v>5</v>
      </c>
      <c r="H1159" t="s">
        <v>68</v>
      </c>
      <c r="I1159">
        <v>11</v>
      </c>
      <c r="J1159" s="10">
        <f t="shared" si="18"/>
        <v>5</v>
      </c>
    </row>
    <row r="1160" spans="1:10" x14ac:dyDescent="0.2">
      <c r="A1160" s="6">
        <v>43619</v>
      </c>
      <c r="B1160">
        <v>2010</v>
      </c>
      <c r="C1160">
        <v>1795</v>
      </c>
      <c r="D1160">
        <v>1159</v>
      </c>
      <c r="E1160">
        <v>8200</v>
      </c>
      <c r="F1160" t="s">
        <v>25</v>
      </c>
      <c r="G1160">
        <v>5</v>
      </c>
      <c r="H1160" t="s">
        <v>68</v>
      </c>
      <c r="I1160">
        <v>9</v>
      </c>
      <c r="J1160" s="10">
        <f t="shared" si="18"/>
        <v>5</v>
      </c>
    </row>
    <row r="1161" spans="1:10" x14ac:dyDescent="0.2">
      <c r="A1161" s="6">
        <v>43570</v>
      </c>
      <c r="B1161">
        <v>2007</v>
      </c>
      <c r="C1161">
        <v>1795</v>
      </c>
      <c r="D1161">
        <v>1160</v>
      </c>
      <c r="E1161">
        <v>7950</v>
      </c>
      <c r="F1161" t="s">
        <v>25</v>
      </c>
      <c r="G1161">
        <v>9</v>
      </c>
      <c r="H1161" t="s">
        <v>68</v>
      </c>
      <c r="I1161">
        <v>12</v>
      </c>
      <c r="J1161" s="10">
        <f t="shared" si="18"/>
        <v>9</v>
      </c>
    </row>
    <row r="1162" spans="1:10" x14ac:dyDescent="0.2">
      <c r="A1162" s="6">
        <v>43553</v>
      </c>
      <c r="B1162">
        <v>2008</v>
      </c>
      <c r="C1162">
        <v>1795</v>
      </c>
      <c r="D1162">
        <v>1161</v>
      </c>
      <c r="E1162">
        <v>8000</v>
      </c>
      <c r="F1162" t="s">
        <v>25</v>
      </c>
      <c r="G1162">
        <v>7</v>
      </c>
      <c r="H1162" t="s">
        <v>68</v>
      </c>
      <c r="I1162">
        <v>11</v>
      </c>
      <c r="J1162" s="10">
        <f t="shared" si="18"/>
        <v>7</v>
      </c>
    </row>
    <row r="1163" spans="1:10" x14ac:dyDescent="0.2">
      <c r="A1163" s="6">
        <v>43503</v>
      </c>
      <c r="B1163">
        <v>2010</v>
      </c>
      <c r="C1163">
        <v>1795</v>
      </c>
      <c r="D1163">
        <v>1162</v>
      </c>
      <c r="E1163">
        <v>7000</v>
      </c>
      <c r="F1163" t="s">
        <v>25</v>
      </c>
      <c r="G1163">
        <v>7</v>
      </c>
      <c r="H1163" t="s">
        <v>68</v>
      </c>
      <c r="I1163">
        <v>9</v>
      </c>
      <c r="J1163" s="10">
        <f t="shared" si="18"/>
        <v>7</v>
      </c>
    </row>
    <row r="1164" spans="1:10" x14ac:dyDescent="0.2">
      <c r="A1164" s="6">
        <v>43455</v>
      </c>
      <c r="B1164">
        <v>2010</v>
      </c>
      <c r="C1164">
        <v>1795</v>
      </c>
      <c r="D1164">
        <v>1163</v>
      </c>
      <c r="E1164">
        <v>6500</v>
      </c>
      <c r="F1164" t="s">
        <v>25</v>
      </c>
      <c r="G1164">
        <v>5</v>
      </c>
      <c r="H1164" t="s">
        <v>68</v>
      </c>
      <c r="I1164">
        <v>9</v>
      </c>
      <c r="J1164" s="10">
        <f t="shared" si="18"/>
        <v>5</v>
      </c>
    </row>
    <row r="1165" spans="1:10" x14ac:dyDescent="0.2">
      <c r="A1165" s="6">
        <v>43438</v>
      </c>
      <c r="B1165">
        <v>2008</v>
      </c>
      <c r="C1165">
        <v>1795</v>
      </c>
      <c r="D1165">
        <v>1164</v>
      </c>
      <c r="E1165">
        <v>8000</v>
      </c>
      <c r="F1165" t="s">
        <v>25</v>
      </c>
      <c r="G1165">
        <v>6</v>
      </c>
      <c r="H1165" t="s">
        <v>68</v>
      </c>
      <c r="I1165">
        <v>11</v>
      </c>
      <c r="J1165" s="10">
        <f t="shared" si="18"/>
        <v>6</v>
      </c>
    </row>
    <row r="1166" spans="1:10" x14ac:dyDescent="0.2">
      <c r="A1166" s="6">
        <v>43403</v>
      </c>
      <c r="B1166">
        <v>2008</v>
      </c>
      <c r="C1166">
        <v>1795</v>
      </c>
      <c r="D1166">
        <v>1165</v>
      </c>
      <c r="E1166">
        <v>7500</v>
      </c>
      <c r="F1166" t="s">
        <v>25</v>
      </c>
      <c r="G1166">
        <v>10</v>
      </c>
      <c r="H1166" t="s">
        <v>68</v>
      </c>
      <c r="I1166">
        <v>11</v>
      </c>
      <c r="J1166" s="10">
        <f t="shared" si="18"/>
        <v>10</v>
      </c>
    </row>
    <row r="1167" spans="1:10" x14ac:dyDescent="0.2">
      <c r="A1167" s="6">
        <v>43391</v>
      </c>
      <c r="B1167">
        <v>2009</v>
      </c>
      <c r="C1167">
        <v>1795</v>
      </c>
      <c r="D1167">
        <v>1166</v>
      </c>
      <c r="E1167">
        <v>8800</v>
      </c>
      <c r="F1167" t="s">
        <v>25</v>
      </c>
      <c r="G1167">
        <v>12</v>
      </c>
      <c r="H1167" t="s">
        <v>68</v>
      </c>
      <c r="I1167">
        <v>10</v>
      </c>
      <c r="J1167" s="10">
        <f t="shared" si="18"/>
        <v>12</v>
      </c>
    </row>
    <row r="1168" spans="1:10" x14ac:dyDescent="0.2">
      <c r="A1168" s="6">
        <v>43346</v>
      </c>
      <c r="B1168">
        <v>2008</v>
      </c>
      <c r="C1168">
        <v>1795</v>
      </c>
      <c r="D1168">
        <v>1167</v>
      </c>
      <c r="E1168">
        <v>10250</v>
      </c>
      <c r="F1168" t="s">
        <v>25</v>
      </c>
      <c r="G1168">
        <v>8</v>
      </c>
      <c r="H1168" t="s">
        <v>68</v>
      </c>
      <c r="I1168">
        <v>11</v>
      </c>
      <c r="J1168" s="10">
        <f t="shared" si="18"/>
        <v>8</v>
      </c>
    </row>
    <row r="1169" spans="1:10" x14ac:dyDescent="0.2">
      <c r="A1169" s="6">
        <v>43340</v>
      </c>
      <c r="B1169">
        <v>2009</v>
      </c>
      <c r="C1169">
        <v>1795</v>
      </c>
      <c r="D1169">
        <v>1168</v>
      </c>
      <c r="E1169">
        <v>10500</v>
      </c>
      <c r="F1169" t="s">
        <v>25</v>
      </c>
      <c r="G1169">
        <v>9</v>
      </c>
      <c r="H1169" t="s">
        <v>68</v>
      </c>
      <c r="I1169">
        <v>10</v>
      </c>
      <c r="J1169" s="10">
        <f t="shared" si="18"/>
        <v>9</v>
      </c>
    </row>
    <row r="1170" spans="1:10" x14ac:dyDescent="0.2">
      <c r="A1170" s="6">
        <v>43238</v>
      </c>
      <c r="B1170">
        <v>2010</v>
      </c>
      <c r="C1170">
        <v>1795</v>
      </c>
      <c r="D1170">
        <v>1169</v>
      </c>
      <c r="E1170">
        <v>10900</v>
      </c>
      <c r="F1170" t="s">
        <v>25</v>
      </c>
      <c r="G1170">
        <v>6</v>
      </c>
      <c r="H1170" t="s">
        <v>68</v>
      </c>
      <c r="I1170">
        <v>9</v>
      </c>
      <c r="J1170" s="10">
        <f t="shared" si="18"/>
        <v>6</v>
      </c>
    </row>
    <row r="1171" spans="1:10" x14ac:dyDescent="0.2">
      <c r="A1171" s="6">
        <v>43209</v>
      </c>
      <c r="B1171">
        <v>2010</v>
      </c>
      <c r="C1171">
        <v>1795</v>
      </c>
      <c r="D1171">
        <v>1170</v>
      </c>
      <c r="E1171">
        <v>10800</v>
      </c>
      <c r="F1171" t="s">
        <v>25</v>
      </c>
      <c r="G1171">
        <v>7</v>
      </c>
      <c r="H1171" t="s">
        <v>68</v>
      </c>
      <c r="I1171">
        <v>9</v>
      </c>
      <c r="J1171" s="10">
        <f t="shared" si="18"/>
        <v>7</v>
      </c>
    </row>
    <row r="1172" spans="1:10" x14ac:dyDescent="0.2">
      <c r="A1172" s="6">
        <v>43166</v>
      </c>
      <c r="B1172">
        <v>2010</v>
      </c>
      <c r="C1172">
        <v>1795</v>
      </c>
      <c r="D1172">
        <v>1171</v>
      </c>
      <c r="E1172">
        <v>10800</v>
      </c>
      <c r="F1172" t="s">
        <v>25</v>
      </c>
      <c r="G1172">
        <v>4</v>
      </c>
      <c r="H1172" t="s">
        <v>68</v>
      </c>
      <c r="I1172">
        <v>9</v>
      </c>
      <c r="J1172" s="10">
        <f t="shared" si="18"/>
        <v>4</v>
      </c>
    </row>
    <row r="1173" spans="1:10" x14ac:dyDescent="0.2">
      <c r="A1173" s="6">
        <v>43161</v>
      </c>
      <c r="B1173">
        <v>2007</v>
      </c>
      <c r="C1173">
        <v>1795</v>
      </c>
      <c r="D1173">
        <v>1172</v>
      </c>
      <c r="E1173">
        <v>9700</v>
      </c>
      <c r="F1173" t="s">
        <v>25</v>
      </c>
      <c r="G1173">
        <v>6</v>
      </c>
      <c r="H1173" t="s">
        <v>68</v>
      </c>
      <c r="I1173">
        <v>12</v>
      </c>
      <c r="J1173" s="10">
        <f t="shared" si="18"/>
        <v>6</v>
      </c>
    </row>
    <row r="1174" spans="1:10" x14ac:dyDescent="0.2">
      <c r="A1174" s="6">
        <v>43160</v>
      </c>
      <c r="B1174">
        <v>2009</v>
      </c>
      <c r="C1174">
        <v>1795</v>
      </c>
      <c r="D1174">
        <v>1173</v>
      </c>
      <c r="E1174">
        <v>9850</v>
      </c>
      <c r="F1174" t="s">
        <v>25</v>
      </c>
      <c r="G1174">
        <v>12</v>
      </c>
      <c r="H1174" t="s">
        <v>68</v>
      </c>
      <c r="I1174">
        <v>10</v>
      </c>
      <c r="J1174" s="10">
        <f t="shared" si="18"/>
        <v>12</v>
      </c>
    </row>
    <row r="1175" spans="1:10" x14ac:dyDescent="0.2">
      <c r="A1175" s="6">
        <v>43159</v>
      </c>
      <c r="B1175">
        <v>2008</v>
      </c>
      <c r="C1175">
        <v>1795</v>
      </c>
      <c r="D1175">
        <v>1174</v>
      </c>
      <c r="E1175">
        <v>10250</v>
      </c>
      <c r="F1175" t="s">
        <v>25</v>
      </c>
      <c r="G1175">
        <v>7</v>
      </c>
      <c r="H1175" t="s">
        <v>68</v>
      </c>
      <c r="I1175">
        <v>11</v>
      </c>
      <c r="J1175" s="10">
        <f t="shared" si="18"/>
        <v>7</v>
      </c>
    </row>
    <row r="1176" spans="1:10" x14ac:dyDescent="0.2">
      <c r="A1176" s="6">
        <v>43102</v>
      </c>
      <c r="B1176">
        <v>2010</v>
      </c>
      <c r="C1176">
        <v>1795</v>
      </c>
      <c r="D1176">
        <v>1175</v>
      </c>
      <c r="E1176">
        <v>8950</v>
      </c>
      <c r="F1176" t="s">
        <v>25</v>
      </c>
      <c r="G1176">
        <v>3</v>
      </c>
      <c r="H1176" t="s">
        <v>68</v>
      </c>
      <c r="I1176">
        <v>9</v>
      </c>
      <c r="J1176" s="10">
        <f t="shared" si="18"/>
        <v>3</v>
      </c>
    </row>
    <row r="1177" spans="1:10" x14ac:dyDescent="0.2">
      <c r="A1177" s="6">
        <v>43089</v>
      </c>
      <c r="B1177">
        <v>2010</v>
      </c>
      <c r="C1177">
        <v>1795</v>
      </c>
      <c r="D1177">
        <v>1176</v>
      </c>
      <c r="E1177">
        <v>8975</v>
      </c>
      <c r="F1177" t="s">
        <v>25</v>
      </c>
      <c r="G1177">
        <v>40</v>
      </c>
      <c r="H1177" t="s">
        <v>26</v>
      </c>
      <c r="I1177">
        <v>9</v>
      </c>
      <c r="J1177" s="10">
        <f t="shared" si="18"/>
        <v>1</v>
      </c>
    </row>
    <row r="1178" spans="1:10" x14ac:dyDescent="0.2">
      <c r="A1178" s="6">
        <v>43075</v>
      </c>
      <c r="B1178">
        <v>2010</v>
      </c>
      <c r="C1178">
        <v>1795</v>
      </c>
      <c r="D1178">
        <v>1177</v>
      </c>
      <c r="E1178">
        <v>8450</v>
      </c>
      <c r="F1178" t="s">
        <v>25</v>
      </c>
      <c r="G1178">
        <v>5</v>
      </c>
      <c r="H1178" t="s">
        <v>68</v>
      </c>
      <c r="I1178">
        <v>9</v>
      </c>
      <c r="J1178" s="10">
        <f t="shared" si="18"/>
        <v>5</v>
      </c>
    </row>
    <row r="1179" spans="1:10" x14ac:dyDescent="0.2">
      <c r="A1179" s="6">
        <v>43020</v>
      </c>
      <c r="B1179">
        <v>2008</v>
      </c>
      <c r="C1179">
        <v>1795</v>
      </c>
      <c r="D1179">
        <v>1178</v>
      </c>
      <c r="E1179">
        <v>7900</v>
      </c>
      <c r="F1179" t="s">
        <v>25</v>
      </c>
      <c r="G1179">
        <v>10</v>
      </c>
      <c r="H1179" t="s">
        <v>68</v>
      </c>
      <c r="I1179">
        <v>11</v>
      </c>
      <c r="J1179" s="10">
        <f t="shared" si="18"/>
        <v>10</v>
      </c>
    </row>
    <row r="1180" spans="1:10" x14ac:dyDescent="0.2">
      <c r="A1180" s="6">
        <v>42989</v>
      </c>
      <c r="B1180">
        <v>2008</v>
      </c>
      <c r="C1180">
        <v>1795</v>
      </c>
      <c r="D1180">
        <v>1179</v>
      </c>
      <c r="E1180">
        <v>7500</v>
      </c>
      <c r="F1180" t="s">
        <v>25</v>
      </c>
      <c r="G1180">
        <v>8</v>
      </c>
      <c r="H1180" t="s">
        <v>68</v>
      </c>
      <c r="I1180">
        <v>11</v>
      </c>
      <c r="J1180" s="10">
        <f t="shared" si="18"/>
        <v>8</v>
      </c>
    </row>
    <row r="1181" spans="1:10" x14ac:dyDescent="0.2">
      <c r="A1181" s="6">
        <v>42977</v>
      </c>
      <c r="B1181">
        <v>2008</v>
      </c>
      <c r="C1181">
        <v>1795</v>
      </c>
      <c r="D1181">
        <v>1180</v>
      </c>
      <c r="E1181">
        <v>7950</v>
      </c>
      <c r="F1181" t="s">
        <v>25</v>
      </c>
      <c r="G1181">
        <v>6</v>
      </c>
      <c r="H1181" t="s">
        <v>68</v>
      </c>
      <c r="I1181">
        <v>11</v>
      </c>
      <c r="J1181" s="10">
        <f t="shared" si="18"/>
        <v>6</v>
      </c>
    </row>
    <row r="1182" spans="1:10" x14ac:dyDescent="0.2">
      <c r="A1182" s="6">
        <v>42873</v>
      </c>
      <c r="B1182">
        <v>2008</v>
      </c>
      <c r="C1182">
        <v>1795</v>
      </c>
      <c r="D1182">
        <v>1181</v>
      </c>
      <c r="E1182">
        <v>7400</v>
      </c>
      <c r="F1182" t="s">
        <v>25</v>
      </c>
      <c r="G1182">
        <v>70</v>
      </c>
      <c r="H1182" t="s">
        <v>26</v>
      </c>
      <c r="I1182">
        <v>11</v>
      </c>
      <c r="J1182" s="10">
        <f t="shared" si="18"/>
        <v>2</v>
      </c>
    </row>
    <row r="1183" spans="1:10" x14ac:dyDescent="0.2">
      <c r="A1183" s="6">
        <v>42846</v>
      </c>
      <c r="B1183">
        <v>2010</v>
      </c>
      <c r="C1183">
        <v>1795</v>
      </c>
      <c r="D1183">
        <v>1182</v>
      </c>
      <c r="E1183">
        <v>7450</v>
      </c>
      <c r="F1183" t="s">
        <v>25</v>
      </c>
      <c r="G1183">
        <v>4</v>
      </c>
      <c r="H1183" t="s">
        <v>68</v>
      </c>
      <c r="I1183">
        <v>9</v>
      </c>
      <c r="J1183" s="10">
        <f t="shared" si="18"/>
        <v>4</v>
      </c>
    </row>
    <row r="1184" spans="1:10" x14ac:dyDescent="0.2">
      <c r="A1184" s="6">
        <v>42828</v>
      </c>
      <c r="B1184">
        <v>2009</v>
      </c>
      <c r="C1184">
        <v>1795</v>
      </c>
      <c r="D1184">
        <v>1183</v>
      </c>
      <c r="E1184">
        <v>7000</v>
      </c>
      <c r="F1184" t="s">
        <v>25</v>
      </c>
      <c r="G1184">
        <v>6</v>
      </c>
      <c r="H1184" t="s">
        <v>68</v>
      </c>
      <c r="I1184">
        <v>10</v>
      </c>
      <c r="J1184" s="10">
        <f t="shared" si="18"/>
        <v>6</v>
      </c>
    </row>
    <row r="1185" spans="1:10" x14ac:dyDescent="0.2">
      <c r="A1185" s="6">
        <v>42793</v>
      </c>
      <c r="B1185">
        <v>2007</v>
      </c>
      <c r="C1185">
        <v>1795</v>
      </c>
      <c r="D1185">
        <v>1184</v>
      </c>
      <c r="E1185">
        <v>6300</v>
      </c>
      <c r="F1185" t="s">
        <v>25</v>
      </c>
      <c r="G1185">
        <v>6</v>
      </c>
      <c r="H1185" t="s">
        <v>68</v>
      </c>
      <c r="I1185">
        <v>12</v>
      </c>
      <c r="J1185" s="10">
        <f t="shared" si="18"/>
        <v>6</v>
      </c>
    </row>
    <row r="1186" spans="1:10" x14ac:dyDescent="0.2">
      <c r="A1186" s="6">
        <v>42724</v>
      </c>
      <c r="B1186">
        <v>2010</v>
      </c>
      <c r="C1186">
        <v>1795</v>
      </c>
      <c r="D1186">
        <v>1185</v>
      </c>
      <c r="E1186">
        <v>6700</v>
      </c>
      <c r="F1186" t="s">
        <v>25</v>
      </c>
      <c r="G1186">
        <v>6</v>
      </c>
      <c r="H1186" t="s">
        <v>68</v>
      </c>
      <c r="I1186">
        <v>9</v>
      </c>
      <c r="J1186" s="10">
        <f t="shared" si="18"/>
        <v>6</v>
      </c>
    </row>
    <row r="1187" spans="1:10" x14ac:dyDescent="0.2">
      <c r="A1187" s="6">
        <v>42705</v>
      </c>
      <c r="B1187">
        <v>2010</v>
      </c>
      <c r="C1187">
        <v>1795</v>
      </c>
      <c r="D1187">
        <v>1186</v>
      </c>
      <c r="E1187">
        <v>6900</v>
      </c>
      <c r="F1187" t="s">
        <v>25</v>
      </c>
      <c r="G1187">
        <v>4</v>
      </c>
      <c r="H1187" t="s">
        <v>68</v>
      </c>
      <c r="I1187">
        <v>9</v>
      </c>
      <c r="J1187" s="10">
        <f t="shared" si="18"/>
        <v>4</v>
      </c>
    </row>
    <row r="1188" spans="1:10" x14ac:dyDescent="0.2">
      <c r="A1188" s="6">
        <v>42684</v>
      </c>
      <c r="B1188">
        <v>2008</v>
      </c>
      <c r="C1188">
        <v>1795</v>
      </c>
      <c r="D1188">
        <v>1187</v>
      </c>
      <c r="E1188">
        <v>6000</v>
      </c>
      <c r="F1188" t="s">
        <v>25</v>
      </c>
      <c r="G1188">
        <v>7</v>
      </c>
      <c r="H1188" t="s">
        <v>68</v>
      </c>
      <c r="I1188">
        <v>11</v>
      </c>
      <c r="J1188" s="10">
        <f t="shared" si="18"/>
        <v>7</v>
      </c>
    </row>
    <row r="1189" spans="1:10" x14ac:dyDescent="0.2">
      <c r="A1189" s="6">
        <v>42663</v>
      </c>
      <c r="B1189">
        <v>2010</v>
      </c>
      <c r="C1189">
        <v>1795</v>
      </c>
      <c r="D1189">
        <v>1188</v>
      </c>
      <c r="E1189">
        <v>6750</v>
      </c>
      <c r="F1189" t="s">
        <v>25</v>
      </c>
      <c r="G1189">
        <v>3</v>
      </c>
      <c r="H1189" t="s">
        <v>68</v>
      </c>
      <c r="I1189">
        <v>9</v>
      </c>
      <c r="J1189" s="10">
        <f t="shared" si="18"/>
        <v>3</v>
      </c>
    </row>
    <row r="1190" spans="1:10" x14ac:dyDescent="0.2">
      <c r="A1190" s="6">
        <v>42632</v>
      </c>
      <c r="B1190">
        <v>2010</v>
      </c>
      <c r="C1190">
        <v>1795</v>
      </c>
      <c r="D1190">
        <v>1189</v>
      </c>
      <c r="E1190">
        <v>7000</v>
      </c>
      <c r="F1190" t="s">
        <v>25</v>
      </c>
      <c r="G1190">
        <v>30</v>
      </c>
      <c r="H1190" t="s">
        <v>26</v>
      </c>
      <c r="I1190">
        <v>9</v>
      </c>
      <c r="J1190" s="10">
        <f t="shared" si="18"/>
        <v>1</v>
      </c>
    </row>
    <row r="1191" spans="1:10" x14ac:dyDescent="0.2">
      <c r="A1191" s="6">
        <v>42620</v>
      </c>
      <c r="B1191">
        <v>2008</v>
      </c>
      <c r="C1191">
        <v>1795</v>
      </c>
      <c r="D1191">
        <v>1190</v>
      </c>
      <c r="E1191">
        <v>7250</v>
      </c>
      <c r="F1191" t="s">
        <v>25</v>
      </c>
      <c r="G1191">
        <v>12</v>
      </c>
      <c r="H1191" t="s">
        <v>68</v>
      </c>
      <c r="I1191">
        <v>11</v>
      </c>
      <c r="J1191" s="10">
        <f t="shared" si="18"/>
        <v>12</v>
      </c>
    </row>
    <row r="1192" spans="1:10" x14ac:dyDescent="0.2">
      <c r="A1192" s="6">
        <v>42618</v>
      </c>
      <c r="B1192">
        <v>2009</v>
      </c>
      <c r="C1192">
        <v>1795</v>
      </c>
      <c r="D1192">
        <v>1191</v>
      </c>
      <c r="E1192">
        <v>6500</v>
      </c>
      <c r="F1192" t="s">
        <v>25</v>
      </c>
      <c r="G1192">
        <v>7</v>
      </c>
      <c r="H1192" t="s">
        <v>68</v>
      </c>
      <c r="I1192">
        <v>10</v>
      </c>
      <c r="J1192" s="10">
        <f t="shared" si="18"/>
        <v>7</v>
      </c>
    </row>
    <row r="1193" spans="1:10" x14ac:dyDescent="0.2">
      <c r="A1193" s="6">
        <v>42607</v>
      </c>
      <c r="B1193">
        <v>2009</v>
      </c>
      <c r="C1193">
        <v>1795</v>
      </c>
      <c r="D1193">
        <v>1192</v>
      </c>
      <c r="E1193">
        <v>7150</v>
      </c>
      <c r="F1193" t="s">
        <v>25</v>
      </c>
      <c r="G1193">
        <v>12</v>
      </c>
      <c r="H1193" t="s">
        <v>68</v>
      </c>
      <c r="I1193">
        <v>10</v>
      </c>
      <c r="J1193" s="10">
        <f t="shared" si="18"/>
        <v>12</v>
      </c>
    </row>
    <row r="1194" spans="1:10" x14ac:dyDescent="0.2">
      <c r="A1194" s="6">
        <v>42598</v>
      </c>
      <c r="B1194">
        <v>2008</v>
      </c>
      <c r="C1194">
        <v>1795</v>
      </c>
      <c r="D1194">
        <v>1193</v>
      </c>
      <c r="E1194">
        <v>7000</v>
      </c>
      <c r="F1194" t="s">
        <v>25</v>
      </c>
      <c r="G1194">
        <v>7</v>
      </c>
      <c r="H1194" t="s">
        <v>68</v>
      </c>
      <c r="I1194">
        <v>11</v>
      </c>
      <c r="J1194" s="10">
        <f t="shared" si="18"/>
        <v>7</v>
      </c>
    </row>
    <row r="1195" spans="1:10" x14ac:dyDescent="0.2">
      <c r="A1195" s="6">
        <v>42597</v>
      </c>
      <c r="B1195">
        <v>2010</v>
      </c>
      <c r="C1195">
        <v>1795</v>
      </c>
      <c r="D1195">
        <v>1194</v>
      </c>
      <c r="E1195">
        <v>7150</v>
      </c>
      <c r="F1195" t="s">
        <v>25</v>
      </c>
      <c r="G1195">
        <v>3</v>
      </c>
      <c r="H1195" t="s">
        <v>68</v>
      </c>
      <c r="I1195">
        <v>9</v>
      </c>
      <c r="J1195" s="10">
        <f t="shared" si="18"/>
        <v>3</v>
      </c>
    </row>
    <row r="1196" spans="1:10" x14ac:dyDescent="0.2">
      <c r="A1196" s="6">
        <v>42578</v>
      </c>
      <c r="B1196">
        <v>2008</v>
      </c>
      <c r="C1196">
        <v>1795</v>
      </c>
      <c r="D1196">
        <v>1195</v>
      </c>
      <c r="E1196">
        <v>6750</v>
      </c>
      <c r="F1196" t="s">
        <v>25</v>
      </c>
      <c r="G1196">
        <v>42</v>
      </c>
      <c r="H1196" t="s">
        <v>26</v>
      </c>
      <c r="I1196">
        <v>11</v>
      </c>
      <c r="J1196" s="10">
        <f t="shared" si="18"/>
        <v>1</v>
      </c>
    </row>
    <row r="1197" spans="1:10" x14ac:dyDescent="0.2">
      <c r="A1197" s="6">
        <v>42577</v>
      </c>
      <c r="B1197">
        <v>2008</v>
      </c>
      <c r="C1197">
        <v>1795</v>
      </c>
      <c r="D1197">
        <v>1196</v>
      </c>
      <c r="E1197">
        <v>6700</v>
      </c>
      <c r="F1197" t="s">
        <v>25</v>
      </c>
      <c r="G1197">
        <v>8</v>
      </c>
      <c r="H1197" t="s">
        <v>68</v>
      </c>
      <c r="I1197">
        <v>11</v>
      </c>
      <c r="J1197" s="10">
        <f t="shared" si="18"/>
        <v>8</v>
      </c>
    </row>
    <row r="1198" spans="1:10" x14ac:dyDescent="0.2">
      <c r="A1198" s="6">
        <v>42515</v>
      </c>
      <c r="B1198">
        <v>2008</v>
      </c>
      <c r="C1198">
        <v>1795</v>
      </c>
      <c r="D1198">
        <v>1197</v>
      </c>
      <c r="E1198">
        <v>7000</v>
      </c>
      <c r="F1198" t="s">
        <v>25</v>
      </c>
      <c r="G1198">
        <v>5</v>
      </c>
      <c r="H1198" t="s">
        <v>68</v>
      </c>
      <c r="I1198">
        <v>11</v>
      </c>
      <c r="J1198" s="10">
        <f t="shared" si="18"/>
        <v>5</v>
      </c>
    </row>
    <row r="1199" spans="1:10" x14ac:dyDescent="0.2">
      <c r="A1199" s="6">
        <v>42515</v>
      </c>
      <c r="B1199">
        <v>2010</v>
      </c>
      <c r="C1199">
        <v>1795</v>
      </c>
      <c r="D1199">
        <v>1198</v>
      </c>
      <c r="E1199">
        <v>7000</v>
      </c>
      <c r="F1199" t="s">
        <v>25</v>
      </c>
      <c r="G1199">
        <v>5</v>
      </c>
      <c r="H1199" t="s">
        <v>68</v>
      </c>
      <c r="I1199">
        <v>9</v>
      </c>
      <c r="J1199" s="10">
        <f t="shared" si="18"/>
        <v>5</v>
      </c>
    </row>
    <row r="1200" spans="1:10" x14ac:dyDescent="0.2">
      <c r="A1200" s="6">
        <v>42499</v>
      </c>
      <c r="B1200">
        <v>2008</v>
      </c>
      <c r="C1200">
        <v>1795</v>
      </c>
      <c r="D1200">
        <v>1199</v>
      </c>
      <c r="E1200">
        <v>7000</v>
      </c>
      <c r="F1200" t="s">
        <v>25</v>
      </c>
      <c r="G1200">
        <v>42</v>
      </c>
      <c r="H1200" t="s">
        <v>26</v>
      </c>
      <c r="I1200">
        <v>11</v>
      </c>
      <c r="J1200" s="10">
        <f t="shared" si="18"/>
        <v>1</v>
      </c>
    </row>
    <row r="1201" spans="1:10" x14ac:dyDescent="0.2">
      <c r="A1201" s="6">
        <v>42460</v>
      </c>
      <c r="B1201">
        <v>2008</v>
      </c>
      <c r="C1201">
        <v>1795</v>
      </c>
      <c r="D1201">
        <v>1200</v>
      </c>
      <c r="E1201">
        <v>7000</v>
      </c>
      <c r="F1201" t="s">
        <v>25</v>
      </c>
      <c r="G1201">
        <v>30</v>
      </c>
      <c r="H1201" t="s">
        <v>26</v>
      </c>
      <c r="I1201">
        <v>11</v>
      </c>
      <c r="J1201" s="10">
        <f t="shared" si="18"/>
        <v>1</v>
      </c>
    </row>
    <row r="1202" spans="1:10" x14ac:dyDescent="0.2">
      <c r="A1202" s="6">
        <v>42439</v>
      </c>
      <c r="B1202">
        <v>2008</v>
      </c>
      <c r="C1202">
        <v>1795</v>
      </c>
      <c r="D1202">
        <v>1201</v>
      </c>
      <c r="E1202">
        <v>6800</v>
      </c>
      <c r="F1202" t="s">
        <v>25</v>
      </c>
      <c r="G1202">
        <v>60</v>
      </c>
      <c r="H1202" t="s">
        <v>26</v>
      </c>
      <c r="I1202">
        <v>11</v>
      </c>
      <c r="J1202" s="10">
        <f t="shared" si="18"/>
        <v>2</v>
      </c>
    </row>
    <row r="1203" spans="1:10" x14ac:dyDescent="0.2">
      <c r="A1203" s="6">
        <v>42432</v>
      </c>
      <c r="B1203">
        <v>2009</v>
      </c>
      <c r="C1203">
        <v>1795</v>
      </c>
      <c r="D1203">
        <v>1202</v>
      </c>
      <c r="E1203">
        <v>8000</v>
      </c>
      <c r="F1203" t="s">
        <v>25</v>
      </c>
      <c r="G1203">
        <v>7</v>
      </c>
      <c r="H1203" t="s">
        <v>68</v>
      </c>
      <c r="I1203">
        <v>10</v>
      </c>
      <c r="J1203" s="10">
        <f t="shared" si="18"/>
        <v>7</v>
      </c>
    </row>
    <row r="1204" spans="1:10" x14ac:dyDescent="0.2">
      <c r="A1204" s="6">
        <v>42432</v>
      </c>
      <c r="B1204">
        <v>2008</v>
      </c>
      <c r="C1204">
        <v>1795</v>
      </c>
      <c r="D1204">
        <v>1203</v>
      </c>
      <c r="E1204">
        <v>8000</v>
      </c>
      <c r="F1204" t="s">
        <v>25</v>
      </c>
      <c r="G1204">
        <v>6</v>
      </c>
      <c r="H1204" t="s">
        <v>68</v>
      </c>
      <c r="I1204">
        <v>11</v>
      </c>
      <c r="J1204" s="10">
        <f t="shared" si="18"/>
        <v>6</v>
      </c>
    </row>
    <row r="1205" spans="1:10" x14ac:dyDescent="0.2">
      <c r="A1205" s="6">
        <v>42417</v>
      </c>
      <c r="B1205">
        <v>2008</v>
      </c>
      <c r="C1205">
        <v>1795</v>
      </c>
      <c r="D1205">
        <v>1204</v>
      </c>
      <c r="E1205">
        <v>7000</v>
      </c>
      <c r="F1205" t="s">
        <v>25</v>
      </c>
      <c r="G1205">
        <v>3</v>
      </c>
      <c r="H1205" t="s">
        <v>68</v>
      </c>
      <c r="I1205">
        <v>11</v>
      </c>
      <c r="J1205" s="10">
        <f t="shared" si="18"/>
        <v>3</v>
      </c>
    </row>
    <row r="1206" spans="1:10" x14ac:dyDescent="0.2">
      <c r="A1206" s="6">
        <v>42415</v>
      </c>
      <c r="B1206">
        <v>2008</v>
      </c>
      <c r="C1206">
        <v>1795</v>
      </c>
      <c r="D1206">
        <v>1205</v>
      </c>
      <c r="E1206">
        <v>7950</v>
      </c>
      <c r="F1206" t="s">
        <v>25</v>
      </c>
      <c r="G1206">
        <v>7</v>
      </c>
      <c r="H1206" t="s">
        <v>68</v>
      </c>
      <c r="I1206">
        <v>11</v>
      </c>
      <c r="J1206" s="10">
        <f t="shared" si="18"/>
        <v>7</v>
      </c>
    </row>
    <row r="1207" spans="1:10" x14ac:dyDescent="0.2">
      <c r="A1207" s="6">
        <v>42383</v>
      </c>
      <c r="B1207">
        <v>2009</v>
      </c>
      <c r="C1207">
        <v>1795</v>
      </c>
      <c r="D1207">
        <v>1206</v>
      </c>
      <c r="E1207">
        <v>7000</v>
      </c>
      <c r="F1207" t="s">
        <v>25</v>
      </c>
      <c r="G1207">
        <v>12</v>
      </c>
      <c r="H1207" t="s">
        <v>68</v>
      </c>
      <c r="I1207">
        <v>10</v>
      </c>
      <c r="J1207" s="10">
        <f t="shared" si="18"/>
        <v>12</v>
      </c>
    </row>
    <row r="1208" spans="1:10" x14ac:dyDescent="0.2">
      <c r="A1208" s="6">
        <v>42380</v>
      </c>
      <c r="B1208">
        <v>2007</v>
      </c>
      <c r="C1208">
        <v>1795</v>
      </c>
      <c r="D1208">
        <v>1207</v>
      </c>
      <c r="E1208">
        <v>7000</v>
      </c>
      <c r="F1208" t="s">
        <v>25</v>
      </c>
      <c r="G1208">
        <v>6</v>
      </c>
      <c r="H1208" t="s">
        <v>68</v>
      </c>
      <c r="I1208">
        <v>12</v>
      </c>
      <c r="J1208" s="10">
        <f t="shared" si="18"/>
        <v>6</v>
      </c>
    </row>
    <row r="1209" spans="1:10" x14ac:dyDescent="0.2">
      <c r="A1209" s="6">
        <v>42846</v>
      </c>
      <c r="B1209">
        <v>2008</v>
      </c>
      <c r="C1209">
        <v>1800</v>
      </c>
      <c r="D1209">
        <v>1208</v>
      </c>
      <c r="E1209">
        <v>7250</v>
      </c>
      <c r="F1209" t="s">
        <v>25</v>
      </c>
      <c r="G1209">
        <v>7</v>
      </c>
      <c r="H1209" t="s">
        <v>68</v>
      </c>
      <c r="I1209">
        <v>11</v>
      </c>
      <c r="J1209" s="10">
        <f t="shared" si="18"/>
        <v>7</v>
      </c>
    </row>
    <row r="1210" spans="1:10" x14ac:dyDescent="0.2">
      <c r="A1210" s="6">
        <v>42836</v>
      </c>
      <c r="B1210">
        <v>2008</v>
      </c>
      <c r="C1210">
        <v>1800</v>
      </c>
      <c r="D1210">
        <v>1209</v>
      </c>
      <c r="E1210">
        <v>6600</v>
      </c>
      <c r="F1210" t="s">
        <v>25</v>
      </c>
      <c r="G1210">
        <v>6</v>
      </c>
      <c r="H1210" t="s">
        <v>68</v>
      </c>
      <c r="I1210">
        <v>11</v>
      </c>
      <c r="J1210" s="10">
        <f t="shared" si="18"/>
        <v>6</v>
      </c>
    </row>
    <row r="1211" spans="1:10" x14ac:dyDescent="0.2">
      <c r="A1211" s="6">
        <v>42570</v>
      </c>
      <c r="B1211">
        <v>2008</v>
      </c>
      <c r="C1211">
        <v>1800</v>
      </c>
      <c r="D1211">
        <v>1210</v>
      </c>
      <c r="E1211">
        <v>6300</v>
      </c>
      <c r="F1211" t="s">
        <v>25</v>
      </c>
      <c r="G1211">
        <v>6</v>
      </c>
      <c r="H1211" t="s">
        <v>68</v>
      </c>
      <c r="I1211">
        <v>11</v>
      </c>
      <c r="J1211" s="10">
        <f t="shared" si="18"/>
        <v>6</v>
      </c>
    </row>
    <row r="1212" spans="1:10" x14ac:dyDescent="0.2">
      <c r="A1212" s="6">
        <v>43570</v>
      </c>
      <c r="B1212">
        <v>2007</v>
      </c>
      <c r="C1212">
        <v>1819</v>
      </c>
      <c r="D1212">
        <v>1211</v>
      </c>
      <c r="E1212">
        <v>8000</v>
      </c>
      <c r="F1212" t="s">
        <v>25</v>
      </c>
      <c r="G1212">
        <v>4</v>
      </c>
      <c r="H1212" t="s">
        <v>68</v>
      </c>
      <c r="I1212">
        <v>12</v>
      </c>
      <c r="J1212" s="10">
        <f t="shared" si="18"/>
        <v>4</v>
      </c>
    </row>
    <row r="1213" spans="1:10" x14ac:dyDescent="0.2">
      <c r="A1213" s="6">
        <v>43570</v>
      </c>
      <c r="B1213">
        <v>2008</v>
      </c>
      <c r="C1213">
        <v>1819</v>
      </c>
      <c r="D1213">
        <v>1212</v>
      </c>
      <c r="E1213">
        <v>8100</v>
      </c>
      <c r="F1213" t="s">
        <v>25</v>
      </c>
      <c r="G1213">
        <v>14</v>
      </c>
      <c r="H1213" t="s">
        <v>68</v>
      </c>
      <c r="I1213">
        <v>11</v>
      </c>
      <c r="J1213" s="10">
        <f t="shared" si="18"/>
        <v>14</v>
      </c>
    </row>
    <row r="1214" spans="1:10" x14ac:dyDescent="0.2">
      <c r="A1214" s="6">
        <v>43405</v>
      </c>
      <c r="B1214">
        <v>2008</v>
      </c>
      <c r="C1214">
        <v>1819</v>
      </c>
      <c r="D1214">
        <v>1213</v>
      </c>
      <c r="E1214">
        <v>9800</v>
      </c>
      <c r="F1214" t="s">
        <v>25</v>
      </c>
      <c r="G1214">
        <v>12</v>
      </c>
      <c r="H1214" t="s">
        <v>68</v>
      </c>
      <c r="I1214">
        <v>11</v>
      </c>
      <c r="J1214" s="10">
        <f t="shared" si="18"/>
        <v>12</v>
      </c>
    </row>
    <row r="1215" spans="1:10" x14ac:dyDescent="0.2">
      <c r="A1215" s="6">
        <v>43398</v>
      </c>
      <c r="B1215">
        <v>2008</v>
      </c>
      <c r="C1215">
        <v>1819</v>
      </c>
      <c r="D1215">
        <v>1214</v>
      </c>
      <c r="E1215">
        <v>8000</v>
      </c>
      <c r="F1215" t="s">
        <v>25</v>
      </c>
      <c r="G1215">
        <v>60</v>
      </c>
      <c r="H1215" t="s">
        <v>26</v>
      </c>
      <c r="I1215">
        <v>11</v>
      </c>
      <c r="J1215" s="10">
        <f t="shared" si="18"/>
        <v>2</v>
      </c>
    </row>
    <row r="1216" spans="1:10" x14ac:dyDescent="0.2">
      <c r="A1216" s="6">
        <v>43384</v>
      </c>
      <c r="B1216">
        <v>2007</v>
      </c>
      <c r="C1216">
        <v>1819</v>
      </c>
      <c r="D1216">
        <v>1215</v>
      </c>
      <c r="E1216">
        <v>10500</v>
      </c>
      <c r="F1216" t="s">
        <v>25</v>
      </c>
      <c r="G1216">
        <v>12</v>
      </c>
      <c r="H1216" t="s">
        <v>68</v>
      </c>
      <c r="I1216">
        <v>12</v>
      </c>
      <c r="J1216" s="10">
        <f t="shared" si="18"/>
        <v>12</v>
      </c>
    </row>
    <row r="1217" spans="1:10" x14ac:dyDescent="0.2">
      <c r="A1217" s="6">
        <v>43361</v>
      </c>
      <c r="B1217">
        <v>2007</v>
      </c>
      <c r="C1217">
        <v>1819</v>
      </c>
      <c r="D1217">
        <v>1216</v>
      </c>
      <c r="E1217">
        <v>9750</v>
      </c>
      <c r="F1217" t="s">
        <v>25</v>
      </c>
      <c r="G1217">
        <v>10</v>
      </c>
      <c r="H1217" t="s">
        <v>68</v>
      </c>
      <c r="I1217">
        <v>12</v>
      </c>
      <c r="J1217" s="10">
        <f t="shared" si="18"/>
        <v>10</v>
      </c>
    </row>
    <row r="1218" spans="1:10" x14ac:dyDescent="0.2">
      <c r="A1218" s="6">
        <v>43355</v>
      </c>
      <c r="B1218">
        <v>2008</v>
      </c>
      <c r="C1218">
        <v>1819</v>
      </c>
      <c r="D1218">
        <v>1217</v>
      </c>
      <c r="E1218">
        <v>9750</v>
      </c>
      <c r="F1218" t="s">
        <v>25</v>
      </c>
      <c r="G1218">
        <v>12</v>
      </c>
      <c r="H1218" t="s">
        <v>68</v>
      </c>
      <c r="I1218">
        <v>11</v>
      </c>
      <c r="J1218" s="10">
        <f t="shared" ref="J1218:J1281" si="19">IF(H1218="days",ROUND(G1218/30,0),IF(H1218="years",G1218*12,G1218))</f>
        <v>12</v>
      </c>
    </row>
    <row r="1219" spans="1:10" x14ac:dyDescent="0.2">
      <c r="A1219" s="6">
        <v>43327</v>
      </c>
      <c r="B1219">
        <v>2008</v>
      </c>
      <c r="C1219">
        <v>1819</v>
      </c>
      <c r="D1219">
        <v>1218</v>
      </c>
      <c r="E1219">
        <v>10500</v>
      </c>
      <c r="F1219" t="s">
        <v>25</v>
      </c>
      <c r="G1219">
        <v>12</v>
      </c>
      <c r="H1219" t="s">
        <v>68</v>
      </c>
      <c r="I1219">
        <v>11</v>
      </c>
      <c r="J1219" s="10">
        <f t="shared" si="19"/>
        <v>12</v>
      </c>
    </row>
    <row r="1220" spans="1:10" x14ac:dyDescent="0.2">
      <c r="A1220" s="6">
        <v>43255</v>
      </c>
      <c r="B1220">
        <v>2008</v>
      </c>
      <c r="C1220">
        <v>1819</v>
      </c>
      <c r="D1220">
        <v>1219</v>
      </c>
      <c r="E1220">
        <v>11250</v>
      </c>
      <c r="F1220" t="s">
        <v>25</v>
      </c>
      <c r="G1220">
        <v>5</v>
      </c>
      <c r="H1220" t="s">
        <v>68</v>
      </c>
      <c r="I1220">
        <v>11</v>
      </c>
      <c r="J1220" s="10">
        <f t="shared" si="19"/>
        <v>5</v>
      </c>
    </row>
    <row r="1221" spans="1:10" x14ac:dyDescent="0.2">
      <c r="A1221" s="6">
        <v>43185</v>
      </c>
      <c r="B1221">
        <v>2008</v>
      </c>
      <c r="C1221">
        <v>1819</v>
      </c>
      <c r="D1221">
        <v>1220</v>
      </c>
      <c r="E1221">
        <v>11250</v>
      </c>
      <c r="F1221" t="s">
        <v>25</v>
      </c>
      <c r="G1221">
        <v>12</v>
      </c>
      <c r="H1221" t="s">
        <v>68</v>
      </c>
      <c r="I1221">
        <v>11</v>
      </c>
      <c r="J1221" s="10">
        <f t="shared" si="19"/>
        <v>12</v>
      </c>
    </row>
    <row r="1222" spans="1:10" x14ac:dyDescent="0.2">
      <c r="A1222" s="6">
        <v>43151</v>
      </c>
      <c r="B1222">
        <v>2008</v>
      </c>
      <c r="C1222">
        <v>1819</v>
      </c>
      <c r="D1222">
        <v>1221</v>
      </c>
      <c r="E1222">
        <v>9500</v>
      </c>
      <c r="F1222" t="s">
        <v>25</v>
      </c>
      <c r="G1222">
        <v>30</v>
      </c>
      <c r="H1222" t="s">
        <v>26</v>
      </c>
      <c r="I1222">
        <v>11</v>
      </c>
      <c r="J1222" s="10">
        <f t="shared" si="19"/>
        <v>1</v>
      </c>
    </row>
    <row r="1223" spans="1:10" x14ac:dyDescent="0.2">
      <c r="A1223" s="6">
        <v>42860</v>
      </c>
      <c r="B1223">
        <v>2008</v>
      </c>
      <c r="C1223">
        <v>1819</v>
      </c>
      <c r="D1223">
        <v>1222</v>
      </c>
      <c r="E1223">
        <v>8500</v>
      </c>
      <c r="F1223" t="s">
        <v>25</v>
      </c>
      <c r="G1223">
        <v>5</v>
      </c>
      <c r="H1223" t="s">
        <v>68</v>
      </c>
      <c r="I1223">
        <v>11</v>
      </c>
      <c r="J1223" s="10">
        <f t="shared" si="19"/>
        <v>5</v>
      </c>
    </row>
    <row r="1224" spans="1:10" x14ac:dyDescent="0.2">
      <c r="A1224" s="6">
        <v>42853</v>
      </c>
      <c r="B1224">
        <v>2008</v>
      </c>
      <c r="C1224">
        <v>1819</v>
      </c>
      <c r="D1224">
        <v>1223</v>
      </c>
      <c r="E1224">
        <v>8250</v>
      </c>
      <c r="F1224" t="s">
        <v>25</v>
      </c>
      <c r="G1224">
        <v>12</v>
      </c>
      <c r="H1224" t="s">
        <v>68</v>
      </c>
      <c r="I1224">
        <v>11</v>
      </c>
      <c r="J1224" s="10">
        <f t="shared" si="19"/>
        <v>12</v>
      </c>
    </row>
    <row r="1225" spans="1:10" x14ac:dyDescent="0.2">
      <c r="A1225" s="6">
        <v>42789</v>
      </c>
      <c r="B1225">
        <v>2008</v>
      </c>
      <c r="C1225">
        <v>1819</v>
      </c>
      <c r="D1225">
        <v>1224</v>
      </c>
      <c r="E1225">
        <v>6500</v>
      </c>
      <c r="F1225" t="s">
        <v>25</v>
      </c>
      <c r="G1225">
        <v>4</v>
      </c>
      <c r="H1225" t="s">
        <v>68</v>
      </c>
      <c r="I1225">
        <v>11</v>
      </c>
      <c r="J1225" s="10">
        <f t="shared" si="19"/>
        <v>4</v>
      </c>
    </row>
    <row r="1226" spans="1:10" x14ac:dyDescent="0.2">
      <c r="A1226" s="6">
        <v>42647</v>
      </c>
      <c r="B1226">
        <v>2008</v>
      </c>
      <c r="C1226">
        <v>1819</v>
      </c>
      <c r="D1226">
        <v>1225</v>
      </c>
      <c r="E1226">
        <v>6400</v>
      </c>
      <c r="F1226" t="s">
        <v>25</v>
      </c>
      <c r="G1226">
        <v>8</v>
      </c>
      <c r="H1226" t="s">
        <v>68</v>
      </c>
      <c r="I1226">
        <v>11</v>
      </c>
      <c r="J1226" s="10">
        <f t="shared" si="19"/>
        <v>8</v>
      </c>
    </row>
    <row r="1227" spans="1:10" x14ac:dyDescent="0.2">
      <c r="A1227" s="6">
        <v>42461</v>
      </c>
      <c r="B1227">
        <v>2008</v>
      </c>
      <c r="C1227">
        <v>1819</v>
      </c>
      <c r="D1227">
        <v>1226</v>
      </c>
      <c r="E1227">
        <v>7400</v>
      </c>
      <c r="F1227" t="s">
        <v>25</v>
      </c>
      <c r="G1227">
        <v>5</v>
      </c>
      <c r="H1227" t="s">
        <v>68</v>
      </c>
      <c r="I1227">
        <v>11</v>
      </c>
      <c r="J1227" s="10">
        <f t="shared" si="19"/>
        <v>5</v>
      </c>
    </row>
    <row r="1228" spans="1:10" x14ac:dyDescent="0.2">
      <c r="A1228" s="6">
        <v>43553</v>
      </c>
      <c r="B1228">
        <v>2006</v>
      </c>
      <c r="C1228">
        <v>1856</v>
      </c>
      <c r="D1228">
        <v>1227</v>
      </c>
      <c r="E1228">
        <v>8400</v>
      </c>
      <c r="F1228" t="s">
        <v>25</v>
      </c>
      <c r="G1228">
        <v>40</v>
      </c>
      <c r="H1228" t="s">
        <v>26</v>
      </c>
      <c r="I1228">
        <v>13</v>
      </c>
      <c r="J1228" s="10">
        <f t="shared" si="19"/>
        <v>1</v>
      </c>
    </row>
    <row r="1229" spans="1:10" x14ac:dyDescent="0.2">
      <c r="A1229" s="6">
        <v>43496</v>
      </c>
      <c r="B1229">
        <v>2006</v>
      </c>
      <c r="C1229">
        <v>1856</v>
      </c>
      <c r="D1229">
        <v>1228</v>
      </c>
      <c r="E1229">
        <v>7150</v>
      </c>
      <c r="F1229" t="s">
        <v>25</v>
      </c>
      <c r="G1229">
        <v>4</v>
      </c>
      <c r="H1229" t="s">
        <v>68</v>
      </c>
      <c r="I1229">
        <v>13</v>
      </c>
      <c r="J1229" s="10">
        <f t="shared" si="19"/>
        <v>4</v>
      </c>
    </row>
    <row r="1230" spans="1:10" x14ac:dyDescent="0.2">
      <c r="A1230" s="6">
        <v>43335</v>
      </c>
      <c r="B1230">
        <v>2006</v>
      </c>
      <c r="C1230">
        <v>1856</v>
      </c>
      <c r="D1230">
        <v>1229</v>
      </c>
      <c r="E1230">
        <v>10250</v>
      </c>
      <c r="F1230" t="s">
        <v>25</v>
      </c>
      <c r="G1230">
        <v>7</v>
      </c>
      <c r="H1230" t="s">
        <v>68</v>
      </c>
      <c r="I1230">
        <v>13</v>
      </c>
      <c r="J1230" s="10">
        <f t="shared" si="19"/>
        <v>7</v>
      </c>
    </row>
    <row r="1231" spans="1:10" x14ac:dyDescent="0.2">
      <c r="A1231" s="6">
        <v>43185</v>
      </c>
      <c r="B1231">
        <v>2006</v>
      </c>
      <c r="C1231">
        <v>1856</v>
      </c>
      <c r="D1231">
        <v>1230</v>
      </c>
      <c r="E1231">
        <v>11800</v>
      </c>
      <c r="F1231" t="s">
        <v>25</v>
      </c>
      <c r="G1231">
        <v>12</v>
      </c>
      <c r="H1231" t="s">
        <v>68</v>
      </c>
      <c r="I1231">
        <v>13</v>
      </c>
      <c r="J1231" s="10">
        <f t="shared" si="19"/>
        <v>12</v>
      </c>
    </row>
    <row r="1232" spans="1:10" x14ac:dyDescent="0.2">
      <c r="A1232" s="6">
        <v>42996</v>
      </c>
      <c r="B1232">
        <v>2006</v>
      </c>
      <c r="C1232">
        <v>1856</v>
      </c>
      <c r="D1232">
        <v>1231</v>
      </c>
      <c r="E1232">
        <v>7500</v>
      </c>
      <c r="F1232" t="s">
        <v>25</v>
      </c>
      <c r="G1232">
        <v>8</v>
      </c>
      <c r="H1232" t="s">
        <v>68</v>
      </c>
      <c r="I1232">
        <v>13</v>
      </c>
      <c r="J1232" s="10">
        <f t="shared" si="19"/>
        <v>8</v>
      </c>
    </row>
    <row r="1233" spans="1:10" x14ac:dyDescent="0.2">
      <c r="A1233" s="6">
        <v>42941</v>
      </c>
      <c r="B1233">
        <v>2006</v>
      </c>
      <c r="C1233">
        <v>1856</v>
      </c>
      <c r="D1233">
        <v>1232</v>
      </c>
      <c r="E1233">
        <v>7250</v>
      </c>
      <c r="F1233" t="s">
        <v>25</v>
      </c>
      <c r="G1233">
        <v>40</v>
      </c>
      <c r="H1233" t="s">
        <v>26</v>
      </c>
      <c r="I1233">
        <v>13</v>
      </c>
      <c r="J1233" s="10">
        <f t="shared" si="19"/>
        <v>1</v>
      </c>
    </row>
    <row r="1234" spans="1:10" x14ac:dyDescent="0.2">
      <c r="A1234" s="6">
        <v>42873</v>
      </c>
      <c r="B1234">
        <v>2006</v>
      </c>
      <c r="C1234">
        <v>1856</v>
      </c>
      <c r="D1234">
        <v>1233</v>
      </c>
      <c r="E1234">
        <v>7250</v>
      </c>
      <c r="F1234" t="s">
        <v>25</v>
      </c>
      <c r="G1234">
        <v>70</v>
      </c>
      <c r="H1234" t="s">
        <v>26</v>
      </c>
      <c r="I1234">
        <v>13</v>
      </c>
      <c r="J1234" s="10">
        <f t="shared" si="19"/>
        <v>2</v>
      </c>
    </row>
    <row r="1235" spans="1:10" x14ac:dyDescent="0.2">
      <c r="A1235" s="6">
        <v>42736</v>
      </c>
      <c r="B1235">
        <v>2006</v>
      </c>
      <c r="C1235">
        <v>1856</v>
      </c>
      <c r="D1235">
        <v>1234</v>
      </c>
      <c r="E1235">
        <v>8250</v>
      </c>
      <c r="F1235" t="s">
        <v>25</v>
      </c>
      <c r="G1235">
        <v>12</v>
      </c>
      <c r="H1235" t="s">
        <v>68</v>
      </c>
      <c r="I1235">
        <v>13</v>
      </c>
      <c r="J1235" s="10">
        <f t="shared" si="19"/>
        <v>12</v>
      </c>
    </row>
    <row r="1236" spans="1:10" x14ac:dyDescent="0.2">
      <c r="A1236" s="6">
        <v>42491</v>
      </c>
      <c r="B1236">
        <v>2006</v>
      </c>
      <c r="C1236">
        <v>1856</v>
      </c>
      <c r="D1236">
        <v>1235</v>
      </c>
      <c r="E1236">
        <v>9750</v>
      </c>
      <c r="F1236" t="s">
        <v>25</v>
      </c>
      <c r="G1236">
        <v>12</v>
      </c>
      <c r="H1236" t="s">
        <v>68</v>
      </c>
      <c r="I1236">
        <v>13</v>
      </c>
      <c r="J1236" s="10">
        <f t="shared" si="19"/>
        <v>12</v>
      </c>
    </row>
    <row r="1237" spans="1:10" x14ac:dyDescent="0.2">
      <c r="A1237" s="6">
        <v>42444</v>
      </c>
      <c r="B1237">
        <v>2006</v>
      </c>
      <c r="C1237">
        <v>1856</v>
      </c>
      <c r="D1237">
        <v>1236</v>
      </c>
      <c r="E1237">
        <v>9900</v>
      </c>
      <c r="F1237" t="s">
        <v>25</v>
      </c>
      <c r="G1237">
        <v>13</v>
      </c>
      <c r="H1237" t="s">
        <v>68</v>
      </c>
      <c r="I1237">
        <v>13</v>
      </c>
      <c r="J1237" s="10">
        <f t="shared" si="19"/>
        <v>13</v>
      </c>
    </row>
    <row r="1238" spans="1:10" x14ac:dyDescent="0.2">
      <c r="A1238" s="6">
        <v>42423</v>
      </c>
      <c r="B1238">
        <v>2006</v>
      </c>
      <c r="C1238">
        <v>1856</v>
      </c>
      <c r="D1238">
        <v>1237</v>
      </c>
      <c r="E1238">
        <v>6250</v>
      </c>
      <c r="F1238" t="s">
        <v>25</v>
      </c>
      <c r="G1238">
        <v>9</v>
      </c>
      <c r="H1238" t="s">
        <v>68</v>
      </c>
      <c r="I1238">
        <v>13</v>
      </c>
      <c r="J1238" s="10">
        <f t="shared" si="19"/>
        <v>9</v>
      </c>
    </row>
    <row r="1239" spans="1:10" x14ac:dyDescent="0.2">
      <c r="A1239" s="6">
        <v>43313</v>
      </c>
      <c r="B1239">
        <v>2006</v>
      </c>
      <c r="C1239">
        <v>1858</v>
      </c>
      <c r="D1239">
        <v>1238</v>
      </c>
      <c r="E1239">
        <v>8100</v>
      </c>
      <c r="F1239" t="s">
        <v>25</v>
      </c>
      <c r="G1239">
        <v>12</v>
      </c>
      <c r="H1239" t="s">
        <v>68</v>
      </c>
      <c r="I1239">
        <v>13</v>
      </c>
      <c r="J1239" s="10">
        <f t="shared" si="19"/>
        <v>12</v>
      </c>
    </row>
    <row r="1240" spans="1:10" x14ac:dyDescent="0.2">
      <c r="A1240" s="6">
        <v>43164</v>
      </c>
      <c r="B1240">
        <v>2006</v>
      </c>
      <c r="C1240">
        <v>1858</v>
      </c>
      <c r="D1240">
        <v>1239</v>
      </c>
      <c r="E1240">
        <v>8500</v>
      </c>
      <c r="F1240" t="s">
        <v>25</v>
      </c>
      <c r="G1240">
        <v>6</v>
      </c>
      <c r="H1240" t="s">
        <v>68</v>
      </c>
      <c r="I1240">
        <v>13</v>
      </c>
      <c r="J1240" s="10">
        <f t="shared" si="19"/>
        <v>6</v>
      </c>
    </row>
    <row r="1241" spans="1:10" x14ac:dyDescent="0.2">
      <c r="A1241" s="6">
        <v>42751</v>
      </c>
      <c r="B1241">
        <v>2006</v>
      </c>
      <c r="C1241">
        <v>1858</v>
      </c>
      <c r="D1241">
        <v>1240</v>
      </c>
      <c r="E1241">
        <v>6000</v>
      </c>
      <c r="F1241" t="s">
        <v>25</v>
      </c>
      <c r="G1241">
        <v>12</v>
      </c>
      <c r="H1241" t="s">
        <v>68</v>
      </c>
      <c r="I1241">
        <v>13</v>
      </c>
      <c r="J1241" s="10">
        <f t="shared" si="19"/>
        <v>12</v>
      </c>
    </row>
    <row r="1242" spans="1:10" x14ac:dyDescent="0.2">
      <c r="A1242" s="6">
        <v>42430</v>
      </c>
      <c r="B1242">
        <v>2006</v>
      </c>
      <c r="C1242">
        <v>1858</v>
      </c>
      <c r="D1242">
        <v>1241</v>
      </c>
      <c r="E1242">
        <v>7000</v>
      </c>
      <c r="F1242" t="s">
        <v>25</v>
      </c>
      <c r="G1242">
        <v>12</v>
      </c>
      <c r="H1242" t="s">
        <v>68</v>
      </c>
      <c r="I1242">
        <v>13</v>
      </c>
      <c r="J1242" s="10">
        <f t="shared" si="19"/>
        <v>12</v>
      </c>
    </row>
    <row r="1243" spans="1:10" x14ac:dyDescent="0.2">
      <c r="A1243" s="6">
        <v>43584</v>
      </c>
      <c r="B1243">
        <v>2006</v>
      </c>
      <c r="C1243">
        <v>1875</v>
      </c>
      <c r="D1243">
        <v>1242</v>
      </c>
      <c r="E1243">
        <v>8500</v>
      </c>
      <c r="F1243" t="s">
        <v>25</v>
      </c>
      <c r="G1243">
        <v>42</v>
      </c>
      <c r="H1243" t="s">
        <v>26</v>
      </c>
      <c r="I1243">
        <v>13</v>
      </c>
      <c r="J1243" s="10">
        <f t="shared" si="19"/>
        <v>1</v>
      </c>
    </row>
    <row r="1244" spans="1:10" x14ac:dyDescent="0.2">
      <c r="A1244" s="6">
        <v>43391</v>
      </c>
      <c r="B1244">
        <v>2006</v>
      </c>
      <c r="C1244">
        <v>1875</v>
      </c>
      <c r="D1244">
        <v>1243</v>
      </c>
      <c r="E1244">
        <v>8500</v>
      </c>
      <c r="F1244" t="s">
        <v>25</v>
      </c>
      <c r="G1244">
        <v>12</v>
      </c>
      <c r="H1244" t="s">
        <v>68</v>
      </c>
      <c r="I1244">
        <v>13</v>
      </c>
      <c r="J1244" s="10">
        <f t="shared" si="19"/>
        <v>12</v>
      </c>
    </row>
    <row r="1245" spans="1:10" x14ac:dyDescent="0.2">
      <c r="A1245" s="6">
        <v>43391</v>
      </c>
      <c r="B1245">
        <v>2006</v>
      </c>
      <c r="C1245">
        <v>1875</v>
      </c>
      <c r="D1245">
        <v>1244</v>
      </c>
      <c r="E1245">
        <v>8500</v>
      </c>
      <c r="F1245" t="s">
        <v>25</v>
      </c>
      <c r="G1245">
        <v>12</v>
      </c>
      <c r="H1245" t="s">
        <v>68</v>
      </c>
      <c r="I1245">
        <v>13</v>
      </c>
      <c r="J1245" s="10">
        <f t="shared" si="19"/>
        <v>12</v>
      </c>
    </row>
    <row r="1246" spans="1:10" x14ac:dyDescent="0.2">
      <c r="A1246" s="6">
        <v>43203</v>
      </c>
      <c r="B1246">
        <v>2006</v>
      </c>
      <c r="C1246">
        <v>1875</v>
      </c>
      <c r="D1246">
        <v>1245</v>
      </c>
      <c r="E1246">
        <v>11500</v>
      </c>
      <c r="F1246" t="s">
        <v>25</v>
      </c>
      <c r="G1246">
        <v>7</v>
      </c>
      <c r="H1246" t="s">
        <v>68</v>
      </c>
      <c r="I1246">
        <v>13</v>
      </c>
      <c r="J1246" s="10">
        <f t="shared" si="19"/>
        <v>7</v>
      </c>
    </row>
    <row r="1247" spans="1:10" x14ac:dyDescent="0.2">
      <c r="A1247" s="6">
        <v>43185</v>
      </c>
      <c r="B1247">
        <v>2007</v>
      </c>
      <c r="C1247">
        <v>1875</v>
      </c>
      <c r="D1247">
        <v>1246</v>
      </c>
      <c r="E1247">
        <v>11800</v>
      </c>
      <c r="F1247" t="s">
        <v>25</v>
      </c>
      <c r="G1247">
        <v>13</v>
      </c>
      <c r="H1247" t="s">
        <v>68</v>
      </c>
      <c r="I1247">
        <v>12</v>
      </c>
      <c r="J1247" s="10">
        <f t="shared" si="19"/>
        <v>13</v>
      </c>
    </row>
    <row r="1248" spans="1:10" x14ac:dyDescent="0.2">
      <c r="A1248" s="6">
        <v>43185</v>
      </c>
      <c r="B1248">
        <v>2007</v>
      </c>
      <c r="C1248">
        <v>1875</v>
      </c>
      <c r="D1248">
        <v>1247</v>
      </c>
      <c r="E1248">
        <v>11800</v>
      </c>
      <c r="F1248" t="s">
        <v>25</v>
      </c>
      <c r="G1248">
        <v>12</v>
      </c>
      <c r="H1248" t="s">
        <v>68</v>
      </c>
      <c r="I1248">
        <v>12</v>
      </c>
      <c r="J1248" s="10">
        <f t="shared" si="19"/>
        <v>12</v>
      </c>
    </row>
    <row r="1249" spans="1:10" x14ac:dyDescent="0.2">
      <c r="A1249" s="6">
        <v>42736</v>
      </c>
      <c r="B1249">
        <v>2007</v>
      </c>
      <c r="C1249">
        <v>1875</v>
      </c>
      <c r="D1249">
        <v>1248</v>
      </c>
      <c r="E1249">
        <v>8250</v>
      </c>
      <c r="F1249" t="s">
        <v>25</v>
      </c>
      <c r="G1249">
        <v>12</v>
      </c>
      <c r="H1249" t="s">
        <v>68</v>
      </c>
      <c r="I1249">
        <v>12</v>
      </c>
      <c r="J1249" s="10">
        <f t="shared" si="19"/>
        <v>12</v>
      </c>
    </row>
    <row r="1250" spans="1:10" x14ac:dyDescent="0.2">
      <c r="A1250" s="6">
        <v>42736</v>
      </c>
      <c r="B1250">
        <v>2007</v>
      </c>
      <c r="C1250">
        <v>1875</v>
      </c>
      <c r="D1250">
        <v>1249</v>
      </c>
      <c r="E1250">
        <v>8250</v>
      </c>
      <c r="F1250" t="s">
        <v>25</v>
      </c>
      <c r="G1250">
        <v>15</v>
      </c>
      <c r="H1250" t="s">
        <v>68</v>
      </c>
      <c r="I1250">
        <v>12</v>
      </c>
      <c r="J1250" s="10">
        <f t="shared" si="19"/>
        <v>15</v>
      </c>
    </row>
    <row r="1251" spans="1:10" x14ac:dyDescent="0.2">
      <c r="A1251" s="6">
        <v>42450</v>
      </c>
      <c r="B1251">
        <v>2006</v>
      </c>
      <c r="C1251">
        <v>1875</v>
      </c>
      <c r="D1251">
        <v>1250</v>
      </c>
      <c r="E1251">
        <v>9750</v>
      </c>
      <c r="F1251" t="s">
        <v>25</v>
      </c>
      <c r="G1251">
        <v>13</v>
      </c>
      <c r="H1251" t="s">
        <v>68</v>
      </c>
      <c r="I1251">
        <v>13</v>
      </c>
      <c r="J1251" s="10">
        <f t="shared" si="19"/>
        <v>13</v>
      </c>
    </row>
    <row r="1252" spans="1:10" x14ac:dyDescent="0.2">
      <c r="A1252" s="6">
        <v>42449</v>
      </c>
      <c r="B1252">
        <v>2006</v>
      </c>
      <c r="C1252">
        <v>1875</v>
      </c>
      <c r="D1252">
        <v>1251</v>
      </c>
      <c r="E1252">
        <v>9750</v>
      </c>
      <c r="F1252" t="s">
        <v>25</v>
      </c>
      <c r="G1252">
        <v>13</v>
      </c>
      <c r="H1252" t="s">
        <v>68</v>
      </c>
      <c r="I1252">
        <v>13</v>
      </c>
      <c r="J1252" s="10">
        <f t="shared" si="19"/>
        <v>13</v>
      </c>
    </row>
    <row r="1253" spans="1:10" x14ac:dyDescent="0.2">
      <c r="A1253" s="6">
        <v>42444</v>
      </c>
      <c r="B1253">
        <v>2007</v>
      </c>
      <c r="C1253">
        <v>1875</v>
      </c>
      <c r="D1253">
        <v>1252</v>
      </c>
      <c r="E1253">
        <v>9700</v>
      </c>
      <c r="F1253" t="s">
        <v>25</v>
      </c>
      <c r="G1253">
        <v>13</v>
      </c>
      <c r="H1253" t="s">
        <v>68</v>
      </c>
      <c r="I1253">
        <v>12</v>
      </c>
      <c r="J1253" s="10">
        <f t="shared" si="19"/>
        <v>13</v>
      </c>
    </row>
    <row r="1254" spans="1:10" x14ac:dyDescent="0.2">
      <c r="A1254" s="6">
        <v>43634</v>
      </c>
      <c r="B1254">
        <v>2008</v>
      </c>
      <c r="C1254">
        <v>1878</v>
      </c>
      <c r="D1254">
        <v>1253</v>
      </c>
      <c r="E1254">
        <v>9750</v>
      </c>
      <c r="F1254" t="s">
        <v>25</v>
      </c>
      <c r="G1254">
        <v>6</v>
      </c>
      <c r="H1254" t="s">
        <v>68</v>
      </c>
      <c r="I1254">
        <v>11</v>
      </c>
      <c r="J1254" s="10">
        <f t="shared" si="19"/>
        <v>6</v>
      </c>
    </row>
    <row r="1255" spans="1:10" x14ac:dyDescent="0.2">
      <c r="A1255" s="6">
        <v>43495</v>
      </c>
      <c r="B1255">
        <v>2008</v>
      </c>
      <c r="C1255">
        <v>1878</v>
      </c>
      <c r="D1255">
        <v>1254</v>
      </c>
      <c r="E1255">
        <v>9000</v>
      </c>
      <c r="F1255" t="s">
        <v>25</v>
      </c>
      <c r="G1255">
        <v>4</v>
      </c>
      <c r="H1255" t="s">
        <v>68</v>
      </c>
      <c r="I1255">
        <v>11</v>
      </c>
      <c r="J1255" s="10">
        <f t="shared" si="19"/>
        <v>4</v>
      </c>
    </row>
    <row r="1256" spans="1:10" x14ac:dyDescent="0.2">
      <c r="A1256" s="6">
        <v>43361</v>
      </c>
      <c r="B1256">
        <v>2008</v>
      </c>
      <c r="C1256">
        <v>1878</v>
      </c>
      <c r="D1256">
        <v>1255</v>
      </c>
      <c r="E1256">
        <v>10100</v>
      </c>
      <c r="F1256" t="s">
        <v>25</v>
      </c>
      <c r="G1256">
        <v>9</v>
      </c>
      <c r="H1256" t="s">
        <v>68</v>
      </c>
      <c r="I1256">
        <v>11</v>
      </c>
      <c r="J1256" s="10">
        <f t="shared" si="19"/>
        <v>9</v>
      </c>
    </row>
    <row r="1257" spans="1:10" x14ac:dyDescent="0.2">
      <c r="A1257" s="6">
        <v>43358</v>
      </c>
      <c r="B1257">
        <v>2008</v>
      </c>
      <c r="C1257">
        <v>1878</v>
      </c>
      <c r="D1257">
        <v>1256</v>
      </c>
      <c r="E1257">
        <v>10000</v>
      </c>
      <c r="F1257" t="s">
        <v>25</v>
      </c>
      <c r="G1257">
        <v>3</v>
      </c>
      <c r="H1257" t="s">
        <v>68</v>
      </c>
      <c r="I1257">
        <v>11</v>
      </c>
      <c r="J1257" s="10">
        <f t="shared" si="19"/>
        <v>3</v>
      </c>
    </row>
    <row r="1258" spans="1:10" x14ac:dyDescent="0.2">
      <c r="A1258" s="6">
        <v>43627</v>
      </c>
      <c r="B1258">
        <v>2010</v>
      </c>
      <c r="C1258">
        <v>1970</v>
      </c>
      <c r="D1258">
        <v>1257</v>
      </c>
      <c r="E1258">
        <v>8500</v>
      </c>
      <c r="F1258" t="s">
        <v>25</v>
      </c>
      <c r="G1258">
        <v>4</v>
      </c>
      <c r="H1258" t="s">
        <v>68</v>
      </c>
      <c r="I1258">
        <v>9</v>
      </c>
      <c r="J1258" s="10">
        <f t="shared" si="19"/>
        <v>4</v>
      </c>
    </row>
    <row r="1259" spans="1:10" x14ac:dyDescent="0.2">
      <c r="A1259" s="6">
        <v>43417</v>
      </c>
      <c r="B1259">
        <v>2010</v>
      </c>
      <c r="C1259">
        <v>1970</v>
      </c>
      <c r="D1259">
        <v>1258</v>
      </c>
      <c r="E1259">
        <v>8000</v>
      </c>
      <c r="F1259" t="s">
        <v>25</v>
      </c>
      <c r="G1259">
        <v>7</v>
      </c>
      <c r="H1259" t="s">
        <v>68</v>
      </c>
      <c r="I1259">
        <v>9</v>
      </c>
      <c r="J1259" s="10">
        <f t="shared" si="19"/>
        <v>7</v>
      </c>
    </row>
    <row r="1260" spans="1:10" x14ac:dyDescent="0.2">
      <c r="A1260" s="6">
        <v>43398</v>
      </c>
      <c r="B1260">
        <v>2010</v>
      </c>
      <c r="C1260">
        <v>1970</v>
      </c>
      <c r="D1260">
        <v>1259</v>
      </c>
      <c r="E1260">
        <v>8000</v>
      </c>
      <c r="F1260" t="s">
        <v>25</v>
      </c>
      <c r="G1260">
        <v>30</v>
      </c>
      <c r="H1260" t="s">
        <v>26</v>
      </c>
      <c r="I1260">
        <v>9</v>
      </c>
      <c r="J1260" s="10">
        <f t="shared" si="19"/>
        <v>1</v>
      </c>
    </row>
    <row r="1261" spans="1:10" x14ac:dyDescent="0.2">
      <c r="A1261" s="6">
        <v>43206</v>
      </c>
      <c r="B1261">
        <v>2010</v>
      </c>
      <c r="C1261">
        <v>1970</v>
      </c>
      <c r="D1261">
        <v>1260</v>
      </c>
      <c r="E1261">
        <v>10800</v>
      </c>
      <c r="F1261" t="s">
        <v>25</v>
      </c>
      <c r="G1261">
        <v>6</v>
      </c>
      <c r="H1261" t="s">
        <v>68</v>
      </c>
      <c r="I1261">
        <v>9</v>
      </c>
      <c r="J1261" s="10">
        <f t="shared" si="19"/>
        <v>6</v>
      </c>
    </row>
    <row r="1262" spans="1:10" x14ac:dyDescent="0.2">
      <c r="A1262" s="6">
        <v>43152</v>
      </c>
      <c r="B1262">
        <v>2010</v>
      </c>
      <c r="C1262">
        <v>1970</v>
      </c>
      <c r="D1262">
        <v>1261</v>
      </c>
      <c r="E1262">
        <v>8600</v>
      </c>
      <c r="F1262" t="s">
        <v>25</v>
      </c>
      <c r="G1262">
        <v>4</v>
      </c>
      <c r="H1262" t="s">
        <v>68</v>
      </c>
      <c r="I1262">
        <v>9</v>
      </c>
      <c r="J1262" s="10">
        <f t="shared" si="19"/>
        <v>4</v>
      </c>
    </row>
    <row r="1263" spans="1:10" x14ac:dyDescent="0.2">
      <c r="A1263" s="6">
        <v>43059</v>
      </c>
      <c r="B1263">
        <v>2010</v>
      </c>
      <c r="C1263">
        <v>1970</v>
      </c>
      <c r="D1263">
        <v>1262</v>
      </c>
      <c r="E1263">
        <v>8300</v>
      </c>
      <c r="F1263" t="s">
        <v>25</v>
      </c>
      <c r="G1263">
        <v>4</v>
      </c>
      <c r="H1263" t="s">
        <v>68</v>
      </c>
      <c r="I1263">
        <v>9</v>
      </c>
      <c r="J1263" s="10">
        <f t="shared" si="19"/>
        <v>4</v>
      </c>
    </row>
    <row r="1264" spans="1:10" x14ac:dyDescent="0.2">
      <c r="A1264" s="6">
        <v>42996</v>
      </c>
      <c r="B1264">
        <v>2010</v>
      </c>
      <c r="C1264">
        <v>1970</v>
      </c>
      <c r="D1264">
        <v>1263</v>
      </c>
      <c r="E1264">
        <v>8100</v>
      </c>
      <c r="F1264" t="s">
        <v>25</v>
      </c>
      <c r="G1264">
        <v>12</v>
      </c>
      <c r="H1264" t="s">
        <v>68</v>
      </c>
      <c r="I1264">
        <v>9</v>
      </c>
      <c r="J1264" s="10">
        <f t="shared" si="19"/>
        <v>12</v>
      </c>
    </row>
    <row r="1265" spans="1:10" x14ac:dyDescent="0.2">
      <c r="A1265" s="6">
        <v>42817</v>
      </c>
      <c r="B1265">
        <v>2010</v>
      </c>
      <c r="C1265">
        <v>1970</v>
      </c>
      <c r="D1265">
        <v>1264</v>
      </c>
      <c r="E1265">
        <v>7100</v>
      </c>
      <c r="F1265" t="s">
        <v>25</v>
      </c>
      <c r="G1265">
        <v>9</v>
      </c>
      <c r="H1265" t="s">
        <v>68</v>
      </c>
      <c r="I1265">
        <v>9</v>
      </c>
      <c r="J1265" s="10">
        <f t="shared" si="19"/>
        <v>9</v>
      </c>
    </row>
    <row r="1266" spans="1:10" x14ac:dyDescent="0.2">
      <c r="A1266" s="6">
        <v>42741</v>
      </c>
      <c r="B1266">
        <v>2010</v>
      </c>
      <c r="C1266">
        <v>1970</v>
      </c>
      <c r="D1266">
        <v>1265</v>
      </c>
      <c r="E1266">
        <v>7000</v>
      </c>
      <c r="F1266" t="s">
        <v>25</v>
      </c>
      <c r="G1266">
        <v>60</v>
      </c>
      <c r="H1266" t="s">
        <v>26</v>
      </c>
      <c r="I1266">
        <v>9</v>
      </c>
      <c r="J1266" s="10">
        <f t="shared" si="19"/>
        <v>2</v>
      </c>
    </row>
    <row r="1267" spans="1:10" x14ac:dyDescent="0.2">
      <c r="A1267" s="6">
        <v>42688</v>
      </c>
      <c r="B1267">
        <v>2010</v>
      </c>
      <c r="C1267">
        <v>1970</v>
      </c>
      <c r="D1267">
        <v>1266</v>
      </c>
      <c r="E1267">
        <v>6150</v>
      </c>
      <c r="F1267" t="s">
        <v>25</v>
      </c>
      <c r="G1267">
        <v>60</v>
      </c>
      <c r="H1267" t="s">
        <v>26</v>
      </c>
      <c r="I1267">
        <v>9</v>
      </c>
      <c r="J1267" s="10">
        <f t="shared" si="19"/>
        <v>2</v>
      </c>
    </row>
    <row r="1268" spans="1:10" x14ac:dyDescent="0.2">
      <c r="A1268" s="6">
        <v>42394</v>
      </c>
      <c r="B1268">
        <v>2010</v>
      </c>
      <c r="C1268">
        <v>1970</v>
      </c>
      <c r="D1268">
        <v>1267</v>
      </c>
      <c r="E1268">
        <v>7250</v>
      </c>
      <c r="F1268" t="s">
        <v>25</v>
      </c>
      <c r="G1268">
        <v>2</v>
      </c>
      <c r="H1268" t="s">
        <v>68</v>
      </c>
      <c r="I1268">
        <v>9</v>
      </c>
      <c r="J1268" s="10">
        <f t="shared" si="19"/>
        <v>2</v>
      </c>
    </row>
    <row r="1269" spans="1:10" x14ac:dyDescent="0.2">
      <c r="A1269" s="6">
        <v>42387</v>
      </c>
      <c r="B1269">
        <v>2010</v>
      </c>
      <c r="C1269">
        <v>1970</v>
      </c>
      <c r="D1269">
        <v>1268</v>
      </c>
      <c r="E1269">
        <v>6800</v>
      </c>
      <c r="F1269" t="s">
        <v>25</v>
      </c>
      <c r="G1269">
        <v>7</v>
      </c>
      <c r="H1269" t="s">
        <v>68</v>
      </c>
      <c r="I1269">
        <v>9</v>
      </c>
      <c r="J1269" s="10">
        <f t="shared" si="19"/>
        <v>7</v>
      </c>
    </row>
    <row r="1270" spans="1:10" x14ac:dyDescent="0.2">
      <c r="A1270" s="6">
        <v>43469</v>
      </c>
      <c r="B1270">
        <v>2008</v>
      </c>
      <c r="C1270">
        <v>2007</v>
      </c>
      <c r="D1270">
        <v>1269</v>
      </c>
      <c r="E1270">
        <v>5800</v>
      </c>
      <c r="F1270" t="s">
        <v>25</v>
      </c>
      <c r="G1270">
        <v>6</v>
      </c>
      <c r="H1270" t="s">
        <v>68</v>
      </c>
      <c r="I1270">
        <v>11</v>
      </c>
      <c r="J1270" s="10">
        <f t="shared" si="19"/>
        <v>6</v>
      </c>
    </row>
    <row r="1271" spans="1:10" x14ac:dyDescent="0.2">
      <c r="A1271" s="6">
        <v>43397</v>
      </c>
      <c r="B1271">
        <v>2008</v>
      </c>
      <c r="C1271">
        <v>2007</v>
      </c>
      <c r="D1271">
        <v>1270</v>
      </c>
      <c r="E1271">
        <v>9500</v>
      </c>
      <c r="F1271" t="s">
        <v>25</v>
      </c>
      <c r="G1271">
        <v>42</v>
      </c>
      <c r="H1271" t="s">
        <v>26</v>
      </c>
      <c r="I1271">
        <v>11</v>
      </c>
      <c r="J1271" s="10">
        <f t="shared" si="19"/>
        <v>1</v>
      </c>
    </row>
    <row r="1272" spans="1:10" x14ac:dyDescent="0.2">
      <c r="A1272" s="6">
        <v>43154</v>
      </c>
      <c r="B1272">
        <v>2008</v>
      </c>
      <c r="C1272">
        <v>2007</v>
      </c>
      <c r="D1272">
        <v>1271</v>
      </c>
      <c r="E1272">
        <v>9500</v>
      </c>
      <c r="F1272" t="s">
        <v>25</v>
      </c>
      <c r="G1272">
        <v>6</v>
      </c>
      <c r="H1272" t="s">
        <v>68</v>
      </c>
      <c r="I1272">
        <v>11</v>
      </c>
      <c r="J1272" s="10">
        <f t="shared" si="19"/>
        <v>6</v>
      </c>
    </row>
    <row r="1273" spans="1:10" x14ac:dyDescent="0.2">
      <c r="A1273" s="6">
        <v>43132</v>
      </c>
      <c r="B1273">
        <v>2008</v>
      </c>
      <c r="C1273">
        <v>2007</v>
      </c>
      <c r="D1273">
        <v>1272</v>
      </c>
      <c r="E1273">
        <v>8350</v>
      </c>
      <c r="F1273" t="s">
        <v>25</v>
      </c>
      <c r="G1273">
        <v>8</v>
      </c>
      <c r="H1273" t="s">
        <v>68</v>
      </c>
      <c r="I1273">
        <v>11</v>
      </c>
      <c r="J1273" s="10">
        <f t="shared" si="19"/>
        <v>8</v>
      </c>
    </row>
    <row r="1274" spans="1:10" x14ac:dyDescent="0.2">
      <c r="A1274" s="6">
        <v>43074</v>
      </c>
      <c r="B1274">
        <v>2008</v>
      </c>
      <c r="C1274">
        <v>2007</v>
      </c>
      <c r="D1274">
        <v>1273</v>
      </c>
      <c r="E1274">
        <v>8500</v>
      </c>
      <c r="F1274" t="s">
        <v>25</v>
      </c>
      <c r="G1274">
        <v>35</v>
      </c>
      <c r="H1274" t="s">
        <v>26</v>
      </c>
      <c r="I1274">
        <v>11</v>
      </c>
      <c r="J1274" s="10">
        <f t="shared" si="19"/>
        <v>1</v>
      </c>
    </row>
    <row r="1275" spans="1:10" x14ac:dyDescent="0.2">
      <c r="A1275" s="6">
        <v>43061</v>
      </c>
      <c r="B1275">
        <v>2008</v>
      </c>
      <c r="C1275">
        <v>2007</v>
      </c>
      <c r="D1275">
        <v>1274</v>
      </c>
      <c r="E1275">
        <v>8500</v>
      </c>
      <c r="F1275" t="s">
        <v>25</v>
      </c>
      <c r="G1275">
        <v>40</v>
      </c>
      <c r="H1275" t="s">
        <v>26</v>
      </c>
      <c r="I1275">
        <v>11</v>
      </c>
      <c r="J1275" s="10">
        <f t="shared" si="19"/>
        <v>1</v>
      </c>
    </row>
    <row r="1276" spans="1:10" x14ac:dyDescent="0.2">
      <c r="A1276" s="6">
        <v>43007</v>
      </c>
      <c r="B1276">
        <v>2008</v>
      </c>
      <c r="C1276">
        <v>2007</v>
      </c>
      <c r="D1276">
        <v>1275</v>
      </c>
      <c r="E1276">
        <v>8300</v>
      </c>
      <c r="F1276" t="s">
        <v>25</v>
      </c>
      <c r="G1276">
        <v>42</v>
      </c>
      <c r="H1276" t="s">
        <v>26</v>
      </c>
      <c r="I1276">
        <v>11</v>
      </c>
      <c r="J1276" s="10">
        <f t="shared" si="19"/>
        <v>1</v>
      </c>
    </row>
    <row r="1277" spans="1:10" x14ac:dyDescent="0.2">
      <c r="A1277" s="6">
        <v>42993</v>
      </c>
      <c r="B1277">
        <v>2007</v>
      </c>
      <c r="C1277">
        <v>2007</v>
      </c>
      <c r="D1277">
        <v>1276</v>
      </c>
      <c r="E1277">
        <v>7750</v>
      </c>
      <c r="F1277" t="s">
        <v>25</v>
      </c>
      <c r="G1277">
        <v>12</v>
      </c>
      <c r="H1277" t="s">
        <v>68</v>
      </c>
      <c r="I1277">
        <v>12</v>
      </c>
      <c r="J1277" s="10">
        <f t="shared" si="19"/>
        <v>12</v>
      </c>
    </row>
    <row r="1278" spans="1:10" x14ac:dyDescent="0.2">
      <c r="A1278" s="6">
        <v>42948</v>
      </c>
      <c r="B1278">
        <v>2007</v>
      </c>
      <c r="C1278">
        <v>2007</v>
      </c>
      <c r="D1278">
        <v>1277</v>
      </c>
      <c r="E1278">
        <v>7500</v>
      </c>
      <c r="F1278" t="s">
        <v>25</v>
      </c>
      <c r="G1278">
        <v>30</v>
      </c>
      <c r="H1278" t="s">
        <v>26</v>
      </c>
      <c r="I1278">
        <v>12</v>
      </c>
      <c r="J1278" s="10">
        <f t="shared" si="19"/>
        <v>1</v>
      </c>
    </row>
    <row r="1279" spans="1:10" x14ac:dyDescent="0.2">
      <c r="A1279" s="6">
        <v>42859</v>
      </c>
      <c r="B1279">
        <v>2007</v>
      </c>
      <c r="C1279">
        <v>2007</v>
      </c>
      <c r="D1279">
        <v>1278</v>
      </c>
      <c r="E1279">
        <v>7925</v>
      </c>
      <c r="F1279" t="s">
        <v>25</v>
      </c>
      <c r="G1279">
        <v>7</v>
      </c>
      <c r="H1279" t="s">
        <v>68</v>
      </c>
      <c r="I1279">
        <v>12</v>
      </c>
      <c r="J1279" s="10">
        <f t="shared" si="19"/>
        <v>7</v>
      </c>
    </row>
    <row r="1280" spans="1:10" x14ac:dyDescent="0.2">
      <c r="A1280" s="6">
        <v>42794</v>
      </c>
      <c r="B1280">
        <v>2008</v>
      </c>
      <c r="C1280">
        <v>2007</v>
      </c>
      <c r="D1280">
        <v>1279</v>
      </c>
      <c r="E1280">
        <v>5850</v>
      </c>
      <c r="F1280" t="s">
        <v>25</v>
      </c>
      <c r="G1280">
        <v>90</v>
      </c>
      <c r="H1280" t="s">
        <v>26</v>
      </c>
      <c r="I1280">
        <v>11</v>
      </c>
      <c r="J1280" s="10">
        <f t="shared" si="19"/>
        <v>3</v>
      </c>
    </row>
    <row r="1281" spans="1:10" x14ac:dyDescent="0.2">
      <c r="A1281" s="6">
        <v>42775</v>
      </c>
      <c r="B1281">
        <v>2008</v>
      </c>
      <c r="C1281">
        <v>2007</v>
      </c>
      <c r="D1281">
        <v>1280</v>
      </c>
      <c r="E1281">
        <v>5500</v>
      </c>
      <c r="F1281" t="s">
        <v>25</v>
      </c>
      <c r="G1281">
        <v>9</v>
      </c>
      <c r="H1281" t="s">
        <v>68</v>
      </c>
      <c r="I1281">
        <v>11</v>
      </c>
      <c r="J1281" s="10">
        <f t="shared" si="19"/>
        <v>9</v>
      </c>
    </row>
    <row r="1282" spans="1:10" x14ac:dyDescent="0.2">
      <c r="A1282" s="6">
        <v>42692</v>
      </c>
      <c r="B1282">
        <v>2008</v>
      </c>
      <c r="C1282">
        <v>2007</v>
      </c>
      <c r="D1282">
        <v>1281</v>
      </c>
      <c r="E1282">
        <v>5500</v>
      </c>
      <c r="F1282" t="s">
        <v>25</v>
      </c>
      <c r="G1282">
        <v>30</v>
      </c>
      <c r="H1282" t="s">
        <v>26</v>
      </c>
      <c r="I1282">
        <v>11</v>
      </c>
      <c r="J1282" s="10">
        <f t="shared" ref="J1282:J1345" si="20">IF(H1282="days",ROUND(G1282/30,0),IF(H1282="years",G1282*12,G1282))</f>
        <v>1</v>
      </c>
    </row>
    <row r="1283" spans="1:10" x14ac:dyDescent="0.2">
      <c r="A1283" s="6">
        <v>42675</v>
      </c>
      <c r="B1283">
        <v>2008</v>
      </c>
      <c r="C1283">
        <v>2007</v>
      </c>
      <c r="D1283">
        <v>1282</v>
      </c>
      <c r="E1283">
        <v>5500</v>
      </c>
      <c r="F1283" t="s">
        <v>25</v>
      </c>
      <c r="G1283">
        <v>30</v>
      </c>
      <c r="H1283" t="s">
        <v>26</v>
      </c>
      <c r="I1283">
        <v>11</v>
      </c>
      <c r="J1283" s="10">
        <f t="shared" si="20"/>
        <v>1</v>
      </c>
    </row>
    <row r="1284" spans="1:10" x14ac:dyDescent="0.2">
      <c r="A1284" s="6">
        <v>42639</v>
      </c>
      <c r="B1284">
        <v>2008</v>
      </c>
      <c r="C1284">
        <v>2007</v>
      </c>
      <c r="D1284">
        <v>1283</v>
      </c>
      <c r="E1284">
        <v>6150</v>
      </c>
      <c r="F1284" t="s">
        <v>25</v>
      </c>
      <c r="G1284">
        <v>6</v>
      </c>
      <c r="H1284" t="s">
        <v>68</v>
      </c>
      <c r="I1284">
        <v>11</v>
      </c>
      <c r="J1284" s="10">
        <f t="shared" si="20"/>
        <v>6</v>
      </c>
    </row>
    <row r="1285" spans="1:10" x14ac:dyDescent="0.2">
      <c r="A1285" s="6">
        <v>42515</v>
      </c>
      <c r="B1285">
        <v>2008</v>
      </c>
      <c r="C1285">
        <v>2007</v>
      </c>
      <c r="D1285">
        <v>1284</v>
      </c>
      <c r="E1285">
        <v>6000</v>
      </c>
      <c r="F1285" t="s">
        <v>25</v>
      </c>
      <c r="G1285">
        <v>4</v>
      </c>
      <c r="H1285" t="s">
        <v>68</v>
      </c>
      <c r="I1285">
        <v>11</v>
      </c>
      <c r="J1285" s="10">
        <f t="shared" si="20"/>
        <v>4</v>
      </c>
    </row>
    <row r="1286" spans="1:10" x14ac:dyDescent="0.2">
      <c r="A1286" s="6">
        <v>42436</v>
      </c>
      <c r="B1286">
        <v>2008</v>
      </c>
      <c r="C1286">
        <v>2007</v>
      </c>
      <c r="D1286">
        <v>1285</v>
      </c>
      <c r="E1286">
        <v>6500</v>
      </c>
      <c r="F1286" t="s">
        <v>25</v>
      </c>
      <c r="G1286">
        <v>7</v>
      </c>
      <c r="H1286" t="s">
        <v>68</v>
      </c>
      <c r="I1286">
        <v>11</v>
      </c>
      <c r="J1286" s="10">
        <f t="shared" si="20"/>
        <v>7</v>
      </c>
    </row>
    <row r="1287" spans="1:10" x14ac:dyDescent="0.2">
      <c r="A1287" s="6">
        <v>42396</v>
      </c>
      <c r="B1287">
        <v>2006</v>
      </c>
      <c r="C1287">
        <v>2007</v>
      </c>
      <c r="D1287">
        <v>1286</v>
      </c>
      <c r="E1287">
        <v>6000</v>
      </c>
      <c r="F1287" t="s">
        <v>25</v>
      </c>
      <c r="G1287">
        <v>6</v>
      </c>
      <c r="H1287" t="s">
        <v>68</v>
      </c>
      <c r="I1287">
        <v>13</v>
      </c>
      <c r="J1287" s="10">
        <f t="shared" si="20"/>
        <v>6</v>
      </c>
    </row>
    <row r="1288" spans="1:10" x14ac:dyDescent="0.2">
      <c r="A1288" s="6">
        <v>42394</v>
      </c>
      <c r="B1288">
        <v>2008</v>
      </c>
      <c r="C1288">
        <v>2007</v>
      </c>
      <c r="D1288">
        <v>1287</v>
      </c>
      <c r="E1288">
        <v>5800</v>
      </c>
      <c r="F1288" t="s">
        <v>25</v>
      </c>
      <c r="G1288">
        <v>10</v>
      </c>
      <c r="H1288" t="s">
        <v>68</v>
      </c>
      <c r="I1288">
        <v>11</v>
      </c>
      <c r="J1288" s="10">
        <f t="shared" si="20"/>
        <v>10</v>
      </c>
    </row>
    <row r="1289" spans="1:10" x14ac:dyDescent="0.2">
      <c r="A1289" s="6">
        <v>43606</v>
      </c>
      <c r="B1289">
        <v>2007</v>
      </c>
      <c r="C1289">
        <v>2122</v>
      </c>
      <c r="D1289">
        <v>1288</v>
      </c>
      <c r="E1289">
        <v>9800</v>
      </c>
      <c r="F1289" t="s">
        <v>25</v>
      </c>
      <c r="G1289">
        <v>4</v>
      </c>
      <c r="H1289" t="s">
        <v>68</v>
      </c>
      <c r="I1289">
        <v>12</v>
      </c>
      <c r="J1289" s="10">
        <f t="shared" si="20"/>
        <v>4</v>
      </c>
    </row>
    <row r="1290" spans="1:10" x14ac:dyDescent="0.2">
      <c r="A1290" s="6">
        <v>43486</v>
      </c>
      <c r="B1290">
        <v>2008</v>
      </c>
      <c r="C1290">
        <v>2122</v>
      </c>
      <c r="D1290">
        <v>1289</v>
      </c>
      <c r="E1290">
        <v>10000</v>
      </c>
      <c r="F1290" t="s">
        <v>25</v>
      </c>
      <c r="G1290">
        <v>6</v>
      </c>
      <c r="H1290" t="s">
        <v>68</v>
      </c>
      <c r="I1290">
        <v>11</v>
      </c>
      <c r="J1290" s="10">
        <f t="shared" si="20"/>
        <v>6</v>
      </c>
    </row>
    <row r="1291" spans="1:10" x14ac:dyDescent="0.2">
      <c r="A1291" s="6">
        <v>43451</v>
      </c>
      <c r="B1291">
        <v>2007</v>
      </c>
      <c r="C1291">
        <v>2122</v>
      </c>
      <c r="D1291">
        <v>1290</v>
      </c>
      <c r="E1291">
        <v>10000</v>
      </c>
      <c r="F1291" t="s">
        <v>25</v>
      </c>
      <c r="G1291">
        <v>6</v>
      </c>
      <c r="H1291" t="s">
        <v>68</v>
      </c>
      <c r="I1291">
        <v>12</v>
      </c>
      <c r="J1291" s="10">
        <f t="shared" si="20"/>
        <v>6</v>
      </c>
    </row>
    <row r="1292" spans="1:10" x14ac:dyDescent="0.2">
      <c r="A1292" s="6">
        <v>43391</v>
      </c>
      <c r="B1292">
        <v>2007</v>
      </c>
      <c r="C1292">
        <v>2122</v>
      </c>
      <c r="D1292">
        <v>1291</v>
      </c>
      <c r="E1292">
        <v>9950</v>
      </c>
      <c r="F1292" t="s">
        <v>25</v>
      </c>
      <c r="G1292">
        <v>45</v>
      </c>
      <c r="H1292" t="s">
        <v>26</v>
      </c>
      <c r="I1292">
        <v>12</v>
      </c>
      <c r="J1292" s="10">
        <f t="shared" si="20"/>
        <v>2</v>
      </c>
    </row>
    <row r="1293" spans="1:10" x14ac:dyDescent="0.2">
      <c r="A1293" s="6">
        <v>43282</v>
      </c>
      <c r="B1293">
        <v>2008</v>
      </c>
      <c r="C1293">
        <v>2122</v>
      </c>
      <c r="D1293">
        <v>1292</v>
      </c>
      <c r="E1293">
        <v>12250</v>
      </c>
      <c r="F1293" t="s">
        <v>25</v>
      </c>
      <c r="G1293">
        <v>9</v>
      </c>
      <c r="H1293" t="s">
        <v>68</v>
      </c>
      <c r="I1293">
        <v>11</v>
      </c>
      <c r="J1293" s="10">
        <f t="shared" si="20"/>
        <v>9</v>
      </c>
    </row>
    <row r="1294" spans="1:10" x14ac:dyDescent="0.2">
      <c r="A1294" s="6">
        <v>43217</v>
      </c>
      <c r="B1294">
        <v>2007</v>
      </c>
      <c r="C1294">
        <v>2122</v>
      </c>
      <c r="D1294">
        <v>1293</v>
      </c>
      <c r="E1294">
        <v>10900</v>
      </c>
      <c r="F1294" t="s">
        <v>25</v>
      </c>
      <c r="G1294">
        <v>6</v>
      </c>
      <c r="H1294" t="s">
        <v>68</v>
      </c>
      <c r="I1294">
        <v>12</v>
      </c>
      <c r="J1294" s="10">
        <f t="shared" si="20"/>
        <v>6</v>
      </c>
    </row>
    <row r="1295" spans="1:10" x14ac:dyDescent="0.2">
      <c r="A1295" s="6">
        <v>43143</v>
      </c>
      <c r="B1295">
        <v>2008</v>
      </c>
      <c r="C1295">
        <v>2122</v>
      </c>
      <c r="D1295">
        <v>1294</v>
      </c>
      <c r="E1295">
        <v>11250</v>
      </c>
      <c r="F1295" t="s">
        <v>25</v>
      </c>
      <c r="G1295">
        <v>5</v>
      </c>
      <c r="H1295" t="s">
        <v>68</v>
      </c>
      <c r="I1295">
        <v>11</v>
      </c>
      <c r="J1295" s="10">
        <f t="shared" si="20"/>
        <v>5</v>
      </c>
    </row>
    <row r="1296" spans="1:10" x14ac:dyDescent="0.2">
      <c r="A1296" s="6">
        <v>43005</v>
      </c>
      <c r="B1296">
        <v>2007</v>
      </c>
      <c r="C1296">
        <v>2122</v>
      </c>
      <c r="D1296">
        <v>1295</v>
      </c>
      <c r="E1296">
        <v>8000</v>
      </c>
      <c r="F1296" t="s">
        <v>25</v>
      </c>
      <c r="G1296">
        <v>6</v>
      </c>
      <c r="H1296" t="s">
        <v>68</v>
      </c>
      <c r="I1296">
        <v>12</v>
      </c>
      <c r="J1296" s="10">
        <f t="shared" si="20"/>
        <v>6</v>
      </c>
    </row>
    <row r="1297" spans="1:10" x14ac:dyDescent="0.2">
      <c r="A1297" s="6">
        <v>42978</v>
      </c>
      <c r="B1297">
        <v>2008</v>
      </c>
      <c r="C1297">
        <v>2122</v>
      </c>
      <c r="D1297">
        <v>1296</v>
      </c>
      <c r="E1297">
        <v>8300</v>
      </c>
      <c r="F1297" t="s">
        <v>25</v>
      </c>
      <c r="G1297">
        <v>7</v>
      </c>
      <c r="H1297" t="s">
        <v>68</v>
      </c>
      <c r="I1297">
        <v>11</v>
      </c>
      <c r="J1297" s="10">
        <f t="shared" si="20"/>
        <v>7</v>
      </c>
    </row>
    <row r="1298" spans="1:10" x14ac:dyDescent="0.2">
      <c r="A1298" s="6">
        <v>42887</v>
      </c>
      <c r="B1298">
        <v>2007</v>
      </c>
      <c r="C1298">
        <v>2122</v>
      </c>
      <c r="D1298">
        <v>1297</v>
      </c>
      <c r="E1298">
        <v>7600</v>
      </c>
      <c r="F1298" t="s">
        <v>25</v>
      </c>
      <c r="G1298">
        <v>24</v>
      </c>
      <c r="H1298" t="s">
        <v>68</v>
      </c>
      <c r="I1298">
        <v>12</v>
      </c>
      <c r="J1298" s="10">
        <f t="shared" si="20"/>
        <v>24</v>
      </c>
    </row>
    <row r="1299" spans="1:10" x14ac:dyDescent="0.2">
      <c r="A1299" s="6">
        <v>42802</v>
      </c>
      <c r="B1299">
        <v>2007</v>
      </c>
      <c r="C1299">
        <v>2122</v>
      </c>
      <c r="D1299">
        <v>1298</v>
      </c>
      <c r="E1299">
        <v>6500</v>
      </c>
      <c r="F1299" t="s">
        <v>25</v>
      </c>
      <c r="G1299">
        <v>8</v>
      </c>
      <c r="H1299" t="s">
        <v>68</v>
      </c>
      <c r="I1299">
        <v>12</v>
      </c>
      <c r="J1299" s="10">
        <f t="shared" si="20"/>
        <v>8</v>
      </c>
    </row>
    <row r="1300" spans="1:10" x14ac:dyDescent="0.2">
      <c r="A1300" s="6">
        <v>42781</v>
      </c>
      <c r="B1300">
        <v>2008</v>
      </c>
      <c r="C1300">
        <v>2122</v>
      </c>
      <c r="D1300">
        <v>1299</v>
      </c>
      <c r="E1300">
        <v>6550</v>
      </c>
      <c r="F1300" t="s">
        <v>25</v>
      </c>
      <c r="G1300">
        <v>7</v>
      </c>
      <c r="H1300" t="s">
        <v>68</v>
      </c>
      <c r="I1300">
        <v>11</v>
      </c>
      <c r="J1300" s="10">
        <f t="shared" si="20"/>
        <v>7</v>
      </c>
    </row>
    <row r="1301" spans="1:10" x14ac:dyDescent="0.2">
      <c r="A1301" s="6">
        <v>42639</v>
      </c>
      <c r="B1301">
        <v>2008</v>
      </c>
      <c r="C1301">
        <v>2122</v>
      </c>
      <c r="D1301">
        <v>1300</v>
      </c>
      <c r="E1301">
        <v>6700</v>
      </c>
      <c r="F1301" t="s">
        <v>25</v>
      </c>
      <c r="G1301">
        <v>6</v>
      </c>
      <c r="H1301" t="s">
        <v>68</v>
      </c>
      <c r="I1301">
        <v>11</v>
      </c>
      <c r="J1301" s="10">
        <f t="shared" si="20"/>
        <v>6</v>
      </c>
    </row>
    <row r="1302" spans="1:10" x14ac:dyDescent="0.2">
      <c r="A1302" s="6">
        <v>42531</v>
      </c>
      <c r="B1302">
        <v>2007</v>
      </c>
      <c r="C1302">
        <v>2122</v>
      </c>
      <c r="D1302">
        <v>1301</v>
      </c>
      <c r="E1302">
        <v>7650</v>
      </c>
      <c r="F1302" t="s">
        <v>25</v>
      </c>
      <c r="G1302">
        <v>12</v>
      </c>
      <c r="H1302" t="s">
        <v>68</v>
      </c>
      <c r="I1302">
        <v>12</v>
      </c>
      <c r="J1302" s="10">
        <f t="shared" si="20"/>
        <v>12</v>
      </c>
    </row>
    <row r="1303" spans="1:10" x14ac:dyDescent="0.2">
      <c r="A1303" s="6">
        <v>42470</v>
      </c>
      <c r="B1303">
        <v>2007</v>
      </c>
      <c r="C1303">
        <v>2122</v>
      </c>
      <c r="D1303">
        <v>1302</v>
      </c>
      <c r="E1303">
        <v>6600</v>
      </c>
      <c r="F1303" t="s">
        <v>25</v>
      </c>
      <c r="G1303">
        <v>12</v>
      </c>
      <c r="H1303" t="s">
        <v>68</v>
      </c>
      <c r="I1303">
        <v>12</v>
      </c>
      <c r="J1303" s="10">
        <f t="shared" si="20"/>
        <v>12</v>
      </c>
    </row>
    <row r="1304" spans="1:10" x14ac:dyDescent="0.2">
      <c r="A1304" s="6">
        <v>42459</v>
      </c>
      <c r="B1304">
        <v>2007</v>
      </c>
      <c r="C1304">
        <v>2122</v>
      </c>
      <c r="D1304">
        <v>1303</v>
      </c>
      <c r="E1304">
        <v>7100</v>
      </c>
      <c r="F1304" t="s">
        <v>25</v>
      </c>
      <c r="G1304">
        <v>30</v>
      </c>
      <c r="H1304" t="s">
        <v>26</v>
      </c>
      <c r="I1304">
        <v>12</v>
      </c>
      <c r="J1304" s="10">
        <f t="shared" si="20"/>
        <v>1</v>
      </c>
    </row>
    <row r="1305" spans="1:10" x14ac:dyDescent="0.2">
      <c r="A1305" s="6">
        <v>42444</v>
      </c>
      <c r="B1305">
        <v>2007</v>
      </c>
      <c r="C1305">
        <v>2122</v>
      </c>
      <c r="D1305">
        <v>1304</v>
      </c>
      <c r="E1305">
        <v>6800</v>
      </c>
      <c r="F1305" t="s">
        <v>25</v>
      </c>
      <c r="G1305">
        <v>30</v>
      </c>
      <c r="H1305" t="s">
        <v>26</v>
      </c>
      <c r="I1305">
        <v>12</v>
      </c>
      <c r="J1305" s="10">
        <f t="shared" si="20"/>
        <v>1</v>
      </c>
    </row>
    <row r="1306" spans="1:10" x14ac:dyDescent="0.2">
      <c r="A1306" s="6">
        <v>42423</v>
      </c>
      <c r="B1306">
        <v>2007</v>
      </c>
      <c r="C1306">
        <v>2122</v>
      </c>
      <c r="D1306">
        <v>1305</v>
      </c>
      <c r="E1306">
        <v>6500</v>
      </c>
      <c r="F1306" t="s">
        <v>25</v>
      </c>
      <c r="G1306">
        <v>7</v>
      </c>
      <c r="H1306" t="s">
        <v>68</v>
      </c>
      <c r="I1306">
        <v>12</v>
      </c>
      <c r="J1306" s="10">
        <f t="shared" si="20"/>
        <v>7</v>
      </c>
    </row>
    <row r="1307" spans="1:10" x14ac:dyDescent="0.2">
      <c r="A1307" s="6">
        <v>42395</v>
      </c>
      <c r="B1307">
        <v>2007</v>
      </c>
      <c r="C1307">
        <v>2122</v>
      </c>
      <c r="D1307">
        <v>1306</v>
      </c>
      <c r="E1307">
        <v>6400</v>
      </c>
      <c r="F1307" t="s">
        <v>25</v>
      </c>
      <c r="G1307">
        <v>6</v>
      </c>
      <c r="H1307" t="s">
        <v>68</v>
      </c>
      <c r="I1307">
        <v>12</v>
      </c>
      <c r="J1307" s="10">
        <f t="shared" si="20"/>
        <v>6</v>
      </c>
    </row>
    <row r="1308" spans="1:10" x14ac:dyDescent="0.2">
      <c r="A1308" s="6">
        <v>42387</v>
      </c>
      <c r="B1308">
        <v>2007</v>
      </c>
      <c r="C1308">
        <v>2122</v>
      </c>
      <c r="D1308">
        <v>1307</v>
      </c>
      <c r="E1308">
        <v>6000</v>
      </c>
      <c r="F1308" t="s">
        <v>25</v>
      </c>
      <c r="G1308">
        <v>5</v>
      </c>
      <c r="H1308" t="s">
        <v>68</v>
      </c>
      <c r="I1308">
        <v>12</v>
      </c>
      <c r="J1308" s="10">
        <f t="shared" si="20"/>
        <v>5</v>
      </c>
    </row>
    <row r="1309" spans="1:10" x14ac:dyDescent="0.2">
      <c r="A1309" s="6">
        <v>42627</v>
      </c>
      <c r="B1309">
        <v>2007</v>
      </c>
      <c r="C1309">
        <v>2401</v>
      </c>
      <c r="D1309">
        <v>1308</v>
      </c>
      <c r="E1309">
        <v>6000</v>
      </c>
      <c r="F1309" t="s">
        <v>25</v>
      </c>
      <c r="G1309">
        <v>6</v>
      </c>
      <c r="H1309" t="s">
        <v>68</v>
      </c>
      <c r="I1309">
        <v>12</v>
      </c>
      <c r="J1309" s="10">
        <f t="shared" si="20"/>
        <v>6</v>
      </c>
    </row>
    <row r="1310" spans="1:10" x14ac:dyDescent="0.2">
      <c r="A1310" s="6">
        <v>43416</v>
      </c>
      <c r="B1310">
        <v>2007</v>
      </c>
      <c r="C1310">
        <v>2450</v>
      </c>
      <c r="D1310">
        <v>1309</v>
      </c>
      <c r="E1310">
        <v>9600</v>
      </c>
      <c r="F1310" t="s">
        <v>25</v>
      </c>
      <c r="G1310">
        <v>7</v>
      </c>
      <c r="H1310" t="s">
        <v>68</v>
      </c>
      <c r="I1310">
        <v>12</v>
      </c>
      <c r="J1310" s="10">
        <f t="shared" si="20"/>
        <v>7</v>
      </c>
    </row>
    <row r="1311" spans="1:10" x14ac:dyDescent="0.2">
      <c r="A1311" s="6">
        <v>43396</v>
      </c>
      <c r="B1311">
        <v>2006</v>
      </c>
      <c r="C1311">
        <v>2450</v>
      </c>
      <c r="D1311">
        <v>1310</v>
      </c>
      <c r="E1311">
        <v>10000</v>
      </c>
      <c r="F1311" t="s">
        <v>25</v>
      </c>
      <c r="G1311">
        <v>6</v>
      </c>
      <c r="H1311" t="s">
        <v>68</v>
      </c>
      <c r="I1311">
        <v>13</v>
      </c>
      <c r="J1311" s="10">
        <f t="shared" si="20"/>
        <v>6</v>
      </c>
    </row>
    <row r="1312" spans="1:10" x14ac:dyDescent="0.2">
      <c r="A1312" s="6">
        <v>43374</v>
      </c>
      <c r="B1312">
        <v>2007</v>
      </c>
      <c r="C1312">
        <v>2450</v>
      </c>
      <c r="D1312">
        <v>1311</v>
      </c>
      <c r="E1312">
        <v>9600</v>
      </c>
      <c r="F1312" t="s">
        <v>25</v>
      </c>
      <c r="G1312">
        <v>6</v>
      </c>
      <c r="H1312" t="s">
        <v>68</v>
      </c>
      <c r="I1312">
        <v>12</v>
      </c>
      <c r="J1312" s="10">
        <f t="shared" si="20"/>
        <v>6</v>
      </c>
    </row>
    <row r="1313" spans="1:10" x14ac:dyDescent="0.2">
      <c r="A1313" s="6">
        <v>43256</v>
      </c>
      <c r="B1313">
        <v>2006</v>
      </c>
      <c r="C1313">
        <v>2450</v>
      </c>
      <c r="D1313">
        <v>1312</v>
      </c>
      <c r="E1313">
        <v>12000</v>
      </c>
      <c r="F1313" t="s">
        <v>25</v>
      </c>
      <c r="G1313">
        <v>5</v>
      </c>
      <c r="H1313" t="s">
        <v>68</v>
      </c>
      <c r="I1313">
        <v>13</v>
      </c>
      <c r="J1313" s="10">
        <f t="shared" si="20"/>
        <v>5</v>
      </c>
    </row>
    <row r="1314" spans="1:10" x14ac:dyDescent="0.2">
      <c r="A1314" s="6">
        <v>43061</v>
      </c>
      <c r="B1314">
        <v>2007</v>
      </c>
      <c r="C1314">
        <v>2450</v>
      </c>
      <c r="D1314">
        <v>1313</v>
      </c>
      <c r="E1314">
        <v>8500</v>
      </c>
      <c r="F1314" t="s">
        <v>25</v>
      </c>
      <c r="G1314">
        <v>6</v>
      </c>
      <c r="H1314" t="s">
        <v>68</v>
      </c>
      <c r="I1314">
        <v>12</v>
      </c>
      <c r="J1314" s="10">
        <f t="shared" si="20"/>
        <v>6</v>
      </c>
    </row>
    <row r="1315" spans="1:10" x14ac:dyDescent="0.2">
      <c r="A1315" s="6">
        <v>43054</v>
      </c>
      <c r="B1315">
        <v>2008</v>
      </c>
      <c r="C1315">
        <v>2450</v>
      </c>
      <c r="D1315">
        <v>1314</v>
      </c>
      <c r="E1315">
        <v>8700</v>
      </c>
      <c r="F1315" t="s">
        <v>25</v>
      </c>
      <c r="G1315">
        <v>7</v>
      </c>
      <c r="H1315" t="s">
        <v>68</v>
      </c>
      <c r="I1315">
        <v>11</v>
      </c>
      <c r="J1315" s="10">
        <f t="shared" si="20"/>
        <v>7</v>
      </c>
    </row>
    <row r="1316" spans="1:10" x14ac:dyDescent="0.2">
      <c r="A1316" s="6">
        <v>43054</v>
      </c>
      <c r="B1316">
        <v>2006</v>
      </c>
      <c r="C1316">
        <v>2450</v>
      </c>
      <c r="D1316">
        <v>1315</v>
      </c>
      <c r="E1316">
        <v>9750</v>
      </c>
      <c r="F1316" t="s">
        <v>25</v>
      </c>
      <c r="G1316">
        <v>7</v>
      </c>
      <c r="H1316" t="s">
        <v>68</v>
      </c>
      <c r="I1316">
        <v>13</v>
      </c>
      <c r="J1316" s="10">
        <f t="shared" si="20"/>
        <v>7</v>
      </c>
    </row>
    <row r="1317" spans="1:10" x14ac:dyDescent="0.2">
      <c r="A1317" s="6">
        <v>42948</v>
      </c>
      <c r="B1317">
        <v>2007</v>
      </c>
      <c r="C1317">
        <v>2450</v>
      </c>
      <c r="D1317">
        <v>1316</v>
      </c>
      <c r="E1317">
        <v>8750</v>
      </c>
      <c r="F1317" t="s">
        <v>25</v>
      </c>
      <c r="G1317">
        <v>60</v>
      </c>
      <c r="H1317" t="s">
        <v>26</v>
      </c>
      <c r="I1317">
        <v>12</v>
      </c>
      <c r="J1317" s="10">
        <f t="shared" si="20"/>
        <v>2</v>
      </c>
    </row>
    <row r="1318" spans="1:10" x14ac:dyDescent="0.2">
      <c r="A1318" s="6">
        <v>42843</v>
      </c>
      <c r="B1318">
        <v>2010</v>
      </c>
      <c r="C1318">
        <v>2450</v>
      </c>
      <c r="D1318">
        <v>1317</v>
      </c>
      <c r="E1318">
        <v>9300</v>
      </c>
      <c r="F1318" t="s">
        <v>25</v>
      </c>
      <c r="G1318">
        <v>7</v>
      </c>
      <c r="H1318" t="s">
        <v>68</v>
      </c>
      <c r="I1318">
        <v>9</v>
      </c>
      <c r="J1318" s="10">
        <f t="shared" si="20"/>
        <v>7</v>
      </c>
    </row>
    <row r="1319" spans="1:10" x14ac:dyDescent="0.2">
      <c r="A1319" s="6">
        <v>42750</v>
      </c>
      <c r="B1319">
        <v>2007</v>
      </c>
      <c r="C1319">
        <v>2450</v>
      </c>
      <c r="D1319">
        <v>1318</v>
      </c>
      <c r="E1319">
        <v>5500</v>
      </c>
      <c r="F1319" t="s">
        <v>25</v>
      </c>
      <c r="G1319">
        <v>8</v>
      </c>
      <c r="H1319" t="s">
        <v>68</v>
      </c>
      <c r="I1319">
        <v>12</v>
      </c>
      <c r="J1319" s="10">
        <f t="shared" si="20"/>
        <v>8</v>
      </c>
    </row>
    <row r="1320" spans="1:10" x14ac:dyDescent="0.2">
      <c r="A1320" s="6">
        <v>42689</v>
      </c>
      <c r="B1320">
        <v>2010</v>
      </c>
      <c r="C1320">
        <v>2450</v>
      </c>
      <c r="D1320">
        <v>1319</v>
      </c>
      <c r="E1320">
        <v>5500</v>
      </c>
      <c r="F1320" t="s">
        <v>25</v>
      </c>
      <c r="G1320">
        <v>3</v>
      </c>
      <c r="H1320" t="s">
        <v>68</v>
      </c>
      <c r="I1320">
        <v>9</v>
      </c>
      <c r="J1320" s="10">
        <f t="shared" si="20"/>
        <v>3</v>
      </c>
    </row>
    <row r="1321" spans="1:10" x14ac:dyDescent="0.2">
      <c r="A1321" s="6">
        <v>42688</v>
      </c>
      <c r="B1321">
        <v>2007</v>
      </c>
      <c r="C1321">
        <v>2450</v>
      </c>
      <c r="D1321">
        <v>1320</v>
      </c>
      <c r="E1321">
        <v>5400</v>
      </c>
      <c r="F1321" t="s">
        <v>25</v>
      </c>
      <c r="G1321">
        <v>8</v>
      </c>
      <c r="H1321" t="s">
        <v>68</v>
      </c>
      <c r="I1321">
        <v>12</v>
      </c>
      <c r="J1321" s="10">
        <f t="shared" si="20"/>
        <v>8</v>
      </c>
    </row>
    <row r="1322" spans="1:10" x14ac:dyDescent="0.2">
      <c r="A1322" s="6">
        <v>42644</v>
      </c>
      <c r="B1322">
        <v>2007</v>
      </c>
      <c r="C1322">
        <v>2450</v>
      </c>
      <c r="D1322">
        <v>1321</v>
      </c>
      <c r="E1322">
        <v>5500</v>
      </c>
      <c r="F1322" t="s">
        <v>25</v>
      </c>
      <c r="G1322">
        <v>12</v>
      </c>
      <c r="H1322" t="s">
        <v>68</v>
      </c>
      <c r="I1322">
        <v>12</v>
      </c>
      <c r="J1322" s="10">
        <f t="shared" si="20"/>
        <v>12</v>
      </c>
    </row>
    <row r="1323" spans="1:10" x14ac:dyDescent="0.2">
      <c r="A1323" s="6">
        <v>42604</v>
      </c>
      <c r="B1323">
        <v>2007</v>
      </c>
      <c r="C1323">
        <v>2450</v>
      </c>
      <c r="D1323">
        <v>1322</v>
      </c>
      <c r="E1323">
        <v>6100</v>
      </c>
      <c r="F1323" t="s">
        <v>25</v>
      </c>
      <c r="G1323">
        <v>9</v>
      </c>
      <c r="H1323" t="s">
        <v>68</v>
      </c>
      <c r="I1323">
        <v>12</v>
      </c>
      <c r="J1323" s="10">
        <f t="shared" si="20"/>
        <v>9</v>
      </c>
    </row>
    <row r="1324" spans="1:10" x14ac:dyDescent="0.2">
      <c r="A1324" s="6">
        <v>42479</v>
      </c>
      <c r="B1324">
        <v>2007</v>
      </c>
      <c r="C1324">
        <v>2450</v>
      </c>
      <c r="D1324">
        <v>1323</v>
      </c>
      <c r="E1324">
        <v>6300</v>
      </c>
      <c r="F1324" t="s">
        <v>25</v>
      </c>
      <c r="G1324">
        <v>6</v>
      </c>
      <c r="H1324" t="s">
        <v>68</v>
      </c>
      <c r="I1324">
        <v>12</v>
      </c>
      <c r="J1324" s="10">
        <f t="shared" si="20"/>
        <v>6</v>
      </c>
    </row>
    <row r="1325" spans="1:10" x14ac:dyDescent="0.2">
      <c r="A1325" s="6">
        <v>42440</v>
      </c>
      <c r="B1325">
        <v>2007</v>
      </c>
      <c r="C1325">
        <v>2450</v>
      </c>
      <c r="D1325">
        <v>1324</v>
      </c>
      <c r="E1325">
        <v>7100</v>
      </c>
      <c r="F1325" t="s">
        <v>25</v>
      </c>
      <c r="G1325">
        <v>12</v>
      </c>
      <c r="H1325" t="s">
        <v>68</v>
      </c>
      <c r="I1325">
        <v>12</v>
      </c>
      <c r="J1325" s="10">
        <f t="shared" si="20"/>
        <v>12</v>
      </c>
    </row>
    <row r="1326" spans="1:10" x14ac:dyDescent="0.2">
      <c r="A1326" s="6">
        <v>42423</v>
      </c>
      <c r="B1326">
        <v>2007</v>
      </c>
      <c r="C1326">
        <v>2450</v>
      </c>
      <c r="D1326">
        <v>1325</v>
      </c>
      <c r="E1326">
        <v>6000</v>
      </c>
      <c r="F1326" t="s">
        <v>25</v>
      </c>
      <c r="G1326">
        <v>9</v>
      </c>
      <c r="H1326" t="s">
        <v>68</v>
      </c>
      <c r="I1326">
        <v>12</v>
      </c>
      <c r="J1326" s="10">
        <f t="shared" si="20"/>
        <v>9</v>
      </c>
    </row>
    <row r="1327" spans="1:10" x14ac:dyDescent="0.2">
      <c r="A1327" s="6">
        <v>42914</v>
      </c>
      <c r="B1327">
        <v>2009</v>
      </c>
      <c r="C1327">
        <v>2478</v>
      </c>
      <c r="D1327">
        <v>1326</v>
      </c>
      <c r="E1327">
        <v>7800</v>
      </c>
      <c r="F1327" t="s">
        <v>25</v>
      </c>
      <c r="G1327">
        <v>6</v>
      </c>
      <c r="H1327" t="s">
        <v>68</v>
      </c>
      <c r="I1327">
        <v>10</v>
      </c>
      <c r="J1327" s="10">
        <f t="shared" si="20"/>
        <v>6</v>
      </c>
    </row>
    <row r="1328" spans="1:10" x14ac:dyDescent="0.2">
      <c r="A1328" s="6">
        <v>42893</v>
      </c>
      <c r="B1328">
        <v>2006</v>
      </c>
      <c r="C1328">
        <v>2478</v>
      </c>
      <c r="D1328">
        <v>1327</v>
      </c>
      <c r="E1328">
        <v>8500</v>
      </c>
      <c r="F1328" t="s">
        <v>25</v>
      </c>
      <c r="G1328">
        <v>6</v>
      </c>
      <c r="H1328" t="s">
        <v>68</v>
      </c>
      <c r="I1328">
        <v>13</v>
      </c>
      <c r="J1328" s="10">
        <f t="shared" si="20"/>
        <v>6</v>
      </c>
    </row>
    <row r="1329" spans="1:10" x14ac:dyDescent="0.2">
      <c r="A1329" s="6">
        <v>42709</v>
      </c>
      <c r="B1329">
        <v>2006</v>
      </c>
      <c r="C1329">
        <v>2478</v>
      </c>
      <c r="D1329">
        <v>1328</v>
      </c>
      <c r="E1329">
        <v>5300</v>
      </c>
      <c r="F1329" t="s">
        <v>25</v>
      </c>
      <c r="G1329">
        <v>11</v>
      </c>
      <c r="H1329" t="s">
        <v>68</v>
      </c>
      <c r="I1329">
        <v>13</v>
      </c>
      <c r="J1329" s="10">
        <f t="shared" si="20"/>
        <v>11</v>
      </c>
    </row>
    <row r="1330" spans="1:10" x14ac:dyDescent="0.2">
      <c r="A1330" s="6">
        <v>42622</v>
      </c>
      <c r="B1330">
        <v>2006</v>
      </c>
      <c r="C1330">
        <v>2478</v>
      </c>
      <c r="D1330">
        <v>1329</v>
      </c>
      <c r="E1330">
        <v>5500</v>
      </c>
      <c r="F1330" t="s">
        <v>25</v>
      </c>
      <c r="G1330">
        <v>9</v>
      </c>
      <c r="H1330" t="s">
        <v>68</v>
      </c>
      <c r="I1330">
        <v>13</v>
      </c>
      <c r="J1330" s="10">
        <f t="shared" si="20"/>
        <v>9</v>
      </c>
    </row>
    <row r="1331" spans="1:10" x14ac:dyDescent="0.2">
      <c r="A1331" s="6">
        <v>42604</v>
      </c>
      <c r="B1331">
        <v>2006</v>
      </c>
      <c r="C1331">
        <v>2478</v>
      </c>
      <c r="D1331">
        <v>1330</v>
      </c>
      <c r="E1331">
        <v>6000</v>
      </c>
      <c r="F1331" t="s">
        <v>25</v>
      </c>
      <c r="G1331">
        <v>12</v>
      </c>
      <c r="H1331" t="s">
        <v>68</v>
      </c>
      <c r="I1331">
        <v>13</v>
      </c>
      <c r="J1331" s="10">
        <f t="shared" si="20"/>
        <v>12</v>
      </c>
    </row>
    <row r="1332" spans="1:10" x14ac:dyDescent="0.2">
      <c r="A1332" s="6">
        <v>43493</v>
      </c>
      <c r="B1332">
        <v>2006</v>
      </c>
      <c r="C1332">
        <v>2490</v>
      </c>
      <c r="D1332">
        <v>1331</v>
      </c>
      <c r="E1332">
        <v>10400</v>
      </c>
      <c r="F1332" t="s">
        <v>25</v>
      </c>
      <c r="G1332">
        <v>12</v>
      </c>
      <c r="H1332" t="s">
        <v>68</v>
      </c>
      <c r="I1332">
        <v>13</v>
      </c>
      <c r="J1332" s="10">
        <f t="shared" si="20"/>
        <v>12</v>
      </c>
    </row>
    <row r="1333" spans="1:10" x14ac:dyDescent="0.2">
      <c r="A1333" s="6">
        <v>43363</v>
      </c>
      <c r="B1333">
        <v>2006</v>
      </c>
      <c r="C1333">
        <v>2490</v>
      </c>
      <c r="D1333">
        <v>1332</v>
      </c>
      <c r="E1333">
        <v>12000</v>
      </c>
      <c r="F1333" t="s">
        <v>25</v>
      </c>
      <c r="G1333">
        <v>7</v>
      </c>
      <c r="H1333" t="s">
        <v>68</v>
      </c>
      <c r="I1333">
        <v>13</v>
      </c>
      <c r="J1333" s="10">
        <f t="shared" si="20"/>
        <v>7</v>
      </c>
    </row>
    <row r="1334" spans="1:10" x14ac:dyDescent="0.2">
      <c r="A1334" s="6">
        <v>43245</v>
      </c>
      <c r="B1334">
        <v>2006</v>
      </c>
      <c r="C1334">
        <v>2490</v>
      </c>
      <c r="D1334">
        <v>1333</v>
      </c>
      <c r="E1334">
        <v>12750</v>
      </c>
      <c r="F1334" t="s">
        <v>25</v>
      </c>
      <c r="G1334">
        <v>5</v>
      </c>
      <c r="H1334" t="s">
        <v>68</v>
      </c>
      <c r="I1334">
        <v>13</v>
      </c>
      <c r="J1334" s="10">
        <f t="shared" si="20"/>
        <v>5</v>
      </c>
    </row>
    <row r="1335" spans="1:10" x14ac:dyDescent="0.2">
      <c r="A1335" s="6">
        <v>42993</v>
      </c>
      <c r="B1335">
        <v>2006</v>
      </c>
      <c r="C1335">
        <v>2490</v>
      </c>
      <c r="D1335">
        <v>1334</v>
      </c>
      <c r="E1335">
        <v>8400</v>
      </c>
      <c r="F1335" t="s">
        <v>25</v>
      </c>
      <c r="G1335">
        <v>30</v>
      </c>
      <c r="H1335" t="s">
        <v>26</v>
      </c>
      <c r="I1335">
        <v>13</v>
      </c>
      <c r="J1335" s="10">
        <f t="shared" si="20"/>
        <v>1</v>
      </c>
    </row>
    <row r="1336" spans="1:10" x14ac:dyDescent="0.2">
      <c r="A1336" s="6">
        <v>42879</v>
      </c>
      <c r="B1336">
        <v>2006</v>
      </c>
      <c r="C1336">
        <v>2490</v>
      </c>
      <c r="D1336">
        <v>1335</v>
      </c>
      <c r="E1336">
        <v>9800</v>
      </c>
      <c r="F1336" t="s">
        <v>25</v>
      </c>
      <c r="G1336">
        <v>3</v>
      </c>
      <c r="H1336" t="s">
        <v>68</v>
      </c>
      <c r="I1336">
        <v>13</v>
      </c>
      <c r="J1336" s="10">
        <f t="shared" si="20"/>
        <v>3</v>
      </c>
    </row>
    <row r="1337" spans="1:10" x14ac:dyDescent="0.2">
      <c r="A1337" s="6">
        <v>42628</v>
      </c>
      <c r="B1337">
        <v>2006</v>
      </c>
      <c r="C1337">
        <v>2490</v>
      </c>
      <c r="D1337">
        <v>1336</v>
      </c>
      <c r="E1337">
        <v>5850</v>
      </c>
      <c r="F1337" t="s">
        <v>25</v>
      </c>
      <c r="G1337">
        <v>8</v>
      </c>
      <c r="H1337" t="s">
        <v>68</v>
      </c>
      <c r="I1337">
        <v>13</v>
      </c>
      <c r="J1337" s="10">
        <f t="shared" si="20"/>
        <v>8</v>
      </c>
    </row>
    <row r="1338" spans="1:10" x14ac:dyDescent="0.2">
      <c r="A1338" s="6">
        <v>42381</v>
      </c>
      <c r="B1338">
        <v>2006</v>
      </c>
      <c r="C1338">
        <v>2490</v>
      </c>
      <c r="D1338">
        <v>1337</v>
      </c>
      <c r="E1338">
        <v>6000</v>
      </c>
      <c r="F1338" t="s">
        <v>25</v>
      </c>
      <c r="G1338">
        <v>6</v>
      </c>
      <c r="H1338" t="s">
        <v>68</v>
      </c>
      <c r="I1338">
        <v>13</v>
      </c>
      <c r="J1338" s="10">
        <f t="shared" si="20"/>
        <v>6</v>
      </c>
    </row>
    <row r="1339" spans="1:10" x14ac:dyDescent="0.2">
      <c r="A1339" s="6">
        <v>43501</v>
      </c>
      <c r="B1339">
        <v>2006</v>
      </c>
      <c r="C1339">
        <v>2492</v>
      </c>
      <c r="D1339">
        <v>1338</v>
      </c>
      <c r="E1339">
        <v>9250</v>
      </c>
      <c r="F1339" t="s">
        <v>25</v>
      </c>
      <c r="G1339">
        <v>6</v>
      </c>
      <c r="H1339" t="s">
        <v>68</v>
      </c>
      <c r="I1339">
        <v>13</v>
      </c>
      <c r="J1339" s="10">
        <f t="shared" si="20"/>
        <v>6</v>
      </c>
    </row>
    <row r="1340" spans="1:10" x14ac:dyDescent="0.2">
      <c r="A1340" s="6">
        <v>43432</v>
      </c>
      <c r="B1340">
        <v>2006</v>
      </c>
      <c r="C1340">
        <v>2492</v>
      </c>
      <c r="D1340">
        <v>1339</v>
      </c>
      <c r="E1340">
        <v>9500</v>
      </c>
      <c r="F1340" t="s">
        <v>25</v>
      </c>
      <c r="G1340">
        <v>4</v>
      </c>
      <c r="H1340" t="s">
        <v>68</v>
      </c>
      <c r="I1340">
        <v>13</v>
      </c>
      <c r="J1340" s="10">
        <f t="shared" si="20"/>
        <v>4</v>
      </c>
    </row>
    <row r="1341" spans="1:10" x14ac:dyDescent="0.2">
      <c r="A1341" s="6">
        <v>43200</v>
      </c>
      <c r="B1341">
        <v>2006</v>
      </c>
      <c r="C1341">
        <v>2492</v>
      </c>
      <c r="D1341">
        <v>1340</v>
      </c>
      <c r="E1341">
        <v>10550</v>
      </c>
      <c r="F1341" t="s">
        <v>25</v>
      </c>
      <c r="G1341">
        <v>7</v>
      </c>
      <c r="H1341" t="s">
        <v>68</v>
      </c>
      <c r="I1341">
        <v>13</v>
      </c>
      <c r="J1341" s="10">
        <f t="shared" si="20"/>
        <v>7</v>
      </c>
    </row>
    <row r="1342" spans="1:10" x14ac:dyDescent="0.2">
      <c r="A1342" s="6">
        <v>43052</v>
      </c>
      <c r="B1342">
        <v>2006</v>
      </c>
      <c r="C1342">
        <v>2492</v>
      </c>
      <c r="D1342">
        <v>1341</v>
      </c>
      <c r="E1342">
        <v>8250</v>
      </c>
      <c r="F1342" t="s">
        <v>25</v>
      </c>
      <c r="G1342">
        <v>5</v>
      </c>
      <c r="H1342" t="s">
        <v>68</v>
      </c>
      <c r="I1342">
        <v>13</v>
      </c>
      <c r="J1342" s="10">
        <f t="shared" si="20"/>
        <v>5</v>
      </c>
    </row>
    <row r="1343" spans="1:10" x14ac:dyDescent="0.2">
      <c r="A1343" s="6">
        <v>42795</v>
      </c>
      <c r="B1343">
        <v>2006</v>
      </c>
      <c r="C1343">
        <v>2492</v>
      </c>
      <c r="D1343">
        <v>1342</v>
      </c>
      <c r="E1343">
        <v>6200</v>
      </c>
      <c r="F1343" t="s">
        <v>25</v>
      </c>
      <c r="G1343">
        <v>8</v>
      </c>
      <c r="H1343" t="s">
        <v>68</v>
      </c>
      <c r="I1343">
        <v>13</v>
      </c>
      <c r="J1343" s="10">
        <f t="shared" si="20"/>
        <v>8</v>
      </c>
    </row>
    <row r="1344" spans="1:10" x14ac:dyDescent="0.2">
      <c r="A1344" s="6">
        <v>42782</v>
      </c>
      <c r="B1344">
        <v>2006</v>
      </c>
      <c r="C1344">
        <v>2492</v>
      </c>
      <c r="D1344">
        <v>1343</v>
      </c>
      <c r="E1344">
        <v>5800</v>
      </c>
      <c r="F1344" t="s">
        <v>25</v>
      </c>
      <c r="G1344">
        <v>3</v>
      </c>
      <c r="H1344" t="s">
        <v>68</v>
      </c>
      <c r="I1344">
        <v>13</v>
      </c>
      <c r="J1344" s="10">
        <f t="shared" si="20"/>
        <v>3</v>
      </c>
    </row>
    <row r="1345" spans="1:10" x14ac:dyDescent="0.2">
      <c r="A1345" s="6">
        <v>42776</v>
      </c>
      <c r="B1345">
        <v>2006</v>
      </c>
      <c r="C1345">
        <v>2492</v>
      </c>
      <c r="D1345">
        <v>1344</v>
      </c>
      <c r="E1345">
        <v>5800</v>
      </c>
      <c r="F1345" t="s">
        <v>25</v>
      </c>
      <c r="G1345">
        <v>90</v>
      </c>
      <c r="H1345" t="s">
        <v>26</v>
      </c>
      <c r="I1345">
        <v>13</v>
      </c>
      <c r="J1345" s="10">
        <f t="shared" si="20"/>
        <v>3</v>
      </c>
    </row>
    <row r="1346" spans="1:10" x14ac:dyDescent="0.2">
      <c r="A1346" s="6">
        <v>42565</v>
      </c>
      <c r="B1346">
        <v>2006</v>
      </c>
      <c r="C1346">
        <v>2492</v>
      </c>
      <c r="D1346">
        <v>1345</v>
      </c>
      <c r="E1346">
        <v>6500</v>
      </c>
      <c r="F1346" t="s">
        <v>25</v>
      </c>
      <c r="G1346">
        <v>7</v>
      </c>
      <c r="H1346" t="s">
        <v>68</v>
      </c>
      <c r="I1346">
        <v>13</v>
      </c>
      <c r="J1346" s="10">
        <f t="shared" ref="J1346:J1409" si="21">IF(H1346="days",ROUND(G1346/30,0),IF(H1346="years",G1346*12,G1346))</f>
        <v>7</v>
      </c>
    </row>
    <row r="1347" spans="1:10" x14ac:dyDescent="0.2">
      <c r="A1347" s="6">
        <v>43629</v>
      </c>
      <c r="B1347">
        <v>2006</v>
      </c>
      <c r="C1347">
        <v>2510</v>
      </c>
      <c r="D1347">
        <v>1346</v>
      </c>
      <c r="E1347">
        <v>8500</v>
      </c>
      <c r="F1347" t="s">
        <v>25</v>
      </c>
      <c r="G1347">
        <v>4</v>
      </c>
      <c r="H1347" t="s">
        <v>68</v>
      </c>
      <c r="I1347">
        <v>13</v>
      </c>
      <c r="J1347" s="10">
        <f t="shared" si="21"/>
        <v>4</v>
      </c>
    </row>
    <row r="1348" spans="1:10" x14ac:dyDescent="0.2">
      <c r="A1348" s="6">
        <v>43559</v>
      </c>
      <c r="B1348">
        <v>2006</v>
      </c>
      <c r="C1348">
        <v>2510</v>
      </c>
      <c r="D1348">
        <v>1347</v>
      </c>
      <c r="E1348">
        <v>8500</v>
      </c>
      <c r="F1348" t="s">
        <v>25</v>
      </c>
      <c r="G1348">
        <v>30</v>
      </c>
      <c r="H1348" t="s">
        <v>26</v>
      </c>
      <c r="I1348">
        <v>13</v>
      </c>
      <c r="J1348" s="10">
        <f t="shared" si="21"/>
        <v>1</v>
      </c>
    </row>
    <row r="1349" spans="1:10" x14ac:dyDescent="0.2">
      <c r="A1349" s="6">
        <v>43532</v>
      </c>
      <c r="B1349">
        <v>2006</v>
      </c>
      <c r="C1349">
        <v>2510</v>
      </c>
      <c r="D1349">
        <v>1348</v>
      </c>
      <c r="E1349">
        <v>8500</v>
      </c>
      <c r="F1349" t="s">
        <v>25</v>
      </c>
      <c r="G1349">
        <v>60</v>
      </c>
      <c r="H1349" t="s">
        <v>26</v>
      </c>
      <c r="I1349">
        <v>13</v>
      </c>
      <c r="J1349" s="10">
        <f t="shared" si="21"/>
        <v>2</v>
      </c>
    </row>
    <row r="1350" spans="1:10" x14ac:dyDescent="0.2">
      <c r="A1350" s="6">
        <v>43468</v>
      </c>
      <c r="B1350">
        <v>2006</v>
      </c>
      <c r="C1350">
        <v>2510</v>
      </c>
      <c r="D1350">
        <v>1349</v>
      </c>
      <c r="E1350">
        <v>8300</v>
      </c>
      <c r="F1350" t="s">
        <v>25</v>
      </c>
      <c r="G1350">
        <v>56</v>
      </c>
      <c r="H1350" t="s">
        <v>26</v>
      </c>
      <c r="I1350">
        <v>13</v>
      </c>
      <c r="J1350" s="10">
        <f t="shared" si="21"/>
        <v>2</v>
      </c>
    </row>
    <row r="1351" spans="1:10" x14ac:dyDescent="0.2">
      <c r="A1351" s="6">
        <v>43389</v>
      </c>
      <c r="B1351">
        <v>2006</v>
      </c>
      <c r="C1351">
        <v>2510</v>
      </c>
      <c r="D1351">
        <v>1350</v>
      </c>
      <c r="E1351">
        <v>10000</v>
      </c>
      <c r="F1351" t="s">
        <v>25</v>
      </c>
      <c r="G1351">
        <v>4</v>
      </c>
      <c r="H1351" t="s">
        <v>68</v>
      </c>
      <c r="I1351">
        <v>13</v>
      </c>
      <c r="J1351" s="10">
        <f t="shared" si="21"/>
        <v>4</v>
      </c>
    </row>
    <row r="1352" spans="1:10" x14ac:dyDescent="0.2">
      <c r="A1352" s="6">
        <v>43207</v>
      </c>
      <c r="B1352">
        <v>2006</v>
      </c>
      <c r="C1352">
        <v>2510</v>
      </c>
      <c r="D1352">
        <v>1351</v>
      </c>
      <c r="E1352">
        <v>11500</v>
      </c>
      <c r="F1352" t="s">
        <v>25</v>
      </c>
      <c r="G1352">
        <v>7</v>
      </c>
      <c r="H1352" t="s">
        <v>68</v>
      </c>
      <c r="I1352">
        <v>13</v>
      </c>
      <c r="J1352" s="10">
        <f t="shared" si="21"/>
        <v>7</v>
      </c>
    </row>
    <row r="1353" spans="1:10" x14ac:dyDescent="0.2">
      <c r="A1353" s="6">
        <v>43129</v>
      </c>
      <c r="B1353">
        <v>2006</v>
      </c>
      <c r="C1353">
        <v>2510</v>
      </c>
      <c r="D1353">
        <v>1352</v>
      </c>
      <c r="E1353">
        <v>9000</v>
      </c>
      <c r="F1353" t="s">
        <v>25</v>
      </c>
      <c r="G1353">
        <v>3</v>
      </c>
      <c r="H1353" t="s">
        <v>68</v>
      </c>
      <c r="I1353">
        <v>13</v>
      </c>
      <c r="J1353" s="10">
        <f t="shared" si="21"/>
        <v>3</v>
      </c>
    </row>
    <row r="1354" spans="1:10" x14ac:dyDescent="0.2">
      <c r="A1354" s="6">
        <v>42906</v>
      </c>
      <c r="B1354">
        <v>2006</v>
      </c>
      <c r="C1354">
        <v>2529</v>
      </c>
      <c r="D1354">
        <v>1353</v>
      </c>
      <c r="E1354">
        <v>8950</v>
      </c>
      <c r="F1354" t="s">
        <v>25</v>
      </c>
      <c r="G1354">
        <v>10</v>
      </c>
      <c r="H1354" t="s">
        <v>68</v>
      </c>
      <c r="I1354">
        <v>13</v>
      </c>
      <c r="J1354" s="10">
        <f t="shared" si="21"/>
        <v>10</v>
      </c>
    </row>
    <row r="1355" spans="1:10" x14ac:dyDescent="0.2">
      <c r="A1355" s="6">
        <v>42537</v>
      </c>
      <c r="B1355">
        <v>2006</v>
      </c>
      <c r="C1355">
        <v>2529</v>
      </c>
      <c r="D1355">
        <v>1354</v>
      </c>
      <c r="E1355">
        <v>7900</v>
      </c>
      <c r="F1355" t="s">
        <v>25</v>
      </c>
      <c r="G1355">
        <v>12</v>
      </c>
      <c r="H1355" t="s">
        <v>68</v>
      </c>
      <c r="I1355">
        <v>13</v>
      </c>
      <c r="J1355" s="10">
        <f t="shared" si="21"/>
        <v>12</v>
      </c>
    </row>
    <row r="1356" spans="1:10" x14ac:dyDescent="0.2">
      <c r="A1356" s="6">
        <v>42423</v>
      </c>
      <c r="B1356">
        <v>2006</v>
      </c>
      <c r="C1356">
        <v>2529</v>
      </c>
      <c r="D1356">
        <v>1355</v>
      </c>
      <c r="E1356">
        <v>6000</v>
      </c>
      <c r="F1356" t="s">
        <v>25</v>
      </c>
      <c r="G1356">
        <v>9</v>
      </c>
      <c r="H1356" t="s">
        <v>68</v>
      </c>
      <c r="I1356">
        <v>13</v>
      </c>
      <c r="J1356" s="10">
        <f t="shared" si="21"/>
        <v>9</v>
      </c>
    </row>
    <row r="1357" spans="1:10" x14ac:dyDescent="0.2">
      <c r="A1357" s="6">
        <v>42660</v>
      </c>
      <c r="B1357">
        <v>2010</v>
      </c>
      <c r="C1357">
        <v>2535</v>
      </c>
      <c r="D1357">
        <v>1356</v>
      </c>
      <c r="E1357">
        <v>5200</v>
      </c>
      <c r="F1357" t="s">
        <v>25</v>
      </c>
      <c r="G1357">
        <v>8</v>
      </c>
      <c r="H1357" t="s">
        <v>68</v>
      </c>
      <c r="I1357">
        <v>9</v>
      </c>
      <c r="J1357" s="10">
        <f t="shared" si="21"/>
        <v>8</v>
      </c>
    </row>
    <row r="1358" spans="1:10" x14ac:dyDescent="0.2">
      <c r="A1358" s="6">
        <v>43599</v>
      </c>
      <c r="B1358">
        <v>2008</v>
      </c>
      <c r="C1358">
        <v>2546</v>
      </c>
      <c r="D1358">
        <v>1357</v>
      </c>
      <c r="E1358">
        <v>9500</v>
      </c>
      <c r="F1358" t="s">
        <v>25</v>
      </c>
      <c r="G1358">
        <v>4</v>
      </c>
      <c r="H1358" t="s">
        <v>68</v>
      </c>
      <c r="I1358">
        <v>11</v>
      </c>
      <c r="J1358" s="10">
        <f t="shared" si="21"/>
        <v>4</v>
      </c>
    </row>
    <row r="1359" spans="1:10" x14ac:dyDescent="0.2">
      <c r="A1359" s="6">
        <v>43572</v>
      </c>
      <c r="B1359">
        <v>2008</v>
      </c>
      <c r="C1359">
        <v>2546</v>
      </c>
      <c r="D1359">
        <v>1358</v>
      </c>
      <c r="E1359">
        <v>8300</v>
      </c>
      <c r="F1359" t="s">
        <v>25</v>
      </c>
      <c r="G1359">
        <v>7</v>
      </c>
      <c r="H1359" t="s">
        <v>68</v>
      </c>
      <c r="I1359">
        <v>11</v>
      </c>
      <c r="J1359" s="10">
        <f t="shared" si="21"/>
        <v>7</v>
      </c>
    </row>
    <row r="1360" spans="1:10" x14ac:dyDescent="0.2">
      <c r="A1360" s="6">
        <v>43564</v>
      </c>
      <c r="B1360">
        <v>2010</v>
      </c>
      <c r="C1360">
        <v>2546</v>
      </c>
      <c r="D1360">
        <v>1359</v>
      </c>
      <c r="E1360">
        <v>8500</v>
      </c>
      <c r="F1360" t="s">
        <v>25</v>
      </c>
      <c r="G1360">
        <v>12</v>
      </c>
      <c r="H1360" t="s">
        <v>68</v>
      </c>
      <c r="I1360">
        <v>9</v>
      </c>
      <c r="J1360" s="10">
        <f t="shared" si="21"/>
        <v>12</v>
      </c>
    </row>
    <row r="1361" spans="1:10" x14ac:dyDescent="0.2">
      <c r="A1361" s="6">
        <v>43563</v>
      </c>
      <c r="B1361">
        <v>2010</v>
      </c>
      <c r="C1361">
        <v>2546</v>
      </c>
      <c r="D1361">
        <v>1360</v>
      </c>
      <c r="E1361">
        <v>8500</v>
      </c>
      <c r="F1361" t="s">
        <v>25</v>
      </c>
      <c r="G1361">
        <v>12</v>
      </c>
      <c r="H1361" t="s">
        <v>68</v>
      </c>
      <c r="I1361">
        <v>9</v>
      </c>
      <c r="J1361" s="10">
        <f t="shared" si="21"/>
        <v>12</v>
      </c>
    </row>
    <row r="1362" spans="1:10" x14ac:dyDescent="0.2">
      <c r="A1362" s="6">
        <v>43549</v>
      </c>
      <c r="B1362">
        <v>2009</v>
      </c>
      <c r="C1362">
        <v>2546</v>
      </c>
      <c r="D1362">
        <v>1361</v>
      </c>
      <c r="E1362">
        <v>9000</v>
      </c>
      <c r="F1362" t="s">
        <v>25</v>
      </c>
      <c r="G1362">
        <v>4</v>
      </c>
      <c r="H1362" t="s">
        <v>68</v>
      </c>
      <c r="I1362">
        <v>10</v>
      </c>
      <c r="J1362" s="10">
        <f t="shared" si="21"/>
        <v>4</v>
      </c>
    </row>
    <row r="1363" spans="1:10" x14ac:dyDescent="0.2">
      <c r="A1363" s="6">
        <v>43536</v>
      </c>
      <c r="B1363">
        <v>2010</v>
      </c>
      <c r="C1363">
        <v>2546</v>
      </c>
      <c r="D1363">
        <v>1362</v>
      </c>
      <c r="E1363">
        <v>9000</v>
      </c>
      <c r="F1363" t="s">
        <v>25</v>
      </c>
      <c r="G1363">
        <v>4</v>
      </c>
      <c r="H1363" t="s">
        <v>68</v>
      </c>
      <c r="I1363">
        <v>9</v>
      </c>
      <c r="J1363" s="10">
        <f t="shared" si="21"/>
        <v>4</v>
      </c>
    </row>
    <row r="1364" spans="1:10" x14ac:dyDescent="0.2">
      <c r="A1364" s="6">
        <v>43533</v>
      </c>
      <c r="B1364">
        <v>2007</v>
      </c>
      <c r="C1364">
        <v>2546</v>
      </c>
      <c r="D1364">
        <v>1363</v>
      </c>
      <c r="E1364">
        <v>10000</v>
      </c>
      <c r="F1364" t="s">
        <v>25</v>
      </c>
      <c r="G1364">
        <v>4</v>
      </c>
      <c r="H1364" t="s">
        <v>68</v>
      </c>
      <c r="I1364">
        <v>12</v>
      </c>
      <c r="J1364" s="10">
        <f t="shared" si="21"/>
        <v>4</v>
      </c>
    </row>
    <row r="1365" spans="1:10" x14ac:dyDescent="0.2">
      <c r="A1365" s="6">
        <v>43524</v>
      </c>
      <c r="B1365">
        <v>2008</v>
      </c>
      <c r="C1365">
        <v>2546</v>
      </c>
      <c r="D1365">
        <v>1364</v>
      </c>
      <c r="E1365">
        <v>10775</v>
      </c>
      <c r="F1365" t="s">
        <v>25</v>
      </c>
      <c r="G1365">
        <v>6</v>
      </c>
      <c r="H1365" t="s">
        <v>68</v>
      </c>
      <c r="I1365">
        <v>11</v>
      </c>
      <c r="J1365" s="10">
        <f t="shared" si="21"/>
        <v>6</v>
      </c>
    </row>
    <row r="1366" spans="1:10" x14ac:dyDescent="0.2">
      <c r="A1366" s="6">
        <v>43439</v>
      </c>
      <c r="B1366">
        <v>2008</v>
      </c>
      <c r="C1366">
        <v>2546</v>
      </c>
      <c r="D1366">
        <v>1365</v>
      </c>
      <c r="E1366">
        <v>11950</v>
      </c>
      <c r="F1366" t="s">
        <v>25</v>
      </c>
      <c r="G1366">
        <v>15</v>
      </c>
      <c r="H1366" t="s">
        <v>68</v>
      </c>
      <c r="I1366">
        <v>11</v>
      </c>
      <c r="J1366" s="10">
        <f t="shared" si="21"/>
        <v>15</v>
      </c>
    </row>
    <row r="1367" spans="1:10" x14ac:dyDescent="0.2">
      <c r="A1367" s="6">
        <v>43385</v>
      </c>
      <c r="B1367">
        <v>2008</v>
      </c>
      <c r="C1367">
        <v>2546</v>
      </c>
      <c r="D1367">
        <v>1366</v>
      </c>
      <c r="E1367">
        <v>12000</v>
      </c>
      <c r="F1367" t="s">
        <v>25</v>
      </c>
      <c r="G1367">
        <v>6</v>
      </c>
      <c r="H1367" t="s">
        <v>68</v>
      </c>
      <c r="I1367">
        <v>11</v>
      </c>
      <c r="J1367" s="10">
        <f t="shared" si="21"/>
        <v>6</v>
      </c>
    </row>
    <row r="1368" spans="1:10" x14ac:dyDescent="0.2">
      <c r="A1368" s="6">
        <v>43252</v>
      </c>
      <c r="B1368">
        <v>2008</v>
      </c>
      <c r="C1368">
        <v>2546</v>
      </c>
      <c r="D1368">
        <v>1367</v>
      </c>
      <c r="E1368">
        <v>12500</v>
      </c>
      <c r="F1368" t="s">
        <v>25</v>
      </c>
      <c r="G1368">
        <v>9</v>
      </c>
      <c r="H1368" t="s">
        <v>68</v>
      </c>
      <c r="I1368">
        <v>11</v>
      </c>
      <c r="J1368" s="10">
        <f t="shared" si="21"/>
        <v>9</v>
      </c>
    </row>
    <row r="1369" spans="1:10" x14ac:dyDescent="0.2">
      <c r="A1369" s="6">
        <v>43238</v>
      </c>
      <c r="B1369">
        <v>2007</v>
      </c>
      <c r="C1369">
        <v>2546</v>
      </c>
      <c r="D1369">
        <v>1368</v>
      </c>
      <c r="E1369">
        <v>12125</v>
      </c>
      <c r="F1369" t="s">
        <v>25</v>
      </c>
      <c r="G1369">
        <v>12</v>
      </c>
      <c r="H1369" t="s">
        <v>68</v>
      </c>
      <c r="I1369">
        <v>12</v>
      </c>
      <c r="J1369" s="10">
        <f t="shared" si="21"/>
        <v>12</v>
      </c>
    </row>
    <row r="1370" spans="1:10" x14ac:dyDescent="0.2">
      <c r="A1370" s="6">
        <v>43235</v>
      </c>
      <c r="B1370">
        <v>2009</v>
      </c>
      <c r="C1370">
        <v>2546</v>
      </c>
      <c r="D1370">
        <v>1369</v>
      </c>
      <c r="E1370">
        <v>12125</v>
      </c>
      <c r="F1370" t="s">
        <v>25</v>
      </c>
      <c r="G1370">
        <v>12</v>
      </c>
      <c r="H1370" t="s">
        <v>68</v>
      </c>
      <c r="I1370">
        <v>10</v>
      </c>
      <c r="J1370" s="10">
        <f t="shared" si="21"/>
        <v>12</v>
      </c>
    </row>
    <row r="1371" spans="1:10" x14ac:dyDescent="0.2">
      <c r="A1371" s="6">
        <v>43225</v>
      </c>
      <c r="B1371">
        <v>2008</v>
      </c>
      <c r="C1371">
        <v>2546</v>
      </c>
      <c r="D1371">
        <v>1370</v>
      </c>
      <c r="E1371">
        <v>11750</v>
      </c>
      <c r="F1371" t="s">
        <v>25</v>
      </c>
      <c r="G1371">
        <v>13</v>
      </c>
      <c r="H1371" t="s">
        <v>68</v>
      </c>
      <c r="I1371">
        <v>11</v>
      </c>
      <c r="J1371" s="10">
        <f t="shared" si="21"/>
        <v>13</v>
      </c>
    </row>
    <row r="1372" spans="1:10" x14ac:dyDescent="0.2">
      <c r="A1372" s="6">
        <v>43096</v>
      </c>
      <c r="B1372">
        <v>2008</v>
      </c>
      <c r="C1372">
        <v>2546</v>
      </c>
      <c r="D1372">
        <v>1371</v>
      </c>
      <c r="E1372">
        <v>10950</v>
      </c>
      <c r="F1372" t="s">
        <v>25</v>
      </c>
      <c r="G1372">
        <v>12</v>
      </c>
      <c r="H1372" t="s">
        <v>68</v>
      </c>
      <c r="I1372">
        <v>11</v>
      </c>
      <c r="J1372" s="10">
        <f t="shared" si="21"/>
        <v>12</v>
      </c>
    </row>
    <row r="1373" spans="1:10" x14ac:dyDescent="0.2">
      <c r="A1373" s="6">
        <v>43052</v>
      </c>
      <c r="B1373">
        <v>2009</v>
      </c>
      <c r="C1373">
        <v>2546</v>
      </c>
      <c r="D1373">
        <v>1372</v>
      </c>
      <c r="E1373">
        <v>8500</v>
      </c>
      <c r="F1373" t="s">
        <v>25</v>
      </c>
      <c r="G1373">
        <v>7</v>
      </c>
      <c r="H1373" t="s">
        <v>68</v>
      </c>
      <c r="I1373">
        <v>10</v>
      </c>
      <c r="J1373" s="10">
        <f t="shared" si="21"/>
        <v>7</v>
      </c>
    </row>
    <row r="1374" spans="1:10" x14ac:dyDescent="0.2">
      <c r="A1374" s="6">
        <v>43049</v>
      </c>
      <c r="B1374">
        <v>2010</v>
      </c>
      <c r="C1374">
        <v>2546</v>
      </c>
      <c r="D1374">
        <v>1373</v>
      </c>
      <c r="E1374">
        <v>8500</v>
      </c>
      <c r="F1374" t="s">
        <v>25</v>
      </c>
      <c r="G1374">
        <v>5</v>
      </c>
      <c r="H1374" t="s">
        <v>68</v>
      </c>
      <c r="I1374">
        <v>9</v>
      </c>
      <c r="J1374" s="10">
        <f t="shared" si="21"/>
        <v>5</v>
      </c>
    </row>
    <row r="1375" spans="1:10" x14ac:dyDescent="0.2">
      <c r="A1375" s="6">
        <v>43040</v>
      </c>
      <c r="B1375">
        <v>2008</v>
      </c>
      <c r="C1375">
        <v>2546</v>
      </c>
      <c r="D1375">
        <v>1374</v>
      </c>
      <c r="E1375">
        <v>9000</v>
      </c>
      <c r="F1375" t="s">
        <v>25</v>
      </c>
      <c r="G1375">
        <v>7</v>
      </c>
      <c r="H1375" t="s">
        <v>68</v>
      </c>
      <c r="I1375">
        <v>11</v>
      </c>
      <c r="J1375" s="10">
        <f t="shared" si="21"/>
        <v>7</v>
      </c>
    </row>
    <row r="1376" spans="1:10" x14ac:dyDescent="0.2">
      <c r="A1376" s="6">
        <v>42968</v>
      </c>
      <c r="B1376">
        <v>2010</v>
      </c>
      <c r="C1376">
        <v>2546</v>
      </c>
      <c r="D1376">
        <v>1375</v>
      </c>
      <c r="E1376">
        <v>8400</v>
      </c>
      <c r="F1376" t="s">
        <v>25</v>
      </c>
      <c r="G1376">
        <v>7</v>
      </c>
      <c r="H1376" t="s">
        <v>68</v>
      </c>
      <c r="I1376">
        <v>9</v>
      </c>
      <c r="J1376" s="10">
        <f t="shared" si="21"/>
        <v>7</v>
      </c>
    </row>
    <row r="1377" spans="1:10" x14ac:dyDescent="0.2">
      <c r="A1377" s="6">
        <v>42921</v>
      </c>
      <c r="B1377">
        <v>2008</v>
      </c>
      <c r="C1377">
        <v>2546</v>
      </c>
      <c r="D1377">
        <v>1376</v>
      </c>
      <c r="E1377">
        <v>8250</v>
      </c>
      <c r="F1377" t="s">
        <v>25</v>
      </c>
      <c r="G1377">
        <v>10</v>
      </c>
      <c r="H1377" t="s">
        <v>68</v>
      </c>
      <c r="I1377">
        <v>11</v>
      </c>
      <c r="J1377" s="10">
        <f t="shared" si="21"/>
        <v>10</v>
      </c>
    </row>
    <row r="1378" spans="1:10" x14ac:dyDescent="0.2">
      <c r="A1378" s="6">
        <v>42916</v>
      </c>
      <c r="B1378">
        <v>2010</v>
      </c>
      <c r="C1378">
        <v>2546</v>
      </c>
      <c r="D1378">
        <v>1377</v>
      </c>
      <c r="E1378">
        <v>7750</v>
      </c>
      <c r="F1378" t="s">
        <v>25</v>
      </c>
      <c r="G1378">
        <v>5</v>
      </c>
      <c r="H1378" t="s">
        <v>68</v>
      </c>
      <c r="I1378">
        <v>9</v>
      </c>
      <c r="J1378" s="10">
        <f t="shared" si="21"/>
        <v>5</v>
      </c>
    </row>
    <row r="1379" spans="1:10" x14ac:dyDescent="0.2">
      <c r="A1379" s="6">
        <v>42873</v>
      </c>
      <c r="B1379">
        <v>2008</v>
      </c>
      <c r="C1379">
        <v>2546</v>
      </c>
      <c r="D1379">
        <v>1378</v>
      </c>
      <c r="E1379">
        <v>10000</v>
      </c>
      <c r="F1379" t="s">
        <v>25</v>
      </c>
      <c r="G1379">
        <v>6</v>
      </c>
      <c r="H1379" t="s">
        <v>68</v>
      </c>
      <c r="I1379">
        <v>11</v>
      </c>
      <c r="J1379" s="10">
        <f t="shared" si="21"/>
        <v>6</v>
      </c>
    </row>
    <row r="1380" spans="1:10" x14ac:dyDescent="0.2">
      <c r="A1380" s="6">
        <v>42860</v>
      </c>
      <c r="B1380">
        <v>2009</v>
      </c>
      <c r="C1380">
        <v>2546</v>
      </c>
      <c r="D1380">
        <v>1379</v>
      </c>
      <c r="E1380">
        <v>9400</v>
      </c>
      <c r="F1380" t="s">
        <v>25</v>
      </c>
      <c r="G1380">
        <v>6</v>
      </c>
      <c r="H1380" t="s">
        <v>68</v>
      </c>
      <c r="I1380">
        <v>10</v>
      </c>
      <c r="J1380" s="10">
        <f t="shared" si="21"/>
        <v>6</v>
      </c>
    </row>
    <row r="1381" spans="1:10" x14ac:dyDescent="0.2">
      <c r="A1381" s="6">
        <v>42836</v>
      </c>
      <c r="B1381">
        <v>2010</v>
      </c>
      <c r="C1381">
        <v>2546</v>
      </c>
      <c r="D1381">
        <v>1380</v>
      </c>
      <c r="E1381">
        <v>8500</v>
      </c>
      <c r="F1381" t="s">
        <v>25</v>
      </c>
      <c r="G1381">
        <v>4</v>
      </c>
      <c r="H1381" t="s">
        <v>68</v>
      </c>
      <c r="I1381">
        <v>9</v>
      </c>
      <c r="J1381" s="10">
        <f t="shared" si="21"/>
        <v>4</v>
      </c>
    </row>
    <row r="1382" spans="1:10" x14ac:dyDescent="0.2">
      <c r="A1382" s="6">
        <v>42829</v>
      </c>
      <c r="B1382">
        <v>2008</v>
      </c>
      <c r="C1382">
        <v>2546</v>
      </c>
      <c r="D1382">
        <v>1381</v>
      </c>
      <c r="E1382">
        <v>10000</v>
      </c>
      <c r="F1382" t="s">
        <v>25</v>
      </c>
      <c r="G1382">
        <v>12</v>
      </c>
      <c r="H1382" t="s">
        <v>68</v>
      </c>
      <c r="I1382">
        <v>11</v>
      </c>
      <c r="J1382" s="10">
        <f t="shared" si="21"/>
        <v>12</v>
      </c>
    </row>
    <row r="1383" spans="1:10" x14ac:dyDescent="0.2">
      <c r="A1383" s="6">
        <v>42809</v>
      </c>
      <c r="B1383">
        <v>2007</v>
      </c>
      <c r="C1383">
        <v>2546</v>
      </c>
      <c r="D1383">
        <v>1382</v>
      </c>
      <c r="E1383">
        <v>9000</v>
      </c>
      <c r="F1383" t="s">
        <v>25</v>
      </c>
      <c r="G1383">
        <v>5</v>
      </c>
      <c r="H1383" t="s">
        <v>69</v>
      </c>
      <c r="I1383">
        <v>12</v>
      </c>
      <c r="J1383" s="10">
        <f t="shared" si="21"/>
        <v>60</v>
      </c>
    </row>
    <row r="1384" spans="1:10" x14ac:dyDescent="0.2">
      <c r="A1384" s="6">
        <v>42681</v>
      </c>
      <c r="B1384">
        <v>2009</v>
      </c>
      <c r="C1384">
        <v>2546</v>
      </c>
      <c r="D1384">
        <v>1383</v>
      </c>
      <c r="E1384">
        <v>5500</v>
      </c>
      <c r="F1384" t="s">
        <v>25</v>
      </c>
      <c r="G1384">
        <v>6</v>
      </c>
      <c r="H1384" t="s">
        <v>68</v>
      </c>
      <c r="I1384">
        <v>10</v>
      </c>
      <c r="J1384" s="10">
        <f t="shared" si="21"/>
        <v>6</v>
      </c>
    </row>
    <row r="1385" spans="1:10" x14ac:dyDescent="0.2">
      <c r="A1385" s="6">
        <v>42670</v>
      </c>
      <c r="B1385">
        <v>2010</v>
      </c>
      <c r="C1385">
        <v>2546</v>
      </c>
      <c r="D1385">
        <v>1384</v>
      </c>
      <c r="E1385">
        <v>5500</v>
      </c>
      <c r="F1385" t="s">
        <v>25</v>
      </c>
      <c r="G1385">
        <v>7</v>
      </c>
      <c r="H1385" t="s">
        <v>68</v>
      </c>
      <c r="I1385">
        <v>9</v>
      </c>
      <c r="J1385" s="10">
        <f t="shared" si="21"/>
        <v>7</v>
      </c>
    </row>
    <row r="1386" spans="1:10" x14ac:dyDescent="0.2">
      <c r="A1386" s="6">
        <v>42612</v>
      </c>
      <c r="B1386">
        <v>2008</v>
      </c>
      <c r="C1386">
        <v>2546</v>
      </c>
      <c r="D1386">
        <v>1385</v>
      </c>
      <c r="E1386">
        <v>6000</v>
      </c>
      <c r="F1386" t="s">
        <v>25</v>
      </c>
      <c r="G1386">
        <v>9</v>
      </c>
      <c r="H1386" t="s">
        <v>68</v>
      </c>
      <c r="I1386">
        <v>11</v>
      </c>
      <c r="J1386" s="10">
        <f t="shared" si="21"/>
        <v>9</v>
      </c>
    </row>
    <row r="1387" spans="1:10" x14ac:dyDescent="0.2">
      <c r="A1387" s="6">
        <v>42583</v>
      </c>
      <c r="B1387">
        <v>2008</v>
      </c>
      <c r="C1387">
        <v>2546</v>
      </c>
      <c r="D1387">
        <v>1386</v>
      </c>
      <c r="E1387">
        <v>11000</v>
      </c>
      <c r="F1387" t="s">
        <v>25</v>
      </c>
      <c r="G1387">
        <v>12</v>
      </c>
      <c r="H1387" t="s">
        <v>68</v>
      </c>
      <c r="I1387">
        <v>11</v>
      </c>
      <c r="J1387" s="10">
        <f t="shared" si="21"/>
        <v>12</v>
      </c>
    </row>
    <row r="1388" spans="1:10" x14ac:dyDescent="0.2">
      <c r="A1388" s="6">
        <v>42583</v>
      </c>
      <c r="B1388">
        <v>2006</v>
      </c>
      <c r="C1388">
        <v>2546</v>
      </c>
      <c r="D1388">
        <v>1387</v>
      </c>
      <c r="E1388">
        <v>11000</v>
      </c>
      <c r="F1388" t="s">
        <v>25</v>
      </c>
      <c r="G1388">
        <v>12</v>
      </c>
      <c r="H1388" t="s">
        <v>68</v>
      </c>
      <c r="I1388">
        <v>13</v>
      </c>
      <c r="J1388" s="10">
        <f t="shared" si="21"/>
        <v>12</v>
      </c>
    </row>
    <row r="1389" spans="1:10" x14ac:dyDescent="0.2">
      <c r="A1389" s="6">
        <v>42578</v>
      </c>
      <c r="B1389">
        <v>2006</v>
      </c>
      <c r="C1389">
        <v>2546</v>
      </c>
      <c r="D1389">
        <v>1388</v>
      </c>
      <c r="E1389">
        <v>5500</v>
      </c>
      <c r="F1389" t="s">
        <v>25</v>
      </c>
      <c r="G1389">
        <v>3</v>
      </c>
      <c r="H1389" t="s">
        <v>68</v>
      </c>
      <c r="I1389">
        <v>13</v>
      </c>
      <c r="J1389" s="10">
        <f t="shared" si="21"/>
        <v>3</v>
      </c>
    </row>
    <row r="1390" spans="1:10" x14ac:dyDescent="0.2">
      <c r="A1390" s="6">
        <v>42571</v>
      </c>
      <c r="B1390">
        <v>2008</v>
      </c>
      <c r="C1390">
        <v>2546</v>
      </c>
      <c r="D1390">
        <v>1389</v>
      </c>
      <c r="E1390">
        <v>6000</v>
      </c>
      <c r="F1390" t="s">
        <v>25</v>
      </c>
      <c r="G1390">
        <v>9</v>
      </c>
      <c r="H1390" t="s">
        <v>68</v>
      </c>
      <c r="I1390">
        <v>11</v>
      </c>
      <c r="J1390" s="10">
        <f t="shared" si="21"/>
        <v>9</v>
      </c>
    </row>
    <row r="1391" spans="1:10" x14ac:dyDescent="0.2">
      <c r="A1391" s="6">
        <v>42559</v>
      </c>
      <c r="B1391">
        <v>2010</v>
      </c>
      <c r="C1391">
        <v>2546</v>
      </c>
      <c r="D1391">
        <v>1390</v>
      </c>
      <c r="E1391">
        <v>5500</v>
      </c>
      <c r="F1391" t="s">
        <v>25</v>
      </c>
      <c r="G1391">
        <v>9</v>
      </c>
      <c r="H1391" t="s">
        <v>68</v>
      </c>
      <c r="I1391">
        <v>9</v>
      </c>
      <c r="J1391" s="10">
        <f t="shared" si="21"/>
        <v>9</v>
      </c>
    </row>
    <row r="1392" spans="1:10" x14ac:dyDescent="0.2">
      <c r="A1392" s="6">
        <v>42542</v>
      </c>
      <c r="B1392">
        <v>2006</v>
      </c>
      <c r="C1392">
        <v>2546</v>
      </c>
      <c r="D1392">
        <v>1391</v>
      </c>
      <c r="E1392">
        <v>9000</v>
      </c>
      <c r="F1392" t="s">
        <v>25</v>
      </c>
      <c r="G1392">
        <v>12</v>
      </c>
      <c r="H1392" t="s">
        <v>68</v>
      </c>
      <c r="I1392">
        <v>13</v>
      </c>
      <c r="J1392" s="10">
        <f t="shared" si="21"/>
        <v>12</v>
      </c>
    </row>
    <row r="1393" spans="1:10" x14ac:dyDescent="0.2">
      <c r="A1393" s="6">
        <v>42536</v>
      </c>
      <c r="B1393">
        <v>2008</v>
      </c>
      <c r="C1393">
        <v>2546</v>
      </c>
      <c r="D1393">
        <v>1392</v>
      </c>
      <c r="E1393">
        <v>6000</v>
      </c>
      <c r="F1393" t="s">
        <v>25</v>
      </c>
      <c r="G1393">
        <v>12</v>
      </c>
      <c r="H1393" t="s">
        <v>68</v>
      </c>
      <c r="I1393">
        <v>11</v>
      </c>
      <c r="J1393" s="10">
        <f t="shared" si="21"/>
        <v>12</v>
      </c>
    </row>
    <row r="1394" spans="1:10" x14ac:dyDescent="0.2">
      <c r="A1394" s="6">
        <v>42536</v>
      </c>
      <c r="B1394">
        <v>2008</v>
      </c>
      <c r="C1394">
        <v>2546</v>
      </c>
      <c r="D1394">
        <v>1393</v>
      </c>
      <c r="E1394">
        <v>6000</v>
      </c>
      <c r="F1394" t="s">
        <v>25</v>
      </c>
      <c r="G1394">
        <v>4</v>
      </c>
      <c r="H1394" t="s">
        <v>68</v>
      </c>
      <c r="I1394">
        <v>11</v>
      </c>
      <c r="J1394" s="10">
        <f t="shared" si="21"/>
        <v>4</v>
      </c>
    </row>
    <row r="1395" spans="1:10" x14ac:dyDescent="0.2">
      <c r="A1395" s="6">
        <v>42491</v>
      </c>
      <c r="B1395">
        <v>2007</v>
      </c>
      <c r="C1395">
        <v>2546</v>
      </c>
      <c r="D1395">
        <v>1394</v>
      </c>
      <c r="E1395">
        <v>9625</v>
      </c>
      <c r="F1395" t="s">
        <v>25</v>
      </c>
      <c r="G1395">
        <v>12</v>
      </c>
      <c r="H1395" t="s">
        <v>68</v>
      </c>
      <c r="I1395">
        <v>12</v>
      </c>
      <c r="J1395" s="10">
        <f t="shared" si="21"/>
        <v>12</v>
      </c>
    </row>
    <row r="1396" spans="1:10" x14ac:dyDescent="0.2">
      <c r="A1396" s="6">
        <v>42482</v>
      </c>
      <c r="B1396">
        <v>2007</v>
      </c>
      <c r="C1396">
        <v>2546</v>
      </c>
      <c r="D1396">
        <v>1395</v>
      </c>
      <c r="E1396">
        <v>9500</v>
      </c>
      <c r="F1396" t="s">
        <v>25</v>
      </c>
      <c r="G1396">
        <v>12</v>
      </c>
      <c r="H1396" t="s">
        <v>68</v>
      </c>
      <c r="I1396">
        <v>12</v>
      </c>
      <c r="J1396" s="10">
        <f t="shared" si="21"/>
        <v>12</v>
      </c>
    </row>
    <row r="1397" spans="1:10" x14ac:dyDescent="0.2">
      <c r="A1397" s="6">
        <v>42467</v>
      </c>
      <c r="B1397">
        <v>2008</v>
      </c>
      <c r="C1397">
        <v>2546</v>
      </c>
      <c r="D1397">
        <v>1396</v>
      </c>
      <c r="E1397">
        <v>6300</v>
      </c>
      <c r="F1397" t="s">
        <v>25</v>
      </c>
      <c r="G1397">
        <v>7</v>
      </c>
      <c r="H1397" t="s">
        <v>68</v>
      </c>
      <c r="I1397">
        <v>11</v>
      </c>
      <c r="J1397" s="10">
        <f t="shared" si="21"/>
        <v>7</v>
      </c>
    </row>
    <row r="1398" spans="1:10" x14ac:dyDescent="0.2">
      <c r="A1398" s="6">
        <v>42425</v>
      </c>
      <c r="B1398">
        <v>2007</v>
      </c>
      <c r="C1398">
        <v>2546</v>
      </c>
      <c r="D1398">
        <v>1397</v>
      </c>
      <c r="E1398">
        <v>6500</v>
      </c>
      <c r="F1398" t="s">
        <v>25</v>
      </c>
      <c r="G1398">
        <v>6</v>
      </c>
      <c r="H1398" t="s">
        <v>68</v>
      </c>
      <c r="I1398">
        <v>12</v>
      </c>
      <c r="J1398" s="10">
        <f t="shared" si="21"/>
        <v>6</v>
      </c>
    </row>
    <row r="1399" spans="1:10" x14ac:dyDescent="0.2">
      <c r="A1399" s="6">
        <v>42423</v>
      </c>
      <c r="B1399">
        <v>2008</v>
      </c>
      <c r="C1399">
        <v>2546</v>
      </c>
      <c r="D1399">
        <v>1398</v>
      </c>
      <c r="E1399">
        <v>6000</v>
      </c>
      <c r="F1399" t="s">
        <v>25</v>
      </c>
      <c r="G1399">
        <v>9</v>
      </c>
      <c r="H1399" t="s">
        <v>68</v>
      </c>
      <c r="I1399">
        <v>11</v>
      </c>
      <c r="J1399" s="10">
        <f t="shared" si="21"/>
        <v>9</v>
      </c>
    </row>
    <row r="1400" spans="1:10" x14ac:dyDescent="0.2">
      <c r="A1400" s="6">
        <v>42423</v>
      </c>
      <c r="B1400">
        <v>2010</v>
      </c>
      <c r="C1400">
        <v>2546</v>
      </c>
      <c r="D1400">
        <v>1399</v>
      </c>
      <c r="E1400">
        <v>6000</v>
      </c>
      <c r="F1400" t="s">
        <v>25</v>
      </c>
      <c r="G1400">
        <v>9</v>
      </c>
      <c r="H1400" t="s">
        <v>68</v>
      </c>
      <c r="I1400">
        <v>9</v>
      </c>
      <c r="J1400" s="10">
        <f t="shared" si="21"/>
        <v>9</v>
      </c>
    </row>
    <row r="1401" spans="1:10" x14ac:dyDescent="0.2">
      <c r="A1401" s="6">
        <v>43563</v>
      </c>
      <c r="B1401">
        <v>2007</v>
      </c>
      <c r="C1401">
        <v>2553</v>
      </c>
      <c r="D1401">
        <v>1400</v>
      </c>
      <c r="E1401">
        <v>8800</v>
      </c>
      <c r="F1401" t="s">
        <v>25</v>
      </c>
      <c r="G1401">
        <v>3</v>
      </c>
      <c r="H1401" t="s">
        <v>68</v>
      </c>
      <c r="I1401">
        <v>12</v>
      </c>
      <c r="J1401" s="10">
        <f t="shared" si="21"/>
        <v>3</v>
      </c>
    </row>
    <row r="1402" spans="1:10" x14ac:dyDescent="0.2">
      <c r="A1402" s="6">
        <v>43551</v>
      </c>
      <c r="B1402">
        <v>2007</v>
      </c>
      <c r="C1402">
        <v>2553</v>
      </c>
      <c r="D1402">
        <v>1401</v>
      </c>
      <c r="E1402">
        <v>9000</v>
      </c>
      <c r="F1402" t="s">
        <v>25</v>
      </c>
      <c r="G1402">
        <v>9</v>
      </c>
      <c r="H1402" t="s">
        <v>68</v>
      </c>
      <c r="I1402">
        <v>12</v>
      </c>
      <c r="J1402" s="10">
        <f t="shared" si="21"/>
        <v>9</v>
      </c>
    </row>
    <row r="1403" spans="1:10" x14ac:dyDescent="0.2">
      <c r="A1403" s="6">
        <v>43453</v>
      </c>
      <c r="B1403">
        <v>2007</v>
      </c>
      <c r="C1403">
        <v>2553</v>
      </c>
      <c r="D1403">
        <v>1402</v>
      </c>
      <c r="E1403">
        <v>9000</v>
      </c>
      <c r="F1403" t="s">
        <v>25</v>
      </c>
      <c r="G1403">
        <v>7</v>
      </c>
      <c r="H1403" t="s">
        <v>68</v>
      </c>
      <c r="I1403">
        <v>12</v>
      </c>
      <c r="J1403" s="10">
        <f t="shared" si="21"/>
        <v>7</v>
      </c>
    </row>
    <row r="1404" spans="1:10" x14ac:dyDescent="0.2">
      <c r="A1404" s="6">
        <v>43374</v>
      </c>
      <c r="B1404">
        <v>2007</v>
      </c>
      <c r="C1404">
        <v>2553</v>
      </c>
      <c r="D1404">
        <v>1403</v>
      </c>
      <c r="E1404">
        <v>9500</v>
      </c>
      <c r="F1404" t="s">
        <v>25</v>
      </c>
      <c r="G1404">
        <v>7</v>
      </c>
      <c r="H1404" t="s">
        <v>68</v>
      </c>
      <c r="I1404">
        <v>12</v>
      </c>
      <c r="J1404" s="10">
        <f t="shared" si="21"/>
        <v>7</v>
      </c>
    </row>
    <row r="1405" spans="1:10" x14ac:dyDescent="0.2">
      <c r="A1405" s="6">
        <v>43031</v>
      </c>
      <c r="B1405">
        <v>2007</v>
      </c>
      <c r="C1405">
        <v>2553</v>
      </c>
      <c r="D1405">
        <v>1404</v>
      </c>
      <c r="E1405">
        <v>9000</v>
      </c>
      <c r="F1405" t="s">
        <v>25</v>
      </c>
      <c r="G1405">
        <v>7</v>
      </c>
      <c r="H1405" t="s">
        <v>68</v>
      </c>
      <c r="I1405">
        <v>12</v>
      </c>
      <c r="J1405" s="10">
        <f t="shared" si="21"/>
        <v>7</v>
      </c>
    </row>
    <row r="1406" spans="1:10" x14ac:dyDescent="0.2">
      <c r="A1406" s="6">
        <v>42765</v>
      </c>
      <c r="B1406">
        <v>2007</v>
      </c>
      <c r="C1406">
        <v>2553</v>
      </c>
      <c r="D1406">
        <v>1405</v>
      </c>
      <c r="E1406">
        <v>6000</v>
      </c>
      <c r="F1406" t="s">
        <v>25</v>
      </c>
      <c r="G1406">
        <v>12</v>
      </c>
      <c r="H1406" t="s">
        <v>68</v>
      </c>
      <c r="I1406">
        <v>12</v>
      </c>
      <c r="J1406" s="10">
        <f t="shared" si="21"/>
        <v>12</v>
      </c>
    </row>
    <row r="1407" spans="1:10" x14ac:dyDescent="0.2">
      <c r="A1407" s="6">
        <v>42697</v>
      </c>
      <c r="B1407">
        <v>2007</v>
      </c>
      <c r="C1407">
        <v>2553</v>
      </c>
      <c r="D1407">
        <v>1406</v>
      </c>
      <c r="E1407">
        <v>5500</v>
      </c>
      <c r="F1407" t="s">
        <v>25</v>
      </c>
      <c r="G1407">
        <v>11</v>
      </c>
      <c r="H1407" t="s">
        <v>68</v>
      </c>
      <c r="I1407">
        <v>12</v>
      </c>
      <c r="J1407" s="10">
        <f t="shared" si="21"/>
        <v>11</v>
      </c>
    </row>
    <row r="1408" spans="1:10" x14ac:dyDescent="0.2">
      <c r="A1408" s="6">
        <v>42517</v>
      </c>
      <c r="B1408">
        <v>2006</v>
      </c>
      <c r="C1408">
        <v>2556</v>
      </c>
      <c r="D1408">
        <v>1407</v>
      </c>
      <c r="E1408">
        <v>11600</v>
      </c>
      <c r="F1408" t="s">
        <v>25</v>
      </c>
      <c r="G1408">
        <v>3</v>
      </c>
      <c r="H1408" t="s">
        <v>69</v>
      </c>
      <c r="I1408">
        <v>13</v>
      </c>
      <c r="J1408" s="10">
        <f t="shared" si="21"/>
        <v>36</v>
      </c>
    </row>
    <row r="1409" spans="1:10" x14ac:dyDescent="0.2">
      <c r="A1409" s="6">
        <v>43539</v>
      </c>
      <c r="B1409">
        <v>2009</v>
      </c>
      <c r="C1409">
        <v>2564</v>
      </c>
      <c r="D1409">
        <v>1408</v>
      </c>
      <c r="E1409">
        <v>8500</v>
      </c>
      <c r="F1409" t="s">
        <v>25</v>
      </c>
      <c r="G1409">
        <v>9</v>
      </c>
      <c r="H1409" t="s">
        <v>68</v>
      </c>
      <c r="I1409">
        <v>10</v>
      </c>
      <c r="J1409" s="10">
        <f t="shared" si="21"/>
        <v>9</v>
      </c>
    </row>
    <row r="1410" spans="1:10" x14ac:dyDescent="0.2">
      <c r="A1410" s="6">
        <v>43174</v>
      </c>
      <c r="B1410">
        <v>2008</v>
      </c>
      <c r="C1410">
        <v>2564</v>
      </c>
      <c r="D1410">
        <v>1409</v>
      </c>
      <c r="E1410">
        <v>11400</v>
      </c>
      <c r="F1410" t="s">
        <v>25</v>
      </c>
      <c r="G1410">
        <v>12</v>
      </c>
      <c r="H1410" t="s">
        <v>68</v>
      </c>
      <c r="I1410">
        <v>11</v>
      </c>
      <c r="J1410" s="10">
        <f t="shared" ref="J1410:J1473" si="22">IF(H1410="days",ROUND(G1410/30,0),IF(H1410="years",G1410*12,G1410))</f>
        <v>12</v>
      </c>
    </row>
    <row r="1411" spans="1:10" x14ac:dyDescent="0.2">
      <c r="A1411" s="6">
        <v>43045</v>
      </c>
      <c r="B1411">
        <v>2009</v>
      </c>
      <c r="C1411">
        <v>2564</v>
      </c>
      <c r="D1411">
        <v>1410</v>
      </c>
      <c r="E1411">
        <v>9250</v>
      </c>
      <c r="F1411" t="s">
        <v>25</v>
      </c>
      <c r="G1411">
        <v>8</v>
      </c>
      <c r="H1411" t="s">
        <v>68</v>
      </c>
      <c r="I1411">
        <v>10</v>
      </c>
      <c r="J1411" s="10">
        <f t="shared" si="22"/>
        <v>8</v>
      </c>
    </row>
    <row r="1412" spans="1:10" x14ac:dyDescent="0.2">
      <c r="A1412" s="6">
        <v>42978</v>
      </c>
      <c r="B1412">
        <v>2008</v>
      </c>
      <c r="C1412">
        <v>2564</v>
      </c>
      <c r="D1412">
        <v>1411</v>
      </c>
      <c r="E1412">
        <v>9250</v>
      </c>
      <c r="F1412" t="s">
        <v>25</v>
      </c>
      <c r="G1412">
        <v>7</v>
      </c>
      <c r="H1412" t="s">
        <v>68</v>
      </c>
      <c r="I1412">
        <v>11</v>
      </c>
      <c r="J1412" s="10">
        <f t="shared" si="22"/>
        <v>7</v>
      </c>
    </row>
    <row r="1413" spans="1:10" x14ac:dyDescent="0.2">
      <c r="A1413" s="6">
        <v>42740</v>
      </c>
      <c r="B1413">
        <v>2008</v>
      </c>
      <c r="C1413">
        <v>2564</v>
      </c>
      <c r="D1413">
        <v>1412</v>
      </c>
      <c r="E1413">
        <v>6250</v>
      </c>
      <c r="F1413" t="s">
        <v>25</v>
      </c>
      <c r="G1413">
        <v>6</v>
      </c>
      <c r="H1413" t="s">
        <v>68</v>
      </c>
      <c r="I1413">
        <v>11</v>
      </c>
      <c r="J1413" s="10">
        <f t="shared" si="22"/>
        <v>6</v>
      </c>
    </row>
    <row r="1414" spans="1:10" x14ac:dyDescent="0.2">
      <c r="A1414" s="6">
        <v>42688</v>
      </c>
      <c r="B1414">
        <v>2009</v>
      </c>
      <c r="C1414">
        <v>2564</v>
      </c>
      <c r="D1414">
        <v>1413</v>
      </c>
      <c r="E1414">
        <v>5300</v>
      </c>
      <c r="F1414" t="s">
        <v>25</v>
      </c>
      <c r="G1414">
        <v>12</v>
      </c>
      <c r="H1414" t="s">
        <v>68</v>
      </c>
      <c r="I1414">
        <v>10</v>
      </c>
      <c r="J1414" s="10">
        <f t="shared" si="22"/>
        <v>12</v>
      </c>
    </row>
    <row r="1415" spans="1:10" x14ac:dyDescent="0.2">
      <c r="A1415" s="6">
        <v>43587</v>
      </c>
      <c r="B1415">
        <v>2006</v>
      </c>
      <c r="C1415">
        <v>2566</v>
      </c>
      <c r="D1415">
        <v>1414</v>
      </c>
      <c r="E1415">
        <v>9000</v>
      </c>
      <c r="F1415" t="s">
        <v>25</v>
      </c>
      <c r="G1415">
        <v>5</v>
      </c>
      <c r="H1415" t="s">
        <v>68</v>
      </c>
      <c r="I1415">
        <v>13</v>
      </c>
      <c r="J1415" s="10">
        <f t="shared" si="22"/>
        <v>5</v>
      </c>
    </row>
    <row r="1416" spans="1:10" x14ac:dyDescent="0.2">
      <c r="A1416" s="6">
        <v>43507</v>
      </c>
      <c r="B1416">
        <v>2007</v>
      </c>
      <c r="C1416">
        <v>2566</v>
      </c>
      <c r="D1416">
        <v>1415</v>
      </c>
      <c r="E1416">
        <v>10500</v>
      </c>
      <c r="F1416" t="s">
        <v>25</v>
      </c>
      <c r="G1416">
        <v>6</v>
      </c>
      <c r="H1416" t="s">
        <v>68</v>
      </c>
      <c r="I1416">
        <v>12</v>
      </c>
      <c r="J1416" s="10">
        <f t="shared" si="22"/>
        <v>6</v>
      </c>
    </row>
    <row r="1417" spans="1:10" x14ac:dyDescent="0.2">
      <c r="A1417" s="6">
        <v>43475</v>
      </c>
      <c r="B1417">
        <v>2006</v>
      </c>
      <c r="C1417">
        <v>2566</v>
      </c>
      <c r="D1417">
        <v>1416</v>
      </c>
      <c r="E1417">
        <v>9350</v>
      </c>
      <c r="F1417" t="s">
        <v>25</v>
      </c>
      <c r="G1417">
        <v>5</v>
      </c>
      <c r="H1417" t="s">
        <v>68</v>
      </c>
      <c r="I1417">
        <v>13</v>
      </c>
      <c r="J1417" s="10">
        <f t="shared" si="22"/>
        <v>5</v>
      </c>
    </row>
    <row r="1418" spans="1:10" x14ac:dyDescent="0.2">
      <c r="A1418" s="6">
        <v>43361</v>
      </c>
      <c r="B1418">
        <v>2007</v>
      </c>
      <c r="C1418">
        <v>2566</v>
      </c>
      <c r="D1418">
        <v>1417</v>
      </c>
      <c r="E1418">
        <v>12000</v>
      </c>
      <c r="F1418" t="s">
        <v>25</v>
      </c>
      <c r="G1418">
        <v>8</v>
      </c>
      <c r="H1418" t="s">
        <v>68</v>
      </c>
      <c r="I1418">
        <v>12</v>
      </c>
      <c r="J1418" s="10">
        <f t="shared" si="22"/>
        <v>8</v>
      </c>
    </row>
    <row r="1419" spans="1:10" x14ac:dyDescent="0.2">
      <c r="A1419" s="6">
        <v>43245</v>
      </c>
      <c r="B1419">
        <v>2007</v>
      </c>
      <c r="C1419">
        <v>2566</v>
      </c>
      <c r="D1419">
        <v>1418</v>
      </c>
      <c r="E1419">
        <v>12750</v>
      </c>
      <c r="F1419" t="s">
        <v>25</v>
      </c>
      <c r="G1419">
        <v>5</v>
      </c>
      <c r="H1419" t="s">
        <v>68</v>
      </c>
      <c r="I1419">
        <v>12</v>
      </c>
      <c r="J1419" s="10">
        <f t="shared" si="22"/>
        <v>5</v>
      </c>
    </row>
    <row r="1420" spans="1:10" x14ac:dyDescent="0.2">
      <c r="A1420" s="6">
        <v>43191</v>
      </c>
      <c r="B1420">
        <v>2006</v>
      </c>
      <c r="C1420">
        <v>2566</v>
      </c>
      <c r="D1420">
        <v>1419</v>
      </c>
      <c r="E1420">
        <v>11200</v>
      </c>
      <c r="F1420" t="s">
        <v>25</v>
      </c>
      <c r="G1420">
        <v>17</v>
      </c>
      <c r="H1420" t="s">
        <v>68</v>
      </c>
      <c r="I1420">
        <v>13</v>
      </c>
      <c r="J1420" s="10">
        <f t="shared" si="22"/>
        <v>17</v>
      </c>
    </row>
    <row r="1421" spans="1:10" x14ac:dyDescent="0.2">
      <c r="A1421" s="6">
        <v>43185</v>
      </c>
      <c r="B1421">
        <v>2006</v>
      </c>
      <c r="C1421">
        <v>2566</v>
      </c>
      <c r="D1421">
        <v>1420</v>
      </c>
      <c r="E1421">
        <v>10450</v>
      </c>
      <c r="F1421" t="s">
        <v>25</v>
      </c>
      <c r="G1421">
        <v>12</v>
      </c>
      <c r="H1421" t="s">
        <v>68</v>
      </c>
      <c r="I1421">
        <v>13</v>
      </c>
      <c r="J1421" s="10">
        <f t="shared" si="22"/>
        <v>12</v>
      </c>
    </row>
    <row r="1422" spans="1:10" x14ac:dyDescent="0.2">
      <c r="A1422" s="6">
        <v>43038</v>
      </c>
      <c r="B1422">
        <v>2007</v>
      </c>
      <c r="C1422">
        <v>2566</v>
      </c>
      <c r="D1422">
        <v>1421</v>
      </c>
      <c r="E1422">
        <v>9100</v>
      </c>
      <c r="F1422" t="s">
        <v>25</v>
      </c>
      <c r="G1422">
        <v>7</v>
      </c>
      <c r="H1422" t="s">
        <v>68</v>
      </c>
      <c r="I1422">
        <v>12</v>
      </c>
      <c r="J1422" s="10">
        <f t="shared" si="22"/>
        <v>7</v>
      </c>
    </row>
    <row r="1423" spans="1:10" x14ac:dyDescent="0.2">
      <c r="A1423" s="6">
        <v>42970</v>
      </c>
      <c r="B1423">
        <v>2006</v>
      </c>
      <c r="C1423">
        <v>2566</v>
      </c>
      <c r="D1423">
        <v>1422</v>
      </c>
      <c r="E1423">
        <v>8500</v>
      </c>
      <c r="F1423" t="s">
        <v>25</v>
      </c>
      <c r="G1423">
        <v>7</v>
      </c>
      <c r="H1423" t="s">
        <v>68</v>
      </c>
      <c r="I1423">
        <v>13</v>
      </c>
      <c r="J1423" s="10">
        <f t="shared" si="22"/>
        <v>7</v>
      </c>
    </row>
    <row r="1424" spans="1:10" x14ac:dyDescent="0.2">
      <c r="A1424" s="6">
        <v>42853</v>
      </c>
      <c r="B1424">
        <v>2006</v>
      </c>
      <c r="C1424">
        <v>2566</v>
      </c>
      <c r="D1424">
        <v>1423</v>
      </c>
      <c r="E1424">
        <v>9500</v>
      </c>
      <c r="F1424" t="s">
        <v>25</v>
      </c>
      <c r="G1424">
        <v>12</v>
      </c>
      <c r="H1424" t="s">
        <v>68</v>
      </c>
      <c r="I1424">
        <v>13</v>
      </c>
      <c r="J1424" s="10">
        <f t="shared" si="22"/>
        <v>12</v>
      </c>
    </row>
    <row r="1425" spans="1:10" x14ac:dyDescent="0.2">
      <c r="A1425" s="6">
        <v>42779</v>
      </c>
      <c r="B1425">
        <v>2007</v>
      </c>
      <c r="C1425">
        <v>2566</v>
      </c>
      <c r="D1425">
        <v>1424</v>
      </c>
      <c r="E1425">
        <v>6950</v>
      </c>
      <c r="F1425" t="s">
        <v>25</v>
      </c>
      <c r="G1425">
        <v>9</v>
      </c>
      <c r="H1425" t="s">
        <v>68</v>
      </c>
      <c r="I1425">
        <v>12</v>
      </c>
      <c r="J1425" s="10">
        <f t="shared" si="22"/>
        <v>9</v>
      </c>
    </row>
    <row r="1426" spans="1:10" x14ac:dyDescent="0.2">
      <c r="A1426" s="6">
        <v>42683</v>
      </c>
      <c r="B1426">
        <v>2006</v>
      </c>
      <c r="C1426">
        <v>2566</v>
      </c>
      <c r="D1426">
        <v>1425</v>
      </c>
      <c r="E1426">
        <v>5500</v>
      </c>
      <c r="F1426" t="s">
        <v>25</v>
      </c>
      <c r="G1426">
        <v>10</v>
      </c>
      <c r="H1426" t="s">
        <v>68</v>
      </c>
      <c r="I1426">
        <v>13</v>
      </c>
      <c r="J1426" s="10">
        <f t="shared" si="22"/>
        <v>10</v>
      </c>
    </row>
    <row r="1427" spans="1:10" x14ac:dyDescent="0.2">
      <c r="A1427" s="6">
        <v>42676</v>
      </c>
      <c r="B1427">
        <v>2007</v>
      </c>
      <c r="C1427">
        <v>2566</v>
      </c>
      <c r="D1427">
        <v>1426</v>
      </c>
      <c r="E1427">
        <v>5500</v>
      </c>
      <c r="F1427" t="s">
        <v>25</v>
      </c>
      <c r="G1427">
        <v>10</v>
      </c>
      <c r="H1427" t="s">
        <v>68</v>
      </c>
      <c r="I1427">
        <v>12</v>
      </c>
      <c r="J1427" s="10">
        <f t="shared" si="22"/>
        <v>10</v>
      </c>
    </row>
    <row r="1428" spans="1:10" x14ac:dyDescent="0.2">
      <c r="A1428" s="6">
        <v>42614</v>
      </c>
      <c r="B1428">
        <v>2006</v>
      </c>
      <c r="C1428">
        <v>2566</v>
      </c>
      <c r="D1428">
        <v>1427</v>
      </c>
      <c r="E1428">
        <v>5000</v>
      </c>
      <c r="F1428" t="s">
        <v>25</v>
      </c>
      <c r="G1428">
        <v>40</v>
      </c>
      <c r="H1428" t="s">
        <v>26</v>
      </c>
      <c r="I1428">
        <v>13</v>
      </c>
      <c r="J1428" s="10">
        <f t="shared" si="22"/>
        <v>1</v>
      </c>
    </row>
    <row r="1429" spans="1:10" x14ac:dyDescent="0.2">
      <c r="A1429" s="6">
        <v>42537</v>
      </c>
      <c r="B1429">
        <v>2006</v>
      </c>
      <c r="C1429">
        <v>2566</v>
      </c>
      <c r="D1429">
        <v>1428</v>
      </c>
      <c r="E1429">
        <v>7700</v>
      </c>
      <c r="F1429" t="s">
        <v>25</v>
      </c>
      <c r="G1429">
        <v>10</v>
      </c>
      <c r="H1429" t="s">
        <v>68</v>
      </c>
      <c r="I1429">
        <v>13</v>
      </c>
      <c r="J1429" s="10">
        <f t="shared" si="22"/>
        <v>10</v>
      </c>
    </row>
    <row r="1430" spans="1:10" x14ac:dyDescent="0.2">
      <c r="A1430" s="6">
        <v>42475</v>
      </c>
      <c r="B1430">
        <v>2006</v>
      </c>
      <c r="C1430">
        <v>2566</v>
      </c>
      <c r="D1430">
        <v>1429</v>
      </c>
      <c r="E1430">
        <v>6000</v>
      </c>
      <c r="F1430" t="s">
        <v>25</v>
      </c>
      <c r="G1430">
        <v>6</v>
      </c>
      <c r="H1430" t="s">
        <v>68</v>
      </c>
      <c r="I1430">
        <v>13</v>
      </c>
      <c r="J1430" s="10">
        <f t="shared" si="22"/>
        <v>6</v>
      </c>
    </row>
    <row r="1431" spans="1:10" x14ac:dyDescent="0.2">
      <c r="A1431" s="6">
        <v>42461</v>
      </c>
      <c r="B1431">
        <v>2007</v>
      </c>
      <c r="C1431">
        <v>2566</v>
      </c>
      <c r="D1431">
        <v>1430</v>
      </c>
      <c r="E1431">
        <v>6000</v>
      </c>
      <c r="F1431" t="s">
        <v>25</v>
      </c>
      <c r="G1431">
        <v>12</v>
      </c>
      <c r="H1431" t="s">
        <v>68</v>
      </c>
      <c r="I1431">
        <v>12</v>
      </c>
      <c r="J1431" s="10">
        <f t="shared" si="22"/>
        <v>12</v>
      </c>
    </row>
    <row r="1432" spans="1:10" x14ac:dyDescent="0.2">
      <c r="A1432" s="6">
        <v>42383</v>
      </c>
      <c r="B1432">
        <v>2006</v>
      </c>
      <c r="C1432">
        <v>2566</v>
      </c>
      <c r="D1432">
        <v>1431</v>
      </c>
      <c r="E1432">
        <v>6250</v>
      </c>
      <c r="F1432" t="s">
        <v>25</v>
      </c>
      <c r="G1432">
        <v>3</v>
      </c>
      <c r="H1432" t="s">
        <v>68</v>
      </c>
      <c r="I1432">
        <v>13</v>
      </c>
      <c r="J1432" s="10">
        <f t="shared" si="22"/>
        <v>3</v>
      </c>
    </row>
    <row r="1433" spans="1:10" x14ac:dyDescent="0.2">
      <c r="A1433" s="6">
        <v>43635</v>
      </c>
      <c r="B1433">
        <v>2006</v>
      </c>
      <c r="C1433">
        <v>2572</v>
      </c>
      <c r="D1433">
        <v>1432</v>
      </c>
      <c r="E1433">
        <v>10500</v>
      </c>
      <c r="F1433" t="s">
        <v>25</v>
      </c>
      <c r="G1433">
        <v>3</v>
      </c>
      <c r="H1433" t="s">
        <v>68</v>
      </c>
      <c r="I1433">
        <v>13</v>
      </c>
      <c r="J1433" s="10">
        <f t="shared" si="22"/>
        <v>3</v>
      </c>
    </row>
    <row r="1434" spans="1:10" x14ac:dyDescent="0.2">
      <c r="A1434" s="6">
        <v>43619</v>
      </c>
      <c r="B1434">
        <v>2006</v>
      </c>
      <c r="C1434">
        <v>2572</v>
      </c>
      <c r="D1434">
        <v>1433</v>
      </c>
      <c r="E1434">
        <v>10750</v>
      </c>
      <c r="F1434" t="s">
        <v>25</v>
      </c>
      <c r="G1434">
        <v>35</v>
      </c>
      <c r="H1434" t="s">
        <v>26</v>
      </c>
      <c r="I1434">
        <v>13</v>
      </c>
      <c r="J1434" s="10">
        <f t="shared" si="22"/>
        <v>1</v>
      </c>
    </row>
    <row r="1435" spans="1:10" x14ac:dyDescent="0.2">
      <c r="A1435" s="6">
        <v>43083</v>
      </c>
      <c r="B1435">
        <v>2006</v>
      </c>
      <c r="C1435">
        <v>2572</v>
      </c>
      <c r="D1435">
        <v>1434</v>
      </c>
      <c r="E1435">
        <v>8650</v>
      </c>
      <c r="F1435" t="s">
        <v>25</v>
      </c>
      <c r="G1435">
        <v>6</v>
      </c>
      <c r="H1435" t="s">
        <v>68</v>
      </c>
      <c r="I1435">
        <v>13</v>
      </c>
      <c r="J1435" s="10">
        <f t="shared" si="22"/>
        <v>6</v>
      </c>
    </row>
    <row r="1436" spans="1:10" x14ac:dyDescent="0.2">
      <c r="A1436" s="6">
        <v>42930</v>
      </c>
      <c r="B1436">
        <v>2006</v>
      </c>
      <c r="C1436">
        <v>2572</v>
      </c>
      <c r="D1436">
        <v>1435</v>
      </c>
      <c r="E1436">
        <v>8500</v>
      </c>
      <c r="F1436" t="s">
        <v>25</v>
      </c>
      <c r="G1436">
        <v>5</v>
      </c>
      <c r="H1436" t="s">
        <v>68</v>
      </c>
      <c r="I1436">
        <v>13</v>
      </c>
      <c r="J1436" s="10">
        <f t="shared" si="22"/>
        <v>5</v>
      </c>
    </row>
    <row r="1437" spans="1:10" x14ac:dyDescent="0.2">
      <c r="A1437" s="6">
        <v>42905</v>
      </c>
      <c r="B1437">
        <v>2006</v>
      </c>
      <c r="C1437">
        <v>2572</v>
      </c>
      <c r="D1437">
        <v>1436</v>
      </c>
      <c r="E1437">
        <v>9300</v>
      </c>
      <c r="F1437" t="s">
        <v>25</v>
      </c>
      <c r="G1437">
        <v>70</v>
      </c>
      <c r="H1437" t="s">
        <v>26</v>
      </c>
      <c r="I1437">
        <v>13</v>
      </c>
      <c r="J1437" s="10">
        <f t="shared" si="22"/>
        <v>2</v>
      </c>
    </row>
    <row r="1438" spans="1:10" x14ac:dyDescent="0.2">
      <c r="A1438" s="6">
        <v>42607</v>
      </c>
      <c r="B1438">
        <v>2006</v>
      </c>
      <c r="C1438">
        <v>2572</v>
      </c>
      <c r="D1438">
        <v>1437</v>
      </c>
      <c r="E1438">
        <v>6000</v>
      </c>
      <c r="F1438" t="s">
        <v>25</v>
      </c>
      <c r="G1438">
        <v>6</v>
      </c>
      <c r="H1438" t="s">
        <v>68</v>
      </c>
      <c r="I1438">
        <v>13</v>
      </c>
      <c r="J1438" s="10">
        <f t="shared" si="22"/>
        <v>6</v>
      </c>
    </row>
    <row r="1439" spans="1:10" x14ac:dyDescent="0.2">
      <c r="A1439" s="6">
        <v>42401</v>
      </c>
      <c r="B1439">
        <v>2006</v>
      </c>
      <c r="C1439">
        <v>2572</v>
      </c>
      <c r="D1439">
        <v>1438</v>
      </c>
      <c r="E1439">
        <v>6000</v>
      </c>
      <c r="F1439" t="s">
        <v>25</v>
      </c>
      <c r="G1439">
        <v>9</v>
      </c>
      <c r="H1439" t="s">
        <v>68</v>
      </c>
      <c r="I1439">
        <v>13</v>
      </c>
      <c r="J1439" s="10">
        <f t="shared" si="22"/>
        <v>9</v>
      </c>
    </row>
    <row r="1440" spans="1:10" x14ac:dyDescent="0.2">
      <c r="A1440" s="6">
        <v>43580</v>
      </c>
      <c r="B1440">
        <v>2008</v>
      </c>
      <c r="C1440">
        <v>2578</v>
      </c>
      <c r="D1440">
        <v>1439</v>
      </c>
      <c r="E1440">
        <v>8800</v>
      </c>
      <c r="F1440" t="s">
        <v>25</v>
      </c>
      <c r="G1440">
        <v>5</v>
      </c>
      <c r="H1440" t="s">
        <v>68</v>
      </c>
      <c r="I1440">
        <v>11</v>
      </c>
      <c r="J1440" s="10">
        <f t="shared" si="22"/>
        <v>5</v>
      </c>
    </row>
    <row r="1441" spans="1:10" x14ac:dyDescent="0.2">
      <c r="A1441" s="6">
        <v>43539</v>
      </c>
      <c r="B1441">
        <v>2009</v>
      </c>
      <c r="C1441">
        <v>2578</v>
      </c>
      <c r="D1441">
        <v>1440</v>
      </c>
      <c r="E1441">
        <v>8500</v>
      </c>
      <c r="F1441" t="s">
        <v>25</v>
      </c>
      <c r="G1441">
        <v>12</v>
      </c>
      <c r="H1441" t="s">
        <v>68</v>
      </c>
      <c r="I1441">
        <v>10</v>
      </c>
      <c r="J1441" s="10">
        <f t="shared" si="22"/>
        <v>12</v>
      </c>
    </row>
    <row r="1442" spans="1:10" x14ac:dyDescent="0.2">
      <c r="A1442" s="6">
        <v>43536</v>
      </c>
      <c r="B1442">
        <v>2009</v>
      </c>
      <c r="C1442">
        <v>2578</v>
      </c>
      <c r="D1442">
        <v>1441</v>
      </c>
      <c r="E1442">
        <v>9250</v>
      </c>
      <c r="F1442" t="s">
        <v>25</v>
      </c>
      <c r="G1442">
        <v>4</v>
      </c>
      <c r="H1442" t="s">
        <v>68</v>
      </c>
      <c r="I1442">
        <v>10</v>
      </c>
      <c r="J1442" s="10">
        <f t="shared" si="22"/>
        <v>4</v>
      </c>
    </row>
    <row r="1443" spans="1:10" x14ac:dyDescent="0.2">
      <c r="A1443" s="6">
        <v>43525</v>
      </c>
      <c r="B1443">
        <v>2009</v>
      </c>
      <c r="C1443">
        <v>2578</v>
      </c>
      <c r="D1443">
        <v>1442</v>
      </c>
      <c r="E1443">
        <v>9000</v>
      </c>
      <c r="F1443" t="s">
        <v>25</v>
      </c>
      <c r="G1443">
        <v>8</v>
      </c>
      <c r="H1443" t="s">
        <v>68</v>
      </c>
      <c r="I1443">
        <v>10</v>
      </c>
      <c r="J1443" s="10">
        <f t="shared" si="22"/>
        <v>8</v>
      </c>
    </row>
    <row r="1444" spans="1:10" x14ac:dyDescent="0.2">
      <c r="A1444" s="6">
        <v>43444</v>
      </c>
      <c r="B1444">
        <v>2008</v>
      </c>
      <c r="C1444">
        <v>2578</v>
      </c>
      <c r="D1444">
        <v>1443</v>
      </c>
      <c r="E1444">
        <v>9500</v>
      </c>
      <c r="F1444" t="s">
        <v>25</v>
      </c>
      <c r="G1444">
        <v>3</v>
      </c>
      <c r="H1444" t="s">
        <v>68</v>
      </c>
      <c r="I1444">
        <v>11</v>
      </c>
      <c r="J1444" s="10">
        <f t="shared" si="22"/>
        <v>3</v>
      </c>
    </row>
    <row r="1445" spans="1:10" x14ac:dyDescent="0.2">
      <c r="A1445" s="6">
        <v>43416</v>
      </c>
      <c r="B1445">
        <v>2009</v>
      </c>
      <c r="C1445">
        <v>2578</v>
      </c>
      <c r="D1445">
        <v>1444</v>
      </c>
      <c r="E1445">
        <v>10250</v>
      </c>
      <c r="F1445" t="s">
        <v>25</v>
      </c>
      <c r="G1445">
        <v>6</v>
      </c>
      <c r="H1445" t="s">
        <v>68</v>
      </c>
      <c r="I1445">
        <v>10</v>
      </c>
      <c r="J1445" s="10">
        <f t="shared" si="22"/>
        <v>6</v>
      </c>
    </row>
    <row r="1446" spans="1:10" x14ac:dyDescent="0.2">
      <c r="A1446" s="6">
        <v>43355</v>
      </c>
      <c r="B1446">
        <v>2008</v>
      </c>
      <c r="C1446">
        <v>2578</v>
      </c>
      <c r="D1446">
        <v>1445</v>
      </c>
      <c r="E1446">
        <v>10500</v>
      </c>
      <c r="F1446" t="s">
        <v>25</v>
      </c>
      <c r="G1446">
        <v>6</v>
      </c>
      <c r="H1446" t="s">
        <v>68</v>
      </c>
      <c r="I1446">
        <v>11</v>
      </c>
      <c r="J1446" s="10">
        <f t="shared" si="22"/>
        <v>6</v>
      </c>
    </row>
    <row r="1447" spans="1:10" x14ac:dyDescent="0.2">
      <c r="A1447" s="6">
        <v>43245</v>
      </c>
      <c r="B1447">
        <v>2009</v>
      </c>
      <c r="C1447">
        <v>2578</v>
      </c>
      <c r="D1447">
        <v>1446</v>
      </c>
      <c r="E1447">
        <v>12150</v>
      </c>
      <c r="F1447" t="s">
        <v>25</v>
      </c>
      <c r="G1447">
        <v>5</v>
      </c>
      <c r="H1447" t="s">
        <v>68</v>
      </c>
      <c r="I1447">
        <v>10</v>
      </c>
      <c r="J1447" s="10">
        <f t="shared" si="22"/>
        <v>5</v>
      </c>
    </row>
    <row r="1448" spans="1:10" x14ac:dyDescent="0.2">
      <c r="A1448" s="6">
        <v>43235</v>
      </c>
      <c r="B1448">
        <v>2009</v>
      </c>
      <c r="C1448">
        <v>2578</v>
      </c>
      <c r="D1448">
        <v>1447</v>
      </c>
      <c r="E1448">
        <v>12450</v>
      </c>
      <c r="F1448" t="s">
        <v>25</v>
      </c>
      <c r="G1448">
        <v>12</v>
      </c>
      <c r="H1448" t="s">
        <v>68</v>
      </c>
      <c r="I1448">
        <v>10</v>
      </c>
      <c r="J1448" s="10">
        <f t="shared" si="22"/>
        <v>12</v>
      </c>
    </row>
    <row r="1449" spans="1:10" x14ac:dyDescent="0.2">
      <c r="A1449" s="6">
        <v>43210</v>
      </c>
      <c r="B1449">
        <v>2009</v>
      </c>
      <c r="C1449">
        <v>2578</v>
      </c>
      <c r="D1449">
        <v>1448</v>
      </c>
      <c r="E1449">
        <v>11000</v>
      </c>
      <c r="F1449" t="s">
        <v>25</v>
      </c>
      <c r="G1449">
        <v>12</v>
      </c>
      <c r="H1449" t="s">
        <v>68</v>
      </c>
      <c r="I1449">
        <v>10</v>
      </c>
      <c r="J1449" s="10">
        <f t="shared" si="22"/>
        <v>12</v>
      </c>
    </row>
    <row r="1450" spans="1:10" x14ac:dyDescent="0.2">
      <c r="A1450" s="6">
        <v>43210</v>
      </c>
      <c r="B1450">
        <v>2009</v>
      </c>
      <c r="C1450">
        <v>2578</v>
      </c>
      <c r="D1450">
        <v>1449</v>
      </c>
      <c r="E1450">
        <v>10250</v>
      </c>
      <c r="F1450" t="s">
        <v>25</v>
      </c>
      <c r="G1450">
        <v>6</v>
      </c>
      <c r="H1450" t="s">
        <v>68</v>
      </c>
      <c r="I1450">
        <v>10</v>
      </c>
      <c r="J1450" s="10">
        <f t="shared" si="22"/>
        <v>6</v>
      </c>
    </row>
    <row r="1451" spans="1:10" x14ac:dyDescent="0.2">
      <c r="A1451" s="6">
        <v>43195</v>
      </c>
      <c r="B1451">
        <v>2008</v>
      </c>
      <c r="C1451">
        <v>2578</v>
      </c>
      <c r="D1451">
        <v>1450</v>
      </c>
      <c r="E1451">
        <v>10500</v>
      </c>
      <c r="F1451" t="s">
        <v>25</v>
      </c>
      <c r="G1451">
        <v>6</v>
      </c>
      <c r="H1451" t="s">
        <v>68</v>
      </c>
      <c r="I1451">
        <v>11</v>
      </c>
      <c r="J1451" s="10">
        <f t="shared" si="22"/>
        <v>6</v>
      </c>
    </row>
    <row r="1452" spans="1:10" x14ac:dyDescent="0.2">
      <c r="A1452" s="6">
        <v>43080</v>
      </c>
      <c r="B1452">
        <v>2008</v>
      </c>
      <c r="C1452">
        <v>2578</v>
      </c>
      <c r="D1452">
        <v>1451</v>
      </c>
      <c r="E1452">
        <v>8500</v>
      </c>
      <c r="F1452" t="s">
        <v>25</v>
      </c>
      <c r="G1452">
        <v>8</v>
      </c>
      <c r="H1452" t="s">
        <v>68</v>
      </c>
      <c r="I1452">
        <v>11</v>
      </c>
      <c r="J1452" s="10">
        <f t="shared" si="22"/>
        <v>8</v>
      </c>
    </row>
    <row r="1453" spans="1:10" x14ac:dyDescent="0.2">
      <c r="A1453" s="6">
        <v>43073</v>
      </c>
      <c r="B1453">
        <v>2008</v>
      </c>
      <c r="C1453">
        <v>2578</v>
      </c>
      <c r="D1453">
        <v>1452</v>
      </c>
      <c r="E1453">
        <v>8750</v>
      </c>
      <c r="F1453" t="s">
        <v>25</v>
      </c>
      <c r="G1453">
        <v>1</v>
      </c>
      <c r="H1453" t="s">
        <v>68</v>
      </c>
      <c r="I1453">
        <v>11</v>
      </c>
      <c r="J1453" s="10">
        <f t="shared" si="22"/>
        <v>1</v>
      </c>
    </row>
    <row r="1454" spans="1:10" x14ac:dyDescent="0.2">
      <c r="A1454" s="6">
        <v>43061</v>
      </c>
      <c r="B1454">
        <v>2009</v>
      </c>
      <c r="C1454">
        <v>2578</v>
      </c>
      <c r="D1454">
        <v>1453</v>
      </c>
      <c r="E1454">
        <v>8500</v>
      </c>
      <c r="F1454" t="s">
        <v>25</v>
      </c>
      <c r="G1454">
        <v>5</v>
      </c>
      <c r="H1454" t="s">
        <v>68</v>
      </c>
      <c r="I1454">
        <v>10</v>
      </c>
      <c r="J1454" s="10">
        <f t="shared" si="22"/>
        <v>5</v>
      </c>
    </row>
    <row r="1455" spans="1:10" x14ac:dyDescent="0.2">
      <c r="A1455" s="6">
        <v>43045</v>
      </c>
      <c r="B1455">
        <v>2009</v>
      </c>
      <c r="C1455">
        <v>2578</v>
      </c>
      <c r="D1455">
        <v>1454</v>
      </c>
      <c r="E1455">
        <v>9250</v>
      </c>
      <c r="F1455" t="s">
        <v>25</v>
      </c>
      <c r="G1455">
        <v>6</v>
      </c>
      <c r="H1455" t="s">
        <v>68</v>
      </c>
      <c r="I1455">
        <v>10</v>
      </c>
      <c r="J1455" s="10">
        <f t="shared" si="22"/>
        <v>6</v>
      </c>
    </row>
    <row r="1456" spans="1:10" x14ac:dyDescent="0.2">
      <c r="A1456" s="6">
        <v>43021</v>
      </c>
      <c r="B1456">
        <v>2009</v>
      </c>
      <c r="C1456">
        <v>2578</v>
      </c>
      <c r="D1456">
        <v>1455</v>
      </c>
      <c r="E1456">
        <v>8250</v>
      </c>
      <c r="F1456" t="s">
        <v>25</v>
      </c>
      <c r="G1456">
        <v>6</v>
      </c>
      <c r="H1456" t="s">
        <v>68</v>
      </c>
      <c r="I1456">
        <v>10</v>
      </c>
      <c r="J1456" s="10">
        <f t="shared" si="22"/>
        <v>6</v>
      </c>
    </row>
    <row r="1457" spans="1:10" x14ac:dyDescent="0.2">
      <c r="A1457" s="6">
        <v>42935</v>
      </c>
      <c r="B1457">
        <v>2009</v>
      </c>
      <c r="C1457">
        <v>2578</v>
      </c>
      <c r="D1457">
        <v>1456</v>
      </c>
      <c r="E1457">
        <v>8500</v>
      </c>
      <c r="F1457" t="s">
        <v>25</v>
      </c>
      <c r="G1457">
        <v>4</v>
      </c>
      <c r="H1457" t="s">
        <v>68</v>
      </c>
      <c r="I1457">
        <v>10</v>
      </c>
      <c r="J1457" s="10">
        <f t="shared" si="22"/>
        <v>4</v>
      </c>
    </row>
    <row r="1458" spans="1:10" x14ac:dyDescent="0.2">
      <c r="A1458" s="6">
        <v>42921</v>
      </c>
      <c r="B1458">
        <v>2009</v>
      </c>
      <c r="C1458">
        <v>2578</v>
      </c>
      <c r="D1458">
        <v>1457</v>
      </c>
      <c r="E1458">
        <v>8500</v>
      </c>
      <c r="F1458" t="s">
        <v>25</v>
      </c>
      <c r="G1458">
        <v>4</v>
      </c>
      <c r="H1458" t="s">
        <v>68</v>
      </c>
      <c r="I1458">
        <v>10</v>
      </c>
      <c r="J1458" s="10">
        <f t="shared" si="22"/>
        <v>4</v>
      </c>
    </row>
    <row r="1459" spans="1:10" x14ac:dyDescent="0.2">
      <c r="A1459" s="6">
        <v>42905</v>
      </c>
      <c r="B1459">
        <v>2008</v>
      </c>
      <c r="C1459">
        <v>2578</v>
      </c>
      <c r="D1459">
        <v>1458</v>
      </c>
      <c r="E1459">
        <v>8000</v>
      </c>
      <c r="F1459" t="s">
        <v>25</v>
      </c>
      <c r="G1459">
        <v>6</v>
      </c>
      <c r="H1459" t="s">
        <v>68</v>
      </c>
      <c r="I1459">
        <v>11</v>
      </c>
      <c r="J1459" s="10">
        <f t="shared" si="22"/>
        <v>6</v>
      </c>
    </row>
    <row r="1460" spans="1:10" x14ac:dyDescent="0.2">
      <c r="A1460" s="6">
        <v>42905</v>
      </c>
      <c r="B1460">
        <v>2009</v>
      </c>
      <c r="C1460">
        <v>2578</v>
      </c>
      <c r="D1460">
        <v>1459</v>
      </c>
      <c r="E1460">
        <v>8500</v>
      </c>
      <c r="F1460" t="s">
        <v>25</v>
      </c>
      <c r="G1460">
        <v>4</v>
      </c>
      <c r="H1460" t="s">
        <v>68</v>
      </c>
      <c r="I1460">
        <v>10</v>
      </c>
      <c r="J1460" s="10">
        <f t="shared" si="22"/>
        <v>4</v>
      </c>
    </row>
    <row r="1461" spans="1:10" x14ac:dyDescent="0.2">
      <c r="A1461" s="6">
        <v>42724</v>
      </c>
      <c r="B1461">
        <v>2009</v>
      </c>
      <c r="C1461">
        <v>2578</v>
      </c>
      <c r="D1461">
        <v>1460</v>
      </c>
      <c r="E1461">
        <v>5500</v>
      </c>
      <c r="F1461" t="s">
        <v>25</v>
      </c>
      <c r="G1461">
        <v>180</v>
      </c>
      <c r="H1461" t="s">
        <v>26</v>
      </c>
      <c r="I1461">
        <v>10</v>
      </c>
      <c r="J1461" s="10">
        <f t="shared" si="22"/>
        <v>6</v>
      </c>
    </row>
    <row r="1462" spans="1:10" x14ac:dyDescent="0.2">
      <c r="A1462" s="6">
        <v>42663</v>
      </c>
      <c r="B1462">
        <v>2009</v>
      </c>
      <c r="C1462">
        <v>2578</v>
      </c>
      <c r="D1462">
        <v>1461</v>
      </c>
      <c r="E1462">
        <v>5850</v>
      </c>
      <c r="F1462" t="s">
        <v>25</v>
      </c>
      <c r="G1462">
        <v>7</v>
      </c>
      <c r="H1462" t="s">
        <v>68</v>
      </c>
      <c r="I1462">
        <v>10</v>
      </c>
      <c r="J1462" s="10">
        <f t="shared" si="22"/>
        <v>7</v>
      </c>
    </row>
    <row r="1463" spans="1:10" x14ac:dyDescent="0.2">
      <c r="A1463" s="6">
        <v>42649</v>
      </c>
      <c r="B1463">
        <v>2009</v>
      </c>
      <c r="C1463">
        <v>2578</v>
      </c>
      <c r="D1463">
        <v>1462</v>
      </c>
      <c r="E1463">
        <v>5500</v>
      </c>
      <c r="F1463" t="s">
        <v>25</v>
      </c>
      <c r="G1463">
        <v>6</v>
      </c>
      <c r="H1463" t="s">
        <v>68</v>
      </c>
      <c r="I1463">
        <v>10</v>
      </c>
      <c r="J1463" s="10">
        <f t="shared" si="22"/>
        <v>6</v>
      </c>
    </row>
    <row r="1464" spans="1:10" x14ac:dyDescent="0.2">
      <c r="A1464" s="6">
        <v>42571</v>
      </c>
      <c r="B1464">
        <v>2008</v>
      </c>
      <c r="C1464">
        <v>2578</v>
      </c>
      <c r="D1464">
        <v>1463</v>
      </c>
      <c r="E1464">
        <v>6700</v>
      </c>
      <c r="F1464" t="s">
        <v>25</v>
      </c>
      <c r="G1464">
        <v>6</v>
      </c>
      <c r="H1464" t="s">
        <v>68</v>
      </c>
      <c r="I1464">
        <v>11</v>
      </c>
      <c r="J1464" s="10">
        <f t="shared" si="22"/>
        <v>6</v>
      </c>
    </row>
    <row r="1465" spans="1:10" x14ac:dyDescent="0.2">
      <c r="A1465" s="6">
        <v>42542</v>
      </c>
      <c r="B1465">
        <v>2008</v>
      </c>
      <c r="C1465">
        <v>2578</v>
      </c>
      <c r="D1465">
        <v>1464</v>
      </c>
      <c r="E1465">
        <v>6000</v>
      </c>
      <c r="F1465" t="s">
        <v>25</v>
      </c>
      <c r="G1465">
        <v>12</v>
      </c>
      <c r="H1465" t="s">
        <v>68</v>
      </c>
      <c r="I1465">
        <v>11</v>
      </c>
      <c r="J1465" s="10">
        <f t="shared" si="22"/>
        <v>12</v>
      </c>
    </row>
    <row r="1466" spans="1:10" x14ac:dyDescent="0.2">
      <c r="A1466" s="6">
        <v>42536</v>
      </c>
      <c r="B1466">
        <v>2008</v>
      </c>
      <c r="C1466">
        <v>2578</v>
      </c>
      <c r="D1466">
        <v>1465</v>
      </c>
      <c r="E1466">
        <v>6000</v>
      </c>
      <c r="F1466" t="s">
        <v>25</v>
      </c>
      <c r="G1466">
        <v>12</v>
      </c>
      <c r="H1466" t="s">
        <v>68</v>
      </c>
      <c r="I1466">
        <v>11</v>
      </c>
      <c r="J1466" s="10">
        <f t="shared" si="22"/>
        <v>12</v>
      </c>
    </row>
    <row r="1467" spans="1:10" x14ac:dyDescent="0.2">
      <c r="A1467" s="6">
        <v>42515</v>
      </c>
      <c r="B1467">
        <v>2009</v>
      </c>
      <c r="C1467">
        <v>2578</v>
      </c>
      <c r="D1467">
        <v>1466</v>
      </c>
      <c r="E1467">
        <v>6000</v>
      </c>
      <c r="F1467" t="s">
        <v>25</v>
      </c>
      <c r="G1467">
        <v>3</v>
      </c>
      <c r="H1467" t="s">
        <v>68</v>
      </c>
      <c r="I1467">
        <v>10</v>
      </c>
      <c r="J1467" s="10">
        <f t="shared" si="22"/>
        <v>3</v>
      </c>
    </row>
    <row r="1468" spans="1:10" x14ac:dyDescent="0.2">
      <c r="A1468" s="6">
        <v>42472</v>
      </c>
      <c r="B1468">
        <v>2008</v>
      </c>
      <c r="C1468">
        <v>2578</v>
      </c>
      <c r="D1468">
        <v>1467</v>
      </c>
      <c r="E1468">
        <v>6000</v>
      </c>
      <c r="F1468" t="s">
        <v>25</v>
      </c>
      <c r="G1468">
        <v>3</v>
      </c>
      <c r="H1468" t="s">
        <v>68</v>
      </c>
      <c r="I1468">
        <v>11</v>
      </c>
      <c r="J1468" s="10">
        <f t="shared" si="22"/>
        <v>3</v>
      </c>
    </row>
    <row r="1469" spans="1:10" x14ac:dyDescent="0.2">
      <c r="A1469" s="6">
        <v>42444</v>
      </c>
      <c r="B1469">
        <v>2008</v>
      </c>
      <c r="C1469">
        <v>2578</v>
      </c>
      <c r="D1469">
        <v>1468</v>
      </c>
      <c r="E1469">
        <v>6000</v>
      </c>
      <c r="F1469" t="s">
        <v>25</v>
      </c>
      <c r="G1469">
        <v>5</v>
      </c>
      <c r="H1469" t="s">
        <v>68</v>
      </c>
      <c r="I1469">
        <v>11</v>
      </c>
      <c r="J1469" s="10">
        <f t="shared" si="22"/>
        <v>5</v>
      </c>
    </row>
    <row r="1470" spans="1:10" x14ac:dyDescent="0.2">
      <c r="A1470" s="6">
        <v>42439</v>
      </c>
      <c r="B1470">
        <v>2008</v>
      </c>
      <c r="C1470">
        <v>2578</v>
      </c>
      <c r="D1470">
        <v>1469</v>
      </c>
      <c r="E1470">
        <v>6000</v>
      </c>
      <c r="F1470" t="s">
        <v>25</v>
      </c>
      <c r="G1470">
        <v>30</v>
      </c>
      <c r="H1470" t="s">
        <v>26</v>
      </c>
      <c r="I1470">
        <v>11</v>
      </c>
      <c r="J1470" s="10">
        <f t="shared" si="22"/>
        <v>1</v>
      </c>
    </row>
    <row r="1471" spans="1:10" x14ac:dyDescent="0.2">
      <c r="A1471" s="6">
        <v>42422</v>
      </c>
      <c r="B1471">
        <v>2008</v>
      </c>
      <c r="C1471">
        <v>2578</v>
      </c>
      <c r="D1471">
        <v>1470</v>
      </c>
      <c r="E1471">
        <v>6100</v>
      </c>
      <c r="F1471" t="s">
        <v>25</v>
      </c>
      <c r="G1471">
        <v>7</v>
      </c>
      <c r="H1471" t="s">
        <v>68</v>
      </c>
      <c r="I1471">
        <v>11</v>
      </c>
      <c r="J1471" s="10">
        <f t="shared" si="22"/>
        <v>7</v>
      </c>
    </row>
    <row r="1472" spans="1:10" x14ac:dyDescent="0.2">
      <c r="A1472" s="6">
        <v>42422</v>
      </c>
      <c r="B1472">
        <v>2009</v>
      </c>
      <c r="C1472">
        <v>2578</v>
      </c>
      <c r="D1472">
        <v>1471</v>
      </c>
      <c r="E1472">
        <v>6100</v>
      </c>
      <c r="F1472" t="s">
        <v>25</v>
      </c>
      <c r="G1472">
        <v>7</v>
      </c>
      <c r="H1472" t="s">
        <v>68</v>
      </c>
      <c r="I1472">
        <v>10</v>
      </c>
      <c r="J1472" s="10">
        <f t="shared" si="22"/>
        <v>7</v>
      </c>
    </row>
    <row r="1473" spans="1:10" x14ac:dyDescent="0.2">
      <c r="A1473" s="6">
        <v>43521</v>
      </c>
      <c r="B1473">
        <v>2006</v>
      </c>
      <c r="C1473">
        <v>2602</v>
      </c>
      <c r="D1473">
        <v>1472</v>
      </c>
      <c r="E1473">
        <v>10800</v>
      </c>
      <c r="F1473" t="s">
        <v>25</v>
      </c>
      <c r="G1473">
        <v>5</v>
      </c>
      <c r="H1473" t="s">
        <v>68</v>
      </c>
      <c r="I1473">
        <v>13</v>
      </c>
      <c r="J1473" s="10">
        <f t="shared" si="22"/>
        <v>5</v>
      </c>
    </row>
    <row r="1474" spans="1:10" x14ac:dyDescent="0.2">
      <c r="A1474" s="6">
        <v>43398</v>
      </c>
      <c r="B1474">
        <v>2006</v>
      </c>
      <c r="C1474">
        <v>2602</v>
      </c>
      <c r="D1474">
        <v>1473</v>
      </c>
      <c r="E1474">
        <v>12250</v>
      </c>
      <c r="F1474" t="s">
        <v>25</v>
      </c>
      <c r="G1474">
        <v>12</v>
      </c>
      <c r="H1474" t="s">
        <v>68</v>
      </c>
      <c r="I1474">
        <v>13</v>
      </c>
      <c r="J1474" s="10">
        <f t="shared" ref="J1474:J1537" si="23">IF(H1474="days",ROUND(G1474/30,0),IF(H1474="years",G1474*12,G1474))</f>
        <v>12</v>
      </c>
    </row>
    <row r="1475" spans="1:10" x14ac:dyDescent="0.2">
      <c r="A1475" s="6">
        <v>43344</v>
      </c>
      <c r="B1475">
        <v>2006</v>
      </c>
      <c r="C1475">
        <v>2602</v>
      </c>
      <c r="D1475">
        <v>1474</v>
      </c>
      <c r="E1475">
        <v>12000</v>
      </c>
      <c r="F1475" t="s">
        <v>25</v>
      </c>
      <c r="G1475">
        <v>24</v>
      </c>
      <c r="H1475" t="s">
        <v>68</v>
      </c>
      <c r="I1475">
        <v>13</v>
      </c>
      <c r="J1475" s="10">
        <f t="shared" si="23"/>
        <v>24</v>
      </c>
    </row>
    <row r="1476" spans="1:10" x14ac:dyDescent="0.2">
      <c r="A1476" s="6">
        <v>43344</v>
      </c>
      <c r="B1476">
        <v>2006</v>
      </c>
      <c r="C1476">
        <v>2602</v>
      </c>
      <c r="D1476">
        <v>1475</v>
      </c>
      <c r="E1476">
        <v>12000</v>
      </c>
      <c r="F1476" t="s">
        <v>25</v>
      </c>
      <c r="G1476">
        <v>24</v>
      </c>
      <c r="H1476" t="s">
        <v>68</v>
      </c>
      <c r="I1476">
        <v>13</v>
      </c>
      <c r="J1476" s="10">
        <f t="shared" si="23"/>
        <v>24</v>
      </c>
    </row>
    <row r="1477" spans="1:10" x14ac:dyDescent="0.2">
      <c r="A1477" s="6">
        <v>43172</v>
      </c>
      <c r="B1477">
        <v>2006</v>
      </c>
      <c r="C1477">
        <v>2602</v>
      </c>
      <c r="D1477">
        <v>1476</v>
      </c>
      <c r="E1477">
        <v>10800</v>
      </c>
      <c r="F1477" t="s">
        <v>25</v>
      </c>
      <c r="G1477">
        <v>12</v>
      </c>
      <c r="H1477" t="s">
        <v>68</v>
      </c>
      <c r="I1477">
        <v>13</v>
      </c>
      <c r="J1477" s="10">
        <f t="shared" si="23"/>
        <v>12</v>
      </c>
    </row>
    <row r="1478" spans="1:10" x14ac:dyDescent="0.2">
      <c r="A1478" s="6">
        <v>43066</v>
      </c>
      <c r="B1478">
        <v>2006</v>
      </c>
      <c r="C1478">
        <v>2602</v>
      </c>
      <c r="D1478">
        <v>1477</v>
      </c>
      <c r="E1478">
        <v>10000</v>
      </c>
      <c r="F1478" t="s">
        <v>25</v>
      </c>
      <c r="G1478">
        <v>12</v>
      </c>
      <c r="H1478" t="s">
        <v>68</v>
      </c>
      <c r="I1478">
        <v>13</v>
      </c>
      <c r="J1478" s="10">
        <f t="shared" si="23"/>
        <v>12</v>
      </c>
    </row>
    <row r="1479" spans="1:10" x14ac:dyDescent="0.2">
      <c r="A1479" s="6">
        <v>42985</v>
      </c>
      <c r="B1479">
        <v>2006</v>
      </c>
      <c r="C1479">
        <v>2602</v>
      </c>
      <c r="D1479">
        <v>1478</v>
      </c>
      <c r="E1479">
        <v>9500</v>
      </c>
      <c r="F1479" t="s">
        <v>25</v>
      </c>
      <c r="G1479">
        <v>12</v>
      </c>
      <c r="H1479" t="s">
        <v>68</v>
      </c>
      <c r="I1479">
        <v>13</v>
      </c>
      <c r="J1479" s="10">
        <f t="shared" si="23"/>
        <v>12</v>
      </c>
    </row>
    <row r="1480" spans="1:10" x14ac:dyDescent="0.2">
      <c r="A1480" s="6">
        <v>42985</v>
      </c>
      <c r="B1480">
        <v>2006</v>
      </c>
      <c r="C1480">
        <v>2602</v>
      </c>
      <c r="D1480">
        <v>1479</v>
      </c>
      <c r="E1480">
        <v>9500</v>
      </c>
      <c r="F1480" t="s">
        <v>25</v>
      </c>
      <c r="G1480">
        <v>12</v>
      </c>
      <c r="H1480" t="s">
        <v>68</v>
      </c>
      <c r="I1480">
        <v>13</v>
      </c>
      <c r="J1480" s="10">
        <f t="shared" si="23"/>
        <v>12</v>
      </c>
    </row>
    <row r="1481" spans="1:10" x14ac:dyDescent="0.2">
      <c r="A1481" s="6">
        <v>42704</v>
      </c>
      <c r="B1481">
        <v>2006</v>
      </c>
      <c r="C1481">
        <v>2602</v>
      </c>
      <c r="D1481">
        <v>1480</v>
      </c>
      <c r="E1481">
        <v>7700</v>
      </c>
      <c r="F1481" t="s">
        <v>25</v>
      </c>
      <c r="G1481">
        <v>12</v>
      </c>
      <c r="H1481" t="s">
        <v>68</v>
      </c>
      <c r="I1481">
        <v>13</v>
      </c>
      <c r="J1481" s="10">
        <f t="shared" si="23"/>
        <v>12</v>
      </c>
    </row>
    <row r="1482" spans="1:10" x14ac:dyDescent="0.2">
      <c r="A1482" s="6">
        <v>42623</v>
      </c>
      <c r="B1482">
        <v>2006</v>
      </c>
      <c r="C1482">
        <v>2602</v>
      </c>
      <c r="D1482">
        <v>1481</v>
      </c>
      <c r="E1482">
        <v>9000</v>
      </c>
      <c r="F1482" t="s">
        <v>25</v>
      </c>
      <c r="G1482">
        <v>12</v>
      </c>
      <c r="H1482" t="s">
        <v>68</v>
      </c>
      <c r="I1482">
        <v>13</v>
      </c>
      <c r="J1482" s="10">
        <f t="shared" si="23"/>
        <v>12</v>
      </c>
    </row>
    <row r="1483" spans="1:10" x14ac:dyDescent="0.2">
      <c r="A1483" s="6">
        <v>43490</v>
      </c>
      <c r="B1483">
        <v>2006</v>
      </c>
      <c r="C1483">
        <v>2646</v>
      </c>
      <c r="D1483">
        <v>1482</v>
      </c>
      <c r="E1483">
        <v>8500</v>
      </c>
      <c r="F1483" t="s">
        <v>25</v>
      </c>
      <c r="G1483">
        <v>6</v>
      </c>
      <c r="H1483" t="s">
        <v>68</v>
      </c>
      <c r="I1483">
        <v>13</v>
      </c>
      <c r="J1483" s="10">
        <f t="shared" si="23"/>
        <v>6</v>
      </c>
    </row>
    <row r="1484" spans="1:10" x14ac:dyDescent="0.2">
      <c r="A1484" s="6">
        <v>43393</v>
      </c>
      <c r="B1484">
        <v>2008</v>
      </c>
      <c r="C1484">
        <v>2646</v>
      </c>
      <c r="D1484">
        <v>1483</v>
      </c>
      <c r="E1484">
        <v>9700</v>
      </c>
      <c r="F1484" t="s">
        <v>25</v>
      </c>
      <c r="G1484">
        <v>12</v>
      </c>
      <c r="H1484" t="s">
        <v>68</v>
      </c>
      <c r="I1484">
        <v>11</v>
      </c>
      <c r="J1484" s="10">
        <f t="shared" si="23"/>
        <v>12</v>
      </c>
    </row>
    <row r="1485" spans="1:10" x14ac:dyDescent="0.2">
      <c r="A1485" s="6">
        <v>43343</v>
      </c>
      <c r="B1485">
        <v>2006</v>
      </c>
      <c r="C1485">
        <v>2646</v>
      </c>
      <c r="D1485">
        <v>1484</v>
      </c>
      <c r="E1485">
        <v>10250</v>
      </c>
      <c r="F1485" t="s">
        <v>25</v>
      </c>
      <c r="G1485">
        <v>3.5</v>
      </c>
      <c r="H1485" t="s">
        <v>68</v>
      </c>
      <c r="I1485">
        <v>13</v>
      </c>
      <c r="J1485" s="10">
        <f t="shared" si="23"/>
        <v>3.5</v>
      </c>
    </row>
    <row r="1486" spans="1:10" x14ac:dyDescent="0.2">
      <c r="A1486" s="6">
        <v>43285</v>
      </c>
      <c r="B1486">
        <v>2008</v>
      </c>
      <c r="C1486">
        <v>2646</v>
      </c>
      <c r="D1486">
        <v>1485</v>
      </c>
      <c r="E1486">
        <v>11250</v>
      </c>
      <c r="F1486" t="s">
        <v>25</v>
      </c>
      <c r="G1486">
        <v>5</v>
      </c>
      <c r="H1486" t="s">
        <v>68</v>
      </c>
      <c r="I1486">
        <v>11</v>
      </c>
      <c r="J1486" s="10">
        <f t="shared" si="23"/>
        <v>5</v>
      </c>
    </row>
    <row r="1487" spans="1:10" x14ac:dyDescent="0.2">
      <c r="A1487" s="6">
        <v>43200</v>
      </c>
      <c r="B1487">
        <v>2008</v>
      </c>
      <c r="C1487">
        <v>2646</v>
      </c>
      <c r="D1487">
        <v>1486</v>
      </c>
      <c r="E1487">
        <v>11000</v>
      </c>
      <c r="F1487" t="s">
        <v>25</v>
      </c>
      <c r="G1487">
        <v>56</v>
      </c>
      <c r="H1487" t="s">
        <v>26</v>
      </c>
      <c r="I1487">
        <v>11</v>
      </c>
      <c r="J1487" s="10">
        <f t="shared" si="23"/>
        <v>2</v>
      </c>
    </row>
    <row r="1488" spans="1:10" x14ac:dyDescent="0.2">
      <c r="A1488" s="6">
        <v>42936</v>
      </c>
      <c r="B1488">
        <v>2008</v>
      </c>
      <c r="C1488">
        <v>2646</v>
      </c>
      <c r="D1488">
        <v>1487</v>
      </c>
      <c r="E1488">
        <v>8500</v>
      </c>
      <c r="F1488" t="s">
        <v>25</v>
      </c>
      <c r="G1488">
        <v>8</v>
      </c>
      <c r="H1488" t="s">
        <v>68</v>
      </c>
      <c r="I1488">
        <v>11</v>
      </c>
      <c r="J1488" s="10">
        <f t="shared" si="23"/>
        <v>8</v>
      </c>
    </row>
    <row r="1489" spans="1:10" x14ac:dyDescent="0.2">
      <c r="A1489" s="6">
        <v>42754</v>
      </c>
      <c r="B1489">
        <v>2006</v>
      </c>
      <c r="C1489">
        <v>2646</v>
      </c>
      <c r="D1489">
        <v>1488</v>
      </c>
      <c r="E1489">
        <v>6000</v>
      </c>
      <c r="F1489" t="s">
        <v>25</v>
      </c>
      <c r="G1489">
        <v>8</v>
      </c>
      <c r="H1489" t="s">
        <v>68</v>
      </c>
      <c r="I1489">
        <v>13</v>
      </c>
      <c r="J1489" s="10">
        <f t="shared" si="23"/>
        <v>8</v>
      </c>
    </row>
    <row r="1490" spans="1:10" x14ac:dyDescent="0.2">
      <c r="A1490" s="6">
        <v>43431</v>
      </c>
      <c r="B1490">
        <v>2008</v>
      </c>
      <c r="C1490">
        <v>2650</v>
      </c>
      <c r="D1490">
        <v>1489</v>
      </c>
      <c r="E1490">
        <v>9500</v>
      </c>
      <c r="F1490" t="s">
        <v>25</v>
      </c>
      <c r="G1490">
        <v>10</v>
      </c>
      <c r="H1490" t="s">
        <v>68</v>
      </c>
      <c r="I1490">
        <v>11</v>
      </c>
      <c r="J1490" s="10">
        <f t="shared" si="23"/>
        <v>10</v>
      </c>
    </row>
    <row r="1491" spans="1:10" x14ac:dyDescent="0.2">
      <c r="A1491" s="6">
        <v>43301</v>
      </c>
      <c r="B1491">
        <v>2008</v>
      </c>
      <c r="C1491">
        <v>2650</v>
      </c>
      <c r="D1491">
        <v>1490</v>
      </c>
      <c r="E1491">
        <v>11500</v>
      </c>
      <c r="F1491" t="s">
        <v>25</v>
      </c>
      <c r="G1491">
        <v>3</v>
      </c>
      <c r="H1491" t="s">
        <v>68</v>
      </c>
      <c r="I1491">
        <v>11</v>
      </c>
      <c r="J1491" s="10">
        <f t="shared" si="23"/>
        <v>3</v>
      </c>
    </row>
    <row r="1492" spans="1:10" x14ac:dyDescent="0.2">
      <c r="A1492" s="6">
        <v>43132</v>
      </c>
      <c r="B1492">
        <v>2008</v>
      </c>
      <c r="C1492">
        <v>2650</v>
      </c>
      <c r="D1492">
        <v>1491</v>
      </c>
      <c r="E1492">
        <v>9500</v>
      </c>
      <c r="F1492" t="s">
        <v>25</v>
      </c>
      <c r="G1492">
        <v>6</v>
      </c>
      <c r="H1492" t="s">
        <v>68</v>
      </c>
      <c r="I1492">
        <v>11</v>
      </c>
      <c r="J1492" s="10">
        <f t="shared" si="23"/>
        <v>6</v>
      </c>
    </row>
    <row r="1493" spans="1:10" x14ac:dyDescent="0.2">
      <c r="A1493" s="6">
        <v>42825</v>
      </c>
      <c r="B1493">
        <v>2008</v>
      </c>
      <c r="C1493">
        <v>2650</v>
      </c>
      <c r="D1493">
        <v>1492</v>
      </c>
      <c r="E1493">
        <v>6600</v>
      </c>
      <c r="F1493" t="s">
        <v>25</v>
      </c>
      <c r="G1493">
        <v>9</v>
      </c>
      <c r="H1493" t="s">
        <v>68</v>
      </c>
      <c r="I1493">
        <v>11</v>
      </c>
      <c r="J1493" s="10">
        <f t="shared" si="23"/>
        <v>9</v>
      </c>
    </row>
    <row r="1494" spans="1:10" x14ac:dyDescent="0.2">
      <c r="A1494" s="6">
        <v>42447</v>
      </c>
      <c r="B1494">
        <v>2008</v>
      </c>
      <c r="C1494">
        <v>2650</v>
      </c>
      <c r="D1494">
        <v>1493</v>
      </c>
      <c r="E1494">
        <v>6000</v>
      </c>
      <c r="F1494" t="s">
        <v>25</v>
      </c>
      <c r="G1494">
        <v>12</v>
      </c>
      <c r="H1494" t="s">
        <v>68</v>
      </c>
      <c r="I1494">
        <v>11</v>
      </c>
      <c r="J1494" s="10">
        <f t="shared" si="23"/>
        <v>12</v>
      </c>
    </row>
    <row r="1495" spans="1:10" x14ac:dyDescent="0.2">
      <c r="A1495" s="6">
        <v>43594</v>
      </c>
      <c r="B1495">
        <v>2009</v>
      </c>
      <c r="C1495">
        <v>2664</v>
      </c>
      <c r="D1495">
        <v>1494</v>
      </c>
      <c r="E1495">
        <v>8500</v>
      </c>
      <c r="F1495" t="s">
        <v>25</v>
      </c>
      <c r="G1495">
        <v>3</v>
      </c>
      <c r="H1495" t="s">
        <v>68</v>
      </c>
      <c r="I1495">
        <v>10</v>
      </c>
      <c r="J1495" s="10">
        <f t="shared" si="23"/>
        <v>3</v>
      </c>
    </row>
    <row r="1496" spans="1:10" x14ac:dyDescent="0.2">
      <c r="A1496" s="6">
        <v>43570</v>
      </c>
      <c r="B1496">
        <v>2009</v>
      </c>
      <c r="C1496">
        <v>2664</v>
      </c>
      <c r="D1496">
        <v>1495</v>
      </c>
      <c r="E1496">
        <v>8900</v>
      </c>
      <c r="F1496" t="s">
        <v>25</v>
      </c>
      <c r="G1496">
        <v>35</v>
      </c>
      <c r="H1496" t="s">
        <v>26</v>
      </c>
      <c r="I1496">
        <v>10</v>
      </c>
      <c r="J1496" s="10">
        <f t="shared" si="23"/>
        <v>1</v>
      </c>
    </row>
    <row r="1497" spans="1:10" x14ac:dyDescent="0.2">
      <c r="A1497" s="6">
        <v>43411</v>
      </c>
      <c r="B1497">
        <v>2009</v>
      </c>
      <c r="C1497">
        <v>2664</v>
      </c>
      <c r="D1497">
        <v>1496</v>
      </c>
      <c r="E1497">
        <v>9850</v>
      </c>
      <c r="F1497" t="s">
        <v>25</v>
      </c>
      <c r="G1497">
        <v>8</v>
      </c>
      <c r="H1497" t="s">
        <v>68</v>
      </c>
      <c r="I1497">
        <v>10</v>
      </c>
      <c r="J1497" s="10">
        <f t="shared" si="23"/>
        <v>8</v>
      </c>
    </row>
    <row r="1498" spans="1:10" x14ac:dyDescent="0.2">
      <c r="A1498" s="6">
        <v>43285</v>
      </c>
      <c r="B1498">
        <v>2009</v>
      </c>
      <c r="C1498">
        <v>2664</v>
      </c>
      <c r="D1498">
        <v>1497</v>
      </c>
      <c r="E1498">
        <v>11900</v>
      </c>
      <c r="F1498" t="s">
        <v>25</v>
      </c>
      <c r="G1498">
        <v>4</v>
      </c>
      <c r="H1498" t="s">
        <v>68</v>
      </c>
      <c r="I1498">
        <v>10</v>
      </c>
      <c r="J1498" s="10">
        <f t="shared" si="23"/>
        <v>4</v>
      </c>
    </row>
    <row r="1499" spans="1:10" x14ac:dyDescent="0.2">
      <c r="A1499" s="6">
        <v>43171</v>
      </c>
      <c r="B1499">
        <v>2009</v>
      </c>
      <c r="C1499">
        <v>2664</v>
      </c>
      <c r="D1499">
        <v>1498</v>
      </c>
      <c r="E1499">
        <v>10500</v>
      </c>
      <c r="F1499" t="s">
        <v>25</v>
      </c>
      <c r="G1499">
        <v>4</v>
      </c>
      <c r="H1499" t="s">
        <v>68</v>
      </c>
      <c r="I1499">
        <v>10</v>
      </c>
      <c r="J1499" s="10">
        <f t="shared" si="23"/>
        <v>4</v>
      </c>
    </row>
    <row r="1500" spans="1:10" x14ac:dyDescent="0.2">
      <c r="A1500" s="6">
        <v>43024</v>
      </c>
      <c r="B1500">
        <v>2009</v>
      </c>
      <c r="C1500">
        <v>2664</v>
      </c>
      <c r="D1500">
        <v>1499</v>
      </c>
      <c r="E1500">
        <v>9000</v>
      </c>
      <c r="F1500" t="s">
        <v>25</v>
      </c>
      <c r="G1500">
        <v>7</v>
      </c>
      <c r="H1500" t="s">
        <v>68</v>
      </c>
      <c r="I1500">
        <v>10</v>
      </c>
      <c r="J1500" s="10">
        <f t="shared" si="23"/>
        <v>7</v>
      </c>
    </row>
    <row r="1501" spans="1:10" x14ac:dyDescent="0.2">
      <c r="A1501" s="6">
        <v>42992</v>
      </c>
      <c r="B1501">
        <v>2009</v>
      </c>
      <c r="C1501">
        <v>2664</v>
      </c>
      <c r="D1501">
        <v>1500</v>
      </c>
      <c r="E1501">
        <v>8500</v>
      </c>
      <c r="F1501" t="s">
        <v>25</v>
      </c>
      <c r="G1501">
        <v>6</v>
      </c>
      <c r="H1501" t="s">
        <v>68</v>
      </c>
      <c r="I1501">
        <v>10</v>
      </c>
      <c r="J1501" s="10">
        <f t="shared" si="23"/>
        <v>6</v>
      </c>
    </row>
    <row r="1502" spans="1:10" x14ac:dyDescent="0.2">
      <c r="A1502" s="6">
        <v>42941</v>
      </c>
      <c r="B1502">
        <v>2009</v>
      </c>
      <c r="C1502">
        <v>2664</v>
      </c>
      <c r="D1502">
        <v>1501</v>
      </c>
      <c r="E1502">
        <v>9200</v>
      </c>
      <c r="F1502" t="s">
        <v>25</v>
      </c>
      <c r="G1502">
        <v>4</v>
      </c>
      <c r="H1502" t="s">
        <v>68</v>
      </c>
      <c r="I1502">
        <v>10</v>
      </c>
      <c r="J1502" s="10">
        <f t="shared" si="23"/>
        <v>4</v>
      </c>
    </row>
    <row r="1503" spans="1:10" x14ac:dyDescent="0.2">
      <c r="A1503" s="6">
        <v>42937</v>
      </c>
      <c r="B1503">
        <v>2009</v>
      </c>
      <c r="C1503">
        <v>2664</v>
      </c>
      <c r="D1503">
        <v>1502</v>
      </c>
      <c r="E1503">
        <v>8500</v>
      </c>
      <c r="F1503" t="s">
        <v>25</v>
      </c>
      <c r="G1503">
        <v>9</v>
      </c>
      <c r="H1503" t="s">
        <v>68</v>
      </c>
      <c r="I1503">
        <v>10</v>
      </c>
      <c r="J1503" s="10">
        <f t="shared" si="23"/>
        <v>9</v>
      </c>
    </row>
    <row r="1504" spans="1:10" x14ac:dyDescent="0.2">
      <c r="A1504" s="6">
        <v>42874</v>
      </c>
      <c r="B1504">
        <v>2009</v>
      </c>
      <c r="C1504">
        <v>2664</v>
      </c>
      <c r="D1504">
        <v>1503</v>
      </c>
      <c r="E1504">
        <v>9250</v>
      </c>
      <c r="F1504" t="s">
        <v>25</v>
      </c>
      <c r="G1504">
        <v>6</v>
      </c>
      <c r="H1504" t="s">
        <v>68</v>
      </c>
      <c r="I1504">
        <v>10</v>
      </c>
      <c r="J1504" s="10">
        <f t="shared" si="23"/>
        <v>6</v>
      </c>
    </row>
    <row r="1505" spans="1:10" x14ac:dyDescent="0.2">
      <c r="A1505" s="6">
        <v>42748</v>
      </c>
      <c r="B1505">
        <v>2009</v>
      </c>
      <c r="C1505">
        <v>2664</v>
      </c>
      <c r="D1505">
        <v>1504</v>
      </c>
      <c r="E1505">
        <v>6000</v>
      </c>
      <c r="F1505" t="s">
        <v>25</v>
      </c>
      <c r="G1505">
        <v>4</v>
      </c>
      <c r="H1505" t="s">
        <v>68</v>
      </c>
      <c r="I1505">
        <v>10</v>
      </c>
      <c r="J1505" s="10">
        <f t="shared" si="23"/>
        <v>4</v>
      </c>
    </row>
    <row r="1506" spans="1:10" x14ac:dyDescent="0.2">
      <c r="A1506" s="6">
        <v>42739</v>
      </c>
      <c r="B1506">
        <v>2009</v>
      </c>
      <c r="C1506">
        <v>2664</v>
      </c>
      <c r="D1506">
        <v>1505</v>
      </c>
      <c r="E1506">
        <v>6000</v>
      </c>
      <c r="F1506" t="s">
        <v>25</v>
      </c>
      <c r="G1506">
        <v>4</v>
      </c>
      <c r="H1506" t="s">
        <v>68</v>
      </c>
      <c r="I1506">
        <v>10</v>
      </c>
      <c r="J1506" s="10">
        <f t="shared" si="23"/>
        <v>4</v>
      </c>
    </row>
    <row r="1507" spans="1:10" x14ac:dyDescent="0.2">
      <c r="A1507" s="6">
        <v>42614</v>
      </c>
      <c r="B1507">
        <v>2008</v>
      </c>
      <c r="C1507">
        <v>2664</v>
      </c>
      <c r="D1507">
        <v>1506</v>
      </c>
      <c r="E1507">
        <v>6250</v>
      </c>
      <c r="F1507" t="s">
        <v>25</v>
      </c>
      <c r="G1507">
        <v>7</v>
      </c>
      <c r="H1507" t="s">
        <v>68</v>
      </c>
      <c r="I1507">
        <v>11</v>
      </c>
      <c r="J1507" s="10">
        <f t="shared" si="23"/>
        <v>7</v>
      </c>
    </row>
    <row r="1508" spans="1:10" x14ac:dyDescent="0.2">
      <c r="A1508" s="6">
        <v>42577</v>
      </c>
      <c r="B1508">
        <v>2009</v>
      </c>
      <c r="C1508">
        <v>2664</v>
      </c>
      <c r="D1508">
        <v>1507</v>
      </c>
      <c r="E1508">
        <v>6000</v>
      </c>
      <c r="F1508" t="s">
        <v>25</v>
      </c>
      <c r="G1508">
        <v>6</v>
      </c>
      <c r="H1508" t="s">
        <v>68</v>
      </c>
      <c r="I1508">
        <v>10</v>
      </c>
      <c r="J1508" s="10">
        <f t="shared" si="23"/>
        <v>6</v>
      </c>
    </row>
    <row r="1509" spans="1:10" x14ac:dyDescent="0.2">
      <c r="A1509" s="6">
        <v>42566</v>
      </c>
      <c r="B1509">
        <v>2009</v>
      </c>
      <c r="C1509">
        <v>2664</v>
      </c>
      <c r="D1509">
        <v>1508</v>
      </c>
      <c r="E1509">
        <v>6000</v>
      </c>
      <c r="F1509" t="s">
        <v>25</v>
      </c>
      <c r="G1509">
        <v>8</v>
      </c>
      <c r="H1509" t="s">
        <v>68</v>
      </c>
      <c r="I1509">
        <v>10</v>
      </c>
      <c r="J1509" s="10">
        <f t="shared" si="23"/>
        <v>8</v>
      </c>
    </row>
    <row r="1510" spans="1:10" x14ac:dyDescent="0.2">
      <c r="A1510" s="6">
        <v>42423</v>
      </c>
      <c r="B1510">
        <v>2009</v>
      </c>
      <c r="C1510">
        <v>2664</v>
      </c>
      <c r="D1510">
        <v>1509</v>
      </c>
      <c r="E1510">
        <v>6800</v>
      </c>
      <c r="F1510" t="s">
        <v>25</v>
      </c>
      <c r="G1510">
        <v>6</v>
      </c>
      <c r="H1510" t="s">
        <v>68</v>
      </c>
      <c r="I1510">
        <v>10</v>
      </c>
      <c r="J1510" s="10">
        <f t="shared" si="23"/>
        <v>6</v>
      </c>
    </row>
    <row r="1511" spans="1:10" x14ac:dyDescent="0.2">
      <c r="A1511" s="6">
        <v>42401</v>
      </c>
      <c r="B1511">
        <v>2009</v>
      </c>
      <c r="C1511">
        <v>2664</v>
      </c>
      <c r="D1511">
        <v>1510</v>
      </c>
      <c r="E1511">
        <v>6000</v>
      </c>
      <c r="F1511" t="s">
        <v>25</v>
      </c>
      <c r="G1511">
        <v>6</v>
      </c>
      <c r="H1511" t="s">
        <v>68</v>
      </c>
      <c r="I1511">
        <v>10</v>
      </c>
      <c r="J1511" s="10">
        <f t="shared" si="23"/>
        <v>6</v>
      </c>
    </row>
    <row r="1512" spans="1:10" x14ac:dyDescent="0.2">
      <c r="A1512" s="6">
        <v>43070</v>
      </c>
      <c r="B1512">
        <v>2008</v>
      </c>
      <c r="C1512">
        <v>2690</v>
      </c>
      <c r="D1512">
        <v>1511</v>
      </c>
      <c r="E1512">
        <v>8600</v>
      </c>
      <c r="F1512" t="s">
        <v>25</v>
      </c>
      <c r="G1512">
        <v>49</v>
      </c>
      <c r="H1512" t="s">
        <v>26</v>
      </c>
      <c r="I1512">
        <v>11</v>
      </c>
      <c r="J1512" s="10">
        <f t="shared" si="23"/>
        <v>2</v>
      </c>
    </row>
    <row r="1513" spans="1:10" x14ac:dyDescent="0.2">
      <c r="A1513" s="6">
        <v>42865</v>
      </c>
      <c r="B1513">
        <v>2008</v>
      </c>
      <c r="C1513">
        <v>2690</v>
      </c>
      <c r="D1513">
        <v>1512</v>
      </c>
      <c r="E1513">
        <v>9000</v>
      </c>
      <c r="F1513" t="s">
        <v>25</v>
      </c>
      <c r="G1513">
        <v>6</v>
      </c>
      <c r="H1513" t="s">
        <v>68</v>
      </c>
      <c r="I1513">
        <v>11</v>
      </c>
      <c r="J1513" s="10">
        <f t="shared" si="23"/>
        <v>6</v>
      </c>
    </row>
    <row r="1514" spans="1:10" x14ac:dyDescent="0.2">
      <c r="A1514" s="6">
        <v>42662</v>
      </c>
      <c r="B1514">
        <v>2008</v>
      </c>
      <c r="C1514">
        <v>2690</v>
      </c>
      <c r="D1514">
        <v>1513</v>
      </c>
      <c r="E1514">
        <v>6000</v>
      </c>
      <c r="F1514" t="s">
        <v>25</v>
      </c>
      <c r="G1514">
        <v>8</v>
      </c>
      <c r="H1514" t="s">
        <v>68</v>
      </c>
      <c r="I1514">
        <v>11</v>
      </c>
      <c r="J1514" s="10">
        <f t="shared" si="23"/>
        <v>8</v>
      </c>
    </row>
    <row r="1515" spans="1:10" x14ac:dyDescent="0.2">
      <c r="A1515" s="6">
        <v>43483</v>
      </c>
      <c r="B1515">
        <v>2008</v>
      </c>
      <c r="C1515">
        <v>2700</v>
      </c>
      <c r="D1515">
        <v>1514</v>
      </c>
      <c r="E1515">
        <v>8500</v>
      </c>
      <c r="F1515" t="s">
        <v>25</v>
      </c>
      <c r="G1515">
        <v>9</v>
      </c>
      <c r="H1515" t="s">
        <v>68</v>
      </c>
      <c r="I1515">
        <v>11</v>
      </c>
      <c r="J1515" s="10">
        <f t="shared" si="23"/>
        <v>9</v>
      </c>
    </row>
    <row r="1516" spans="1:10" x14ac:dyDescent="0.2">
      <c r="A1516" s="6">
        <v>43243</v>
      </c>
      <c r="B1516">
        <v>2008</v>
      </c>
      <c r="C1516">
        <v>2700</v>
      </c>
      <c r="D1516">
        <v>1515</v>
      </c>
      <c r="E1516">
        <v>12200</v>
      </c>
      <c r="F1516" t="s">
        <v>25</v>
      </c>
      <c r="G1516">
        <v>6</v>
      </c>
      <c r="H1516" t="s">
        <v>68</v>
      </c>
      <c r="I1516">
        <v>11</v>
      </c>
      <c r="J1516" s="10">
        <f t="shared" si="23"/>
        <v>6</v>
      </c>
    </row>
    <row r="1517" spans="1:10" x14ac:dyDescent="0.2">
      <c r="A1517" s="6">
        <v>43235</v>
      </c>
      <c r="B1517">
        <v>2008</v>
      </c>
      <c r="C1517">
        <v>2700</v>
      </c>
      <c r="D1517">
        <v>1516</v>
      </c>
      <c r="E1517">
        <v>12000</v>
      </c>
      <c r="F1517" t="s">
        <v>25</v>
      </c>
      <c r="G1517">
        <v>6</v>
      </c>
      <c r="H1517" t="s">
        <v>68</v>
      </c>
      <c r="I1517">
        <v>11</v>
      </c>
      <c r="J1517" s="10">
        <f t="shared" si="23"/>
        <v>6</v>
      </c>
    </row>
    <row r="1518" spans="1:10" x14ac:dyDescent="0.2">
      <c r="A1518" s="6">
        <v>43205</v>
      </c>
      <c r="B1518">
        <v>2008</v>
      </c>
      <c r="C1518">
        <v>2700</v>
      </c>
      <c r="D1518">
        <v>1517</v>
      </c>
      <c r="E1518">
        <v>11350</v>
      </c>
      <c r="F1518" t="s">
        <v>25</v>
      </c>
      <c r="G1518">
        <v>6</v>
      </c>
      <c r="H1518" t="s">
        <v>68</v>
      </c>
      <c r="I1518">
        <v>11</v>
      </c>
      <c r="J1518" s="10">
        <f t="shared" si="23"/>
        <v>6</v>
      </c>
    </row>
    <row r="1519" spans="1:10" x14ac:dyDescent="0.2">
      <c r="A1519" s="6">
        <v>42867</v>
      </c>
      <c r="B1519">
        <v>2008</v>
      </c>
      <c r="C1519">
        <v>2700</v>
      </c>
      <c r="D1519">
        <v>1518</v>
      </c>
      <c r="E1519">
        <v>9800</v>
      </c>
      <c r="F1519" t="s">
        <v>25</v>
      </c>
      <c r="G1519">
        <v>12</v>
      </c>
      <c r="H1519" t="s">
        <v>68</v>
      </c>
      <c r="I1519">
        <v>11</v>
      </c>
      <c r="J1519" s="10">
        <f t="shared" si="23"/>
        <v>12</v>
      </c>
    </row>
    <row r="1520" spans="1:10" x14ac:dyDescent="0.2">
      <c r="A1520" s="6">
        <v>42614</v>
      </c>
      <c r="B1520">
        <v>2008</v>
      </c>
      <c r="C1520">
        <v>2700</v>
      </c>
      <c r="D1520">
        <v>1519</v>
      </c>
      <c r="E1520">
        <v>6100</v>
      </c>
      <c r="F1520" t="s">
        <v>25</v>
      </c>
      <c r="G1520">
        <v>9</v>
      </c>
      <c r="H1520" t="s">
        <v>68</v>
      </c>
      <c r="I1520">
        <v>11</v>
      </c>
      <c r="J1520" s="10">
        <f t="shared" si="23"/>
        <v>9</v>
      </c>
    </row>
    <row r="1521" spans="1:10" x14ac:dyDescent="0.2">
      <c r="A1521" s="6">
        <v>42433</v>
      </c>
      <c r="B1521">
        <v>2008</v>
      </c>
      <c r="C1521">
        <v>2700</v>
      </c>
      <c r="D1521">
        <v>1520</v>
      </c>
      <c r="E1521">
        <v>6500</v>
      </c>
      <c r="F1521" t="s">
        <v>25</v>
      </c>
      <c r="G1521">
        <v>9</v>
      </c>
      <c r="H1521" t="s">
        <v>68</v>
      </c>
      <c r="I1521">
        <v>11</v>
      </c>
      <c r="J1521" s="10">
        <f t="shared" si="23"/>
        <v>9</v>
      </c>
    </row>
    <row r="1522" spans="1:10" x14ac:dyDescent="0.2">
      <c r="A1522" s="6">
        <v>43597</v>
      </c>
      <c r="B1522">
        <v>2007</v>
      </c>
      <c r="C1522">
        <v>2702</v>
      </c>
      <c r="D1522">
        <v>1521</v>
      </c>
      <c r="E1522">
        <v>9000</v>
      </c>
      <c r="F1522" t="s">
        <v>25</v>
      </c>
      <c r="G1522">
        <v>10</v>
      </c>
      <c r="H1522" t="s">
        <v>68</v>
      </c>
      <c r="I1522">
        <v>12</v>
      </c>
      <c r="J1522" s="10">
        <f t="shared" si="23"/>
        <v>10</v>
      </c>
    </row>
    <row r="1523" spans="1:10" x14ac:dyDescent="0.2">
      <c r="A1523" s="6">
        <v>43516</v>
      </c>
      <c r="B1523">
        <v>2007</v>
      </c>
      <c r="C1523">
        <v>2702</v>
      </c>
      <c r="D1523">
        <v>1522</v>
      </c>
      <c r="E1523">
        <v>8500</v>
      </c>
      <c r="F1523" t="s">
        <v>25</v>
      </c>
      <c r="G1523">
        <v>4</v>
      </c>
      <c r="H1523" t="s">
        <v>68</v>
      </c>
      <c r="I1523">
        <v>12</v>
      </c>
      <c r="J1523" s="10">
        <f t="shared" si="23"/>
        <v>4</v>
      </c>
    </row>
    <row r="1524" spans="1:10" x14ac:dyDescent="0.2">
      <c r="A1524" s="6">
        <v>43510</v>
      </c>
      <c r="B1524">
        <v>2007</v>
      </c>
      <c r="C1524">
        <v>2702</v>
      </c>
      <c r="D1524">
        <v>1523</v>
      </c>
      <c r="E1524">
        <v>8250</v>
      </c>
      <c r="F1524" t="s">
        <v>25</v>
      </c>
      <c r="G1524">
        <v>3</v>
      </c>
      <c r="H1524" t="s">
        <v>68</v>
      </c>
      <c r="I1524">
        <v>12</v>
      </c>
      <c r="J1524" s="10">
        <f t="shared" si="23"/>
        <v>3</v>
      </c>
    </row>
    <row r="1525" spans="1:10" x14ac:dyDescent="0.2">
      <c r="A1525" s="6">
        <v>43500</v>
      </c>
      <c r="B1525">
        <v>2008</v>
      </c>
      <c r="C1525">
        <v>2702</v>
      </c>
      <c r="D1525">
        <v>1524</v>
      </c>
      <c r="E1525">
        <v>8500</v>
      </c>
      <c r="F1525" t="s">
        <v>25</v>
      </c>
      <c r="G1525">
        <v>5</v>
      </c>
      <c r="H1525" t="s">
        <v>68</v>
      </c>
      <c r="I1525">
        <v>11</v>
      </c>
      <c r="J1525" s="10">
        <f t="shared" si="23"/>
        <v>5</v>
      </c>
    </row>
    <row r="1526" spans="1:10" x14ac:dyDescent="0.2">
      <c r="A1526" s="6">
        <v>43500</v>
      </c>
      <c r="B1526">
        <v>2009</v>
      </c>
      <c r="C1526">
        <v>2702</v>
      </c>
      <c r="D1526">
        <v>1525</v>
      </c>
      <c r="E1526">
        <v>8500</v>
      </c>
      <c r="F1526" t="s">
        <v>25</v>
      </c>
      <c r="G1526">
        <v>8</v>
      </c>
      <c r="H1526" t="s">
        <v>68</v>
      </c>
      <c r="I1526">
        <v>10</v>
      </c>
      <c r="J1526" s="10">
        <f t="shared" si="23"/>
        <v>8</v>
      </c>
    </row>
    <row r="1527" spans="1:10" x14ac:dyDescent="0.2">
      <c r="A1527" s="6">
        <v>43482</v>
      </c>
      <c r="B1527">
        <v>2008</v>
      </c>
      <c r="C1527">
        <v>2702</v>
      </c>
      <c r="D1527">
        <v>1526</v>
      </c>
      <c r="E1527">
        <v>8750</v>
      </c>
      <c r="F1527" t="s">
        <v>25</v>
      </c>
      <c r="G1527">
        <v>8</v>
      </c>
      <c r="H1527" t="s">
        <v>68</v>
      </c>
      <c r="I1527">
        <v>11</v>
      </c>
      <c r="J1527" s="10">
        <f t="shared" si="23"/>
        <v>8</v>
      </c>
    </row>
    <row r="1528" spans="1:10" x14ac:dyDescent="0.2">
      <c r="A1528" s="6">
        <v>43468</v>
      </c>
      <c r="B1528">
        <v>2009</v>
      </c>
      <c r="C1528">
        <v>2702</v>
      </c>
      <c r="D1528">
        <v>1527</v>
      </c>
      <c r="E1528">
        <v>9300</v>
      </c>
      <c r="F1528" t="s">
        <v>25</v>
      </c>
      <c r="G1528">
        <v>30</v>
      </c>
      <c r="H1528" t="s">
        <v>26</v>
      </c>
      <c r="I1528">
        <v>10</v>
      </c>
      <c r="J1528" s="10">
        <f t="shared" si="23"/>
        <v>1</v>
      </c>
    </row>
    <row r="1529" spans="1:10" x14ac:dyDescent="0.2">
      <c r="A1529" s="6">
        <v>43402</v>
      </c>
      <c r="B1529">
        <v>2007</v>
      </c>
      <c r="C1529">
        <v>2702</v>
      </c>
      <c r="D1529">
        <v>1528</v>
      </c>
      <c r="E1529">
        <v>10400</v>
      </c>
      <c r="F1529" t="s">
        <v>25</v>
      </c>
      <c r="G1529">
        <v>5</v>
      </c>
      <c r="H1529" t="s">
        <v>68</v>
      </c>
      <c r="I1529">
        <v>12</v>
      </c>
      <c r="J1529" s="10">
        <f t="shared" si="23"/>
        <v>5</v>
      </c>
    </row>
    <row r="1530" spans="1:10" x14ac:dyDescent="0.2">
      <c r="A1530" s="6">
        <v>43395</v>
      </c>
      <c r="B1530">
        <v>2008</v>
      </c>
      <c r="C1530">
        <v>2702</v>
      </c>
      <c r="D1530">
        <v>1529</v>
      </c>
      <c r="E1530">
        <v>10600</v>
      </c>
      <c r="F1530" t="s">
        <v>25</v>
      </c>
      <c r="G1530">
        <v>6</v>
      </c>
      <c r="H1530" t="s">
        <v>68</v>
      </c>
      <c r="I1530">
        <v>11</v>
      </c>
      <c r="J1530" s="10">
        <f t="shared" si="23"/>
        <v>6</v>
      </c>
    </row>
    <row r="1531" spans="1:10" x14ac:dyDescent="0.2">
      <c r="A1531" s="6">
        <v>43374</v>
      </c>
      <c r="B1531">
        <v>2007</v>
      </c>
      <c r="C1531">
        <v>2702</v>
      </c>
      <c r="D1531">
        <v>1530</v>
      </c>
      <c r="E1531">
        <v>10600</v>
      </c>
      <c r="F1531" t="s">
        <v>25</v>
      </c>
      <c r="G1531">
        <v>6</v>
      </c>
      <c r="H1531" t="s">
        <v>68</v>
      </c>
      <c r="I1531">
        <v>12</v>
      </c>
      <c r="J1531" s="10">
        <f t="shared" si="23"/>
        <v>6</v>
      </c>
    </row>
    <row r="1532" spans="1:10" x14ac:dyDescent="0.2">
      <c r="A1532" s="6">
        <v>43335</v>
      </c>
      <c r="B1532">
        <v>2008</v>
      </c>
      <c r="C1532">
        <v>2702</v>
      </c>
      <c r="D1532">
        <v>1531</v>
      </c>
      <c r="E1532">
        <v>11200</v>
      </c>
      <c r="F1532" t="s">
        <v>25</v>
      </c>
      <c r="G1532">
        <v>9</v>
      </c>
      <c r="H1532" t="s">
        <v>68</v>
      </c>
      <c r="I1532">
        <v>11</v>
      </c>
      <c r="J1532" s="10">
        <f t="shared" si="23"/>
        <v>9</v>
      </c>
    </row>
    <row r="1533" spans="1:10" x14ac:dyDescent="0.2">
      <c r="A1533" s="6">
        <v>43285</v>
      </c>
      <c r="B1533">
        <v>2008</v>
      </c>
      <c r="C1533">
        <v>2702</v>
      </c>
      <c r="D1533">
        <v>1532</v>
      </c>
      <c r="E1533">
        <v>12500</v>
      </c>
      <c r="F1533" t="s">
        <v>25</v>
      </c>
      <c r="G1533">
        <v>4</v>
      </c>
      <c r="H1533" t="s">
        <v>68</v>
      </c>
      <c r="I1533">
        <v>11</v>
      </c>
      <c r="J1533" s="10">
        <f t="shared" si="23"/>
        <v>4</v>
      </c>
    </row>
    <row r="1534" spans="1:10" x14ac:dyDescent="0.2">
      <c r="A1534" s="6">
        <v>43271</v>
      </c>
      <c r="B1534">
        <v>2007</v>
      </c>
      <c r="C1534">
        <v>2702</v>
      </c>
      <c r="D1534">
        <v>1533</v>
      </c>
      <c r="E1534">
        <v>12000</v>
      </c>
      <c r="F1534" t="s">
        <v>25</v>
      </c>
      <c r="G1534">
        <v>6</v>
      </c>
      <c r="H1534" t="s">
        <v>68</v>
      </c>
      <c r="I1534">
        <v>12</v>
      </c>
      <c r="J1534" s="10">
        <f t="shared" si="23"/>
        <v>6</v>
      </c>
    </row>
    <row r="1535" spans="1:10" x14ac:dyDescent="0.2">
      <c r="A1535" s="6">
        <v>43262</v>
      </c>
      <c r="B1535">
        <v>2006</v>
      </c>
      <c r="C1535">
        <v>2702</v>
      </c>
      <c r="D1535">
        <v>1534</v>
      </c>
      <c r="E1535">
        <v>12150</v>
      </c>
      <c r="F1535" t="s">
        <v>25</v>
      </c>
      <c r="G1535">
        <v>7</v>
      </c>
      <c r="H1535" t="s">
        <v>68</v>
      </c>
      <c r="I1535">
        <v>13</v>
      </c>
      <c r="J1535" s="10">
        <f t="shared" si="23"/>
        <v>7</v>
      </c>
    </row>
    <row r="1536" spans="1:10" x14ac:dyDescent="0.2">
      <c r="A1536" s="6">
        <v>43257</v>
      </c>
      <c r="B1536">
        <v>2007</v>
      </c>
      <c r="C1536">
        <v>2702</v>
      </c>
      <c r="D1536">
        <v>1535</v>
      </c>
      <c r="E1536">
        <v>12000</v>
      </c>
      <c r="F1536" t="s">
        <v>25</v>
      </c>
      <c r="G1536">
        <v>12</v>
      </c>
      <c r="H1536" t="s">
        <v>68</v>
      </c>
      <c r="I1536">
        <v>12</v>
      </c>
      <c r="J1536" s="10">
        <f t="shared" si="23"/>
        <v>12</v>
      </c>
    </row>
    <row r="1537" spans="1:10" x14ac:dyDescent="0.2">
      <c r="A1537" s="6">
        <v>43256</v>
      </c>
      <c r="B1537">
        <v>2007</v>
      </c>
      <c r="C1537">
        <v>2702</v>
      </c>
      <c r="D1537">
        <v>1536</v>
      </c>
      <c r="E1537">
        <v>12500</v>
      </c>
      <c r="F1537" t="s">
        <v>25</v>
      </c>
      <c r="G1537">
        <v>11</v>
      </c>
      <c r="H1537" t="s">
        <v>68</v>
      </c>
      <c r="I1537">
        <v>12</v>
      </c>
      <c r="J1537" s="10">
        <f t="shared" si="23"/>
        <v>11</v>
      </c>
    </row>
    <row r="1538" spans="1:10" x14ac:dyDescent="0.2">
      <c r="A1538" s="6">
        <v>43252</v>
      </c>
      <c r="B1538">
        <v>2009</v>
      </c>
      <c r="C1538">
        <v>2702</v>
      </c>
      <c r="D1538">
        <v>1537</v>
      </c>
      <c r="E1538">
        <v>12500</v>
      </c>
      <c r="F1538" t="s">
        <v>25</v>
      </c>
      <c r="G1538">
        <v>6</v>
      </c>
      <c r="H1538" t="s">
        <v>68</v>
      </c>
      <c r="I1538">
        <v>10</v>
      </c>
      <c r="J1538" s="10">
        <f t="shared" ref="J1538:J1601" si="24">IF(H1538="days",ROUND(G1538/30,0),IF(H1538="years",G1538*12,G1538))</f>
        <v>6</v>
      </c>
    </row>
    <row r="1539" spans="1:10" x14ac:dyDescent="0.2">
      <c r="A1539" s="6">
        <v>43252</v>
      </c>
      <c r="B1539">
        <v>2008</v>
      </c>
      <c r="C1539">
        <v>2702</v>
      </c>
      <c r="D1539">
        <v>1538</v>
      </c>
      <c r="E1539">
        <v>12500</v>
      </c>
      <c r="F1539" t="s">
        <v>25</v>
      </c>
      <c r="G1539">
        <v>3</v>
      </c>
      <c r="H1539" t="s">
        <v>68</v>
      </c>
      <c r="I1539">
        <v>11</v>
      </c>
      <c r="J1539" s="10">
        <f t="shared" si="24"/>
        <v>3</v>
      </c>
    </row>
    <row r="1540" spans="1:10" x14ac:dyDescent="0.2">
      <c r="A1540" s="6">
        <v>43231</v>
      </c>
      <c r="B1540">
        <v>2007</v>
      </c>
      <c r="C1540">
        <v>2702</v>
      </c>
      <c r="D1540">
        <v>1539</v>
      </c>
      <c r="E1540">
        <v>12000</v>
      </c>
      <c r="F1540" t="s">
        <v>25</v>
      </c>
      <c r="G1540">
        <v>12</v>
      </c>
      <c r="H1540" t="s">
        <v>68</v>
      </c>
      <c r="I1540">
        <v>12</v>
      </c>
      <c r="J1540" s="10">
        <f t="shared" si="24"/>
        <v>12</v>
      </c>
    </row>
    <row r="1541" spans="1:10" x14ac:dyDescent="0.2">
      <c r="A1541" s="6">
        <v>43131</v>
      </c>
      <c r="B1541">
        <v>2007</v>
      </c>
      <c r="C1541">
        <v>2702</v>
      </c>
      <c r="D1541">
        <v>1540</v>
      </c>
      <c r="E1541">
        <v>9500</v>
      </c>
      <c r="F1541" t="s">
        <v>25</v>
      </c>
      <c r="G1541">
        <v>5</v>
      </c>
      <c r="H1541" t="s">
        <v>68</v>
      </c>
      <c r="I1541">
        <v>12</v>
      </c>
      <c r="J1541" s="10">
        <f t="shared" si="24"/>
        <v>5</v>
      </c>
    </row>
    <row r="1542" spans="1:10" x14ac:dyDescent="0.2">
      <c r="A1542" s="6">
        <v>43021</v>
      </c>
      <c r="B1542">
        <v>2007</v>
      </c>
      <c r="C1542">
        <v>2702</v>
      </c>
      <c r="D1542">
        <v>1541</v>
      </c>
      <c r="E1542">
        <v>9500</v>
      </c>
      <c r="F1542" t="s">
        <v>25</v>
      </c>
      <c r="G1542">
        <v>6</v>
      </c>
      <c r="H1542" t="s">
        <v>68</v>
      </c>
      <c r="I1542">
        <v>12</v>
      </c>
      <c r="J1542" s="10">
        <f t="shared" si="24"/>
        <v>6</v>
      </c>
    </row>
    <row r="1543" spans="1:10" x14ac:dyDescent="0.2">
      <c r="A1543" s="6">
        <v>42984</v>
      </c>
      <c r="B1543">
        <v>2007</v>
      </c>
      <c r="C1543">
        <v>2702</v>
      </c>
      <c r="D1543">
        <v>1542</v>
      </c>
      <c r="E1543">
        <v>9500</v>
      </c>
      <c r="F1543" t="s">
        <v>25</v>
      </c>
      <c r="G1543">
        <v>7</v>
      </c>
      <c r="H1543" t="s">
        <v>68</v>
      </c>
      <c r="I1543">
        <v>12</v>
      </c>
      <c r="J1543" s="10">
        <f t="shared" si="24"/>
        <v>7</v>
      </c>
    </row>
    <row r="1544" spans="1:10" x14ac:dyDescent="0.2">
      <c r="A1544" s="6">
        <v>42948</v>
      </c>
      <c r="B1544">
        <v>2008</v>
      </c>
      <c r="C1544">
        <v>2702</v>
      </c>
      <c r="D1544">
        <v>1543</v>
      </c>
      <c r="E1544">
        <v>9350</v>
      </c>
      <c r="F1544" t="s">
        <v>25</v>
      </c>
      <c r="G1544">
        <v>9</v>
      </c>
      <c r="H1544" t="s">
        <v>68</v>
      </c>
      <c r="I1544">
        <v>11</v>
      </c>
      <c r="J1544" s="10">
        <f t="shared" si="24"/>
        <v>9</v>
      </c>
    </row>
    <row r="1545" spans="1:10" x14ac:dyDescent="0.2">
      <c r="A1545" s="6">
        <v>42940</v>
      </c>
      <c r="B1545">
        <v>2007</v>
      </c>
      <c r="C1545">
        <v>2702</v>
      </c>
      <c r="D1545">
        <v>1544</v>
      </c>
      <c r="E1545">
        <v>8500</v>
      </c>
      <c r="F1545" t="s">
        <v>25</v>
      </c>
      <c r="G1545">
        <v>4</v>
      </c>
      <c r="H1545" t="s">
        <v>68</v>
      </c>
      <c r="I1545">
        <v>12</v>
      </c>
      <c r="J1545" s="10">
        <f t="shared" si="24"/>
        <v>4</v>
      </c>
    </row>
    <row r="1546" spans="1:10" x14ac:dyDescent="0.2">
      <c r="A1546" s="6">
        <v>42887</v>
      </c>
      <c r="B1546">
        <v>2009</v>
      </c>
      <c r="C1546">
        <v>2702</v>
      </c>
      <c r="D1546">
        <v>1545</v>
      </c>
      <c r="E1546">
        <v>9800</v>
      </c>
      <c r="F1546" t="s">
        <v>25</v>
      </c>
      <c r="G1546">
        <v>12</v>
      </c>
      <c r="H1546" t="s">
        <v>68</v>
      </c>
      <c r="I1546">
        <v>10</v>
      </c>
      <c r="J1546" s="10">
        <f t="shared" si="24"/>
        <v>12</v>
      </c>
    </row>
    <row r="1547" spans="1:10" x14ac:dyDescent="0.2">
      <c r="A1547" s="6">
        <v>42879</v>
      </c>
      <c r="B1547">
        <v>2008</v>
      </c>
      <c r="C1547">
        <v>2702</v>
      </c>
      <c r="D1547">
        <v>1546</v>
      </c>
      <c r="E1547">
        <v>9800</v>
      </c>
      <c r="F1547" t="s">
        <v>25</v>
      </c>
      <c r="G1547">
        <v>12</v>
      </c>
      <c r="H1547" t="s">
        <v>68</v>
      </c>
      <c r="I1547">
        <v>11</v>
      </c>
      <c r="J1547" s="10">
        <f t="shared" si="24"/>
        <v>12</v>
      </c>
    </row>
    <row r="1548" spans="1:10" x14ac:dyDescent="0.2">
      <c r="A1548" s="6">
        <v>42859</v>
      </c>
      <c r="B1548">
        <v>2008</v>
      </c>
      <c r="C1548">
        <v>2702</v>
      </c>
      <c r="D1548">
        <v>1547</v>
      </c>
      <c r="E1548">
        <v>9800</v>
      </c>
      <c r="F1548" t="s">
        <v>25</v>
      </c>
      <c r="G1548">
        <v>6</v>
      </c>
      <c r="H1548" t="s">
        <v>68</v>
      </c>
      <c r="I1548">
        <v>11</v>
      </c>
      <c r="J1548" s="10">
        <f t="shared" si="24"/>
        <v>6</v>
      </c>
    </row>
    <row r="1549" spans="1:10" x14ac:dyDescent="0.2">
      <c r="A1549" s="6">
        <v>42811</v>
      </c>
      <c r="B1549">
        <v>2007</v>
      </c>
      <c r="C1549">
        <v>2702</v>
      </c>
      <c r="D1549">
        <v>1548</v>
      </c>
      <c r="E1549">
        <v>6750</v>
      </c>
      <c r="F1549" t="s">
        <v>25</v>
      </c>
      <c r="G1549">
        <v>6</v>
      </c>
      <c r="H1549" t="s">
        <v>68</v>
      </c>
      <c r="I1549">
        <v>12</v>
      </c>
      <c r="J1549" s="10">
        <f t="shared" si="24"/>
        <v>6</v>
      </c>
    </row>
    <row r="1550" spans="1:10" x14ac:dyDescent="0.2">
      <c r="A1550" s="6">
        <v>42758</v>
      </c>
      <c r="B1550">
        <v>2007</v>
      </c>
      <c r="C1550">
        <v>2702</v>
      </c>
      <c r="D1550">
        <v>1549</v>
      </c>
      <c r="E1550">
        <v>6100</v>
      </c>
      <c r="F1550" t="s">
        <v>25</v>
      </c>
      <c r="G1550">
        <v>6</v>
      </c>
      <c r="H1550" t="s">
        <v>68</v>
      </c>
      <c r="I1550">
        <v>12</v>
      </c>
      <c r="J1550" s="10">
        <f t="shared" si="24"/>
        <v>6</v>
      </c>
    </row>
    <row r="1551" spans="1:10" x14ac:dyDescent="0.2">
      <c r="A1551" s="6">
        <v>42754</v>
      </c>
      <c r="B1551">
        <v>2007</v>
      </c>
      <c r="C1551">
        <v>2702</v>
      </c>
      <c r="D1551">
        <v>1550</v>
      </c>
      <c r="E1551">
        <v>6100</v>
      </c>
      <c r="F1551" t="s">
        <v>25</v>
      </c>
      <c r="G1551">
        <v>8</v>
      </c>
      <c r="H1551" t="s">
        <v>68</v>
      </c>
      <c r="I1551">
        <v>12</v>
      </c>
      <c r="J1551" s="10">
        <f t="shared" si="24"/>
        <v>8</v>
      </c>
    </row>
    <row r="1552" spans="1:10" x14ac:dyDescent="0.2">
      <c r="A1552" s="6">
        <v>42754</v>
      </c>
      <c r="B1552">
        <v>2007</v>
      </c>
      <c r="C1552">
        <v>2702</v>
      </c>
      <c r="D1552">
        <v>1551</v>
      </c>
      <c r="E1552">
        <v>6100</v>
      </c>
      <c r="F1552" t="s">
        <v>25</v>
      </c>
      <c r="G1552">
        <v>6</v>
      </c>
      <c r="H1552" t="s">
        <v>68</v>
      </c>
      <c r="I1552">
        <v>12</v>
      </c>
      <c r="J1552" s="10">
        <f t="shared" si="24"/>
        <v>6</v>
      </c>
    </row>
    <row r="1553" spans="1:10" x14ac:dyDescent="0.2">
      <c r="A1553" s="6">
        <v>42697</v>
      </c>
      <c r="B1553">
        <v>2008</v>
      </c>
      <c r="C1553">
        <v>2702</v>
      </c>
      <c r="D1553">
        <v>1552</v>
      </c>
      <c r="E1553">
        <v>6100</v>
      </c>
      <c r="F1553" t="s">
        <v>25</v>
      </c>
      <c r="G1553">
        <v>6</v>
      </c>
      <c r="H1553" t="s">
        <v>68</v>
      </c>
      <c r="I1553">
        <v>11</v>
      </c>
      <c r="J1553" s="10">
        <f t="shared" si="24"/>
        <v>6</v>
      </c>
    </row>
    <row r="1554" spans="1:10" x14ac:dyDescent="0.2">
      <c r="A1554" s="6">
        <v>42669</v>
      </c>
      <c r="B1554">
        <v>2008</v>
      </c>
      <c r="C1554">
        <v>2702</v>
      </c>
      <c r="D1554">
        <v>1553</v>
      </c>
      <c r="E1554">
        <v>6000</v>
      </c>
      <c r="F1554" t="s">
        <v>25</v>
      </c>
      <c r="G1554">
        <v>7</v>
      </c>
      <c r="H1554" t="s">
        <v>68</v>
      </c>
      <c r="I1554">
        <v>11</v>
      </c>
      <c r="J1554" s="10">
        <f t="shared" si="24"/>
        <v>7</v>
      </c>
    </row>
    <row r="1555" spans="1:10" x14ac:dyDescent="0.2">
      <c r="A1555" s="6">
        <v>42663</v>
      </c>
      <c r="B1555">
        <v>2009</v>
      </c>
      <c r="C1555">
        <v>2702</v>
      </c>
      <c r="D1555">
        <v>1554</v>
      </c>
      <c r="E1555">
        <v>6000</v>
      </c>
      <c r="F1555" t="s">
        <v>25</v>
      </c>
      <c r="G1555">
        <v>7</v>
      </c>
      <c r="H1555" t="s">
        <v>68</v>
      </c>
      <c r="I1555">
        <v>10</v>
      </c>
      <c r="J1555" s="10">
        <f t="shared" si="24"/>
        <v>7</v>
      </c>
    </row>
    <row r="1556" spans="1:10" x14ac:dyDescent="0.2">
      <c r="A1556" s="6">
        <v>42629</v>
      </c>
      <c r="B1556">
        <v>2007</v>
      </c>
      <c r="C1556">
        <v>2702</v>
      </c>
      <c r="D1556">
        <v>1555</v>
      </c>
      <c r="E1556">
        <v>6100</v>
      </c>
      <c r="F1556" t="s">
        <v>25</v>
      </c>
      <c r="G1556">
        <v>9</v>
      </c>
      <c r="H1556" t="s">
        <v>68</v>
      </c>
      <c r="I1556">
        <v>12</v>
      </c>
      <c r="J1556" s="10">
        <f t="shared" si="24"/>
        <v>9</v>
      </c>
    </row>
    <row r="1557" spans="1:10" x14ac:dyDescent="0.2">
      <c r="A1557" s="6">
        <v>42597</v>
      </c>
      <c r="B1557">
        <v>2007</v>
      </c>
      <c r="C1557">
        <v>2702</v>
      </c>
      <c r="D1557">
        <v>1556</v>
      </c>
      <c r="E1557">
        <v>6150</v>
      </c>
      <c r="F1557" t="s">
        <v>25</v>
      </c>
      <c r="G1557">
        <v>8</v>
      </c>
      <c r="H1557" t="s">
        <v>68</v>
      </c>
      <c r="I1557">
        <v>12</v>
      </c>
      <c r="J1557" s="10">
        <f t="shared" si="24"/>
        <v>8</v>
      </c>
    </row>
    <row r="1558" spans="1:10" x14ac:dyDescent="0.2">
      <c r="A1558" s="6">
        <v>42563</v>
      </c>
      <c r="B1558">
        <v>2008</v>
      </c>
      <c r="C1558">
        <v>2702</v>
      </c>
      <c r="D1558">
        <v>1557</v>
      </c>
      <c r="E1558">
        <v>6350</v>
      </c>
      <c r="F1558" t="s">
        <v>25</v>
      </c>
      <c r="G1558">
        <v>4</v>
      </c>
      <c r="H1558" t="s">
        <v>68</v>
      </c>
      <c r="I1558">
        <v>11</v>
      </c>
      <c r="J1558" s="10">
        <f t="shared" si="24"/>
        <v>4</v>
      </c>
    </row>
    <row r="1559" spans="1:10" x14ac:dyDescent="0.2">
      <c r="A1559" s="6">
        <v>42552</v>
      </c>
      <c r="B1559">
        <v>2007</v>
      </c>
      <c r="C1559">
        <v>2702</v>
      </c>
      <c r="D1559">
        <v>1558</v>
      </c>
      <c r="E1559">
        <v>6350</v>
      </c>
      <c r="F1559" t="s">
        <v>25</v>
      </c>
      <c r="G1559">
        <v>8</v>
      </c>
      <c r="H1559" t="s">
        <v>68</v>
      </c>
      <c r="I1559">
        <v>12</v>
      </c>
      <c r="J1559" s="10">
        <f t="shared" si="24"/>
        <v>8</v>
      </c>
    </row>
    <row r="1560" spans="1:10" x14ac:dyDescent="0.2">
      <c r="A1560" s="6">
        <v>42542</v>
      </c>
      <c r="B1560">
        <v>2007</v>
      </c>
      <c r="C1560">
        <v>2702</v>
      </c>
      <c r="D1560">
        <v>1559</v>
      </c>
      <c r="E1560">
        <v>6400</v>
      </c>
      <c r="F1560" t="s">
        <v>25</v>
      </c>
      <c r="G1560">
        <v>4</v>
      </c>
      <c r="H1560" t="s">
        <v>68</v>
      </c>
      <c r="I1560">
        <v>12</v>
      </c>
      <c r="J1560" s="10">
        <f t="shared" si="24"/>
        <v>4</v>
      </c>
    </row>
    <row r="1561" spans="1:10" x14ac:dyDescent="0.2">
      <c r="A1561" s="6">
        <v>42538</v>
      </c>
      <c r="B1561">
        <v>2008</v>
      </c>
      <c r="C1561">
        <v>2702</v>
      </c>
      <c r="D1561">
        <v>1560</v>
      </c>
      <c r="E1561">
        <v>6400</v>
      </c>
      <c r="F1561" t="s">
        <v>25</v>
      </c>
      <c r="G1561">
        <v>5</v>
      </c>
      <c r="H1561" t="s">
        <v>68</v>
      </c>
      <c r="I1561">
        <v>11</v>
      </c>
      <c r="J1561" s="10">
        <f t="shared" si="24"/>
        <v>5</v>
      </c>
    </row>
    <row r="1562" spans="1:10" x14ac:dyDescent="0.2">
      <c r="A1562" s="6">
        <v>42450</v>
      </c>
      <c r="B1562">
        <v>2009</v>
      </c>
      <c r="C1562">
        <v>2702</v>
      </c>
      <c r="D1562">
        <v>1561</v>
      </c>
      <c r="E1562">
        <v>6500</v>
      </c>
      <c r="F1562" t="s">
        <v>25</v>
      </c>
      <c r="G1562">
        <v>7</v>
      </c>
      <c r="H1562" t="s">
        <v>68</v>
      </c>
      <c r="I1562">
        <v>10</v>
      </c>
      <c r="J1562" s="10">
        <f t="shared" si="24"/>
        <v>7</v>
      </c>
    </row>
    <row r="1563" spans="1:10" x14ac:dyDescent="0.2">
      <c r="A1563" s="6">
        <v>42410</v>
      </c>
      <c r="B1563">
        <v>2008</v>
      </c>
      <c r="C1563">
        <v>2702</v>
      </c>
      <c r="D1563">
        <v>1562</v>
      </c>
      <c r="E1563">
        <v>6500</v>
      </c>
      <c r="F1563" t="s">
        <v>25</v>
      </c>
      <c r="G1563">
        <v>7</v>
      </c>
      <c r="H1563" t="s">
        <v>68</v>
      </c>
      <c r="I1563">
        <v>11</v>
      </c>
      <c r="J1563" s="10">
        <f t="shared" si="24"/>
        <v>7</v>
      </c>
    </row>
    <row r="1564" spans="1:10" x14ac:dyDescent="0.2">
      <c r="A1564" s="6">
        <v>42403</v>
      </c>
      <c r="B1564">
        <v>2008</v>
      </c>
      <c r="C1564">
        <v>2702</v>
      </c>
      <c r="D1564">
        <v>1563</v>
      </c>
      <c r="E1564">
        <v>6350</v>
      </c>
      <c r="F1564" t="s">
        <v>25</v>
      </c>
      <c r="G1564">
        <v>6</v>
      </c>
      <c r="H1564" t="s">
        <v>68</v>
      </c>
      <c r="I1564">
        <v>11</v>
      </c>
      <c r="J1564" s="10">
        <f t="shared" si="24"/>
        <v>6</v>
      </c>
    </row>
    <row r="1565" spans="1:10" x14ac:dyDescent="0.2">
      <c r="A1565" s="6">
        <v>42383</v>
      </c>
      <c r="B1565">
        <v>2007</v>
      </c>
      <c r="C1565">
        <v>2702</v>
      </c>
      <c r="D1565">
        <v>1564</v>
      </c>
      <c r="E1565">
        <v>6250</v>
      </c>
      <c r="F1565" t="s">
        <v>25</v>
      </c>
      <c r="G1565">
        <v>9</v>
      </c>
      <c r="H1565" t="s">
        <v>68</v>
      </c>
      <c r="I1565">
        <v>12</v>
      </c>
      <c r="J1565" s="10">
        <f t="shared" si="24"/>
        <v>9</v>
      </c>
    </row>
    <row r="1566" spans="1:10" x14ac:dyDescent="0.2">
      <c r="A1566" s="6">
        <v>43570</v>
      </c>
      <c r="B1566">
        <v>2006</v>
      </c>
      <c r="C1566">
        <v>2714</v>
      </c>
      <c r="D1566">
        <v>1565</v>
      </c>
      <c r="E1566">
        <v>9250</v>
      </c>
      <c r="F1566" t="s">
        <v>25</v>
      </c>
      <c r="G1566">
        <v>70</v>
      </c>
      <c r="H1566" t="s">
        <v>26</v>
      </c>
      <c r="I1566">
        <v>13</v>
      </c>
      <c r="J1566" s="10">
        <f t="shared" si="24"/>
        <v>2</v>
      </c>
    </row>
    <row r="1567" spans="1:10" x14ac:dyDescent="0.2">
      <c r="A1567" s="6">
        <v>43167</v>
      </c>
      <c r="B1567">
        <v>2006</v>
      </c>
      <c r="C1567">
        <v>2714</v>
      </c>
      <c r="D1567">
        <v>1566</v>
      </c>
      <c r="E1567">
        <v>10000</v>
      </c>
      <c r="F1567" t="s">
        <v>25</v>
      </c>
      <c r="G1567">
        <v>4</v>
      </c>
      <c r="H1567" t="s">
        <v>68</v>
      </c>
      <c r="I1567">
        <v>13</v>
      </c>
      <c r="J1567" s="10">
        <f t="shared" si="24"/>
        <v>4</v>
      </c>
    </row>
    <row r="1568" spans="1:10" x14ac:dyDescent="0.2">
      <c r="A1568" s="6">
        <v>42783</v>
      </c>
      <c r="B1568">
        <v>2006</v>
      </c>
      <c r="C1568">
        <v>2714</v>
      </c>
      <c r="D1568">
        <v>1567</v>
      </c>
      <c r="E1568">
        <v>6500</v>
      </c>
      <c r="F1568" t="s">
        <v>25</v>
      </c>
      <c r="G1568">
        <v>7</v>
      </c>
      <c r="H1568" t="s">
        <v>68</v>
      </c>
      <c r="I1568">
        <v>13</v>
      </c>
      <c r="J1568" s="10">
        <f t="shared" si="24"/>
        <v>7</v>
      </c>
    </row>
    <row r="1569" spans="1:10" x14ac:dyDescent="0.2">
      <c r="A1569" s="6">
        <v>42648</v>
      </c>
      <c r="B1569">
        <v>2006</v>
      </c>
      <c r="C1569">
        <v>2714</v>
      </c>
      <c r="D1569">
        <v>1568</v>
      </c>
      <c r="E1569">
        <v>6100</v>
      </c>
      <c r="F1569" t="s">
        <v>25</v>
      </c>
      <c r="G1569">
        <v>8</v>
      </c>
      <c r="H1569" t="s">
        <v>68</v>
      </c>
      <c r="I1569">
        <v>13</v>
      </c>
      <c r="J1569" s="10">
        <f t="shared" si="24"/>
        <v>8</v>
      </c>
    </row>
    <row r="1570" spans="1:10" x14ac:dyDescent="0.2">
      <c r="A1570" s="6">
        <v>42470</v>
      </c>
      <c r="B1570">
        <v>2006</v>
      </c>
      <c r="C1570">
        <v>2714</v>
      </c>
      <c r="D1570">
        <v>1569</v>
      </c>
      <c r="E1570">
        <v>6000</v>
      </c>
      <c r="F1570" t="s">
        <v>25</v>
      </c>
      <c r="G1570">
        <v>6</v>
      </c>
      <c r="H1570" t="s">
        <v>68</v>
      </c>
      <c r="I1570">
        <v>13</v>
      </c>
      <c r="J1570" s="10">
        <f t="shared" si="24"/>
        <v>6</v>
      </c>
    </row>
    <row r="1571" spans="1:10" x14ac:dyDescent="0.2">
      <c r="A1571" s="6">
        <v>42425</v>
      </c>
      <c r="B1571">
        <v>2006</v>
      </c>
      <c r="C1571">
        <v>2714</v>
      </c>
      <c r="D1571">
        <v>1570</v>
      </c>
      <c r="E1571">
        <v>6000</v>
      </c>
      <c r="F1571" t="s">
        <v>25</v>
      </c>
      <c r="G1571">
        <v>8</v>
      </c>
      <c r="H1571" t="s">
        <v>68</v>
      </c>
      <c r="I1571">
        <v>13</v>
      </c>
      <c r="J1571" s="10">
        <f t="shared" si="24"/>
        <v>8</v>
      </c>
    </row>
    <row r="1572" spans="1:10" x14ac:dyDescent="0.2">
      <c r="A1572" s="6">
        <v>43525</v>
      </c>
      <c r="B1572">
        <v>2006</v>
      </c>
      <c r="C1572">
        <v>2732</v>
      </c>
      <c r="D1572">
        <v>1571</v>
      </c>
      <c r="E1572">
        <v>8500</v>
      </c>
      <c r="F1572" t="s">
        <v>25</v>
      </c>
      <c r="G1572">
        <v>10</v>
      </c>
      <c r="H1572" t="s">
        <v>68</v>
      </c>
      <c r="I1572">
        <v>13</v>
      </c>
      <c r="J1572" s="10">
        <f t="shared" si="24"/>
        <v>10</v>
      </c>
    </row>
    <row r="1573" spans="1:10" x14ac:dyDescent="0.2">
      <c r="A1573" s="6">
        <v>43336</v>
      </c>
      <c r="B1573">
        <v>2006</v>
      </c>
      <c r="C1573">
        <v>2732</v>
      </c>
      <c r="D1573">
        <v>1572</v>
      </c>
      <c r="E1573">
        <v>11250</v>
      </c>
      <c r="F1573" t="s">
        <v>25</v>
      </c>
      <c r="G1573">
        <v>8</v>
      </c>
      <c r="H1573" t="s">
        <v>68</v>
      </c>
      <c r="I1573">
        <v>13</v>
      </c>
      <c r="J1573" s="10">
        <f t="shared" si="24"/>
        <v>8</v>
      </c>
    </row>
    <row r="1574" spans="1:10" x14ac:dyDescent="0.2">
      <c r="A1574" s="6">
        <v>43234</v>
      </c>
      <c r="B1574">
        <v>2006</v>
      </c>
      <c r="C1574">
        <v>2732</v>
      </c>
      <c r="D1574">
        <v>1573</v>
      </c>
      <c r="E1574">
        <v>11600</v>
      </c>
      <c r="F1574" t="s">
        <v>25</v>
      </c>
      <c r="G1574">
        <v>9</v>
      </c>
      <c r="H1574" t="s">
        <v>68</v>
      </c>
      <c r="I1574">
        <v>13</v>
      </c>
      <c r="J1574" s="10">
        <f t="shared" si="24"/>
        <v>9</v>
      </c>
    </row>
    <row r="1575" spans="1:10" x14ac:dyDescent="0.2">
      <c r="A1575" s="6">
        <v>43187</v>
      </c>
      <c r="B1575">
        <v>2006</v>
      </c>
      <c r="C1575">
        <v>2732</v>
      </c>
      <c r="D1575">
        <v>1574</v>
      </c>
      <c r="E1575">
        <v>10750</v>
      </c>
      <c r="F1575" t="s">
        <v>25</v>
      </c>
      <c r="G1575">
        <v>4</v>
      </c>
      <c r="H1575" t="s">
        <v>68</v>
      </c>
      <c r="I1575">
        <v>13</v>
      </c>
      <c r="J1575" s="10">
        <f t="shared" si="24"/>
        <v>4</v>
      </c>
    </row>
    <row r="1576" spans="1:10" x14ac:dyDescent="0.2">
      <c r="A1576" s="6">
        <v>43104</v>
      </c>
      <c r="B1576">
        <v>2006</v>
      </c>
      <c r="C1576">
        <v>2732</v>
      </c>
      <c r="D1576">
        <v>1575</v>
      </c>
      <c r="E1576">
        <v>9000</v>
      </c>
      <c r="F1576" t="s">
        <v>25</v>
      </c>
      <c r="G1576">
        <v>5</v>
      </c>
      <c r="H1576" t="s">
        <v>68</v>
      </c>
      <c r="I1576">
        <v>13</v>
      </c>
      <c r="J1576" s="10">
        <f t="shared" si="24"/>
        <v>5</v>
      </c>
    </row>
    <row r="1577" spans="1:10" x14ac:dyDescent="0.2">
      <c r="A1577" s="6">
        <v>42843</v>
      </c>
      <c r="B1577">
        <v>2006</v>
      </c>
      <c r="C1577">
        <v>2732</v>
      </c>
      <c r="D1577">
        <v>1576</v>
      </c>
      <c r="E1577">
        <v>8850</v>
      </c>
      <c r="F1577" t="s">
        <v>25</v>
      </c>
      <c r="G1577">
        <v>7</v>
      </c>
      <c r="H1577" t="s">
        <v>68</v>
      </c>
      <c r="I1577">
        <v>13</v>
      </c>
      <c r="J1577" s="10">
        <f t="shared" si="24"/>
        <v>7</v>
      </c>
    </row>
    <row r="1578" spans="1:10" x14ac:dyDescent="0.2">
      <c r="A1578" s="6">
        <v>42795</v>
      </c>
      <c r="B1578">
        <v>2006</v>
      </c>
      <c r="C1578">
        <v>2732</v>
      </c>
      <c r="D1578">
        <v>1577</v>
      </c>
      <c r="E1578">
        <v>6250</v>
      </c>
      <c r="F1578" t="s">
        <v>25</v>
      </c>
      <c r="G1578">
        <v>9</v>
      </c>
      <c r="H1578" t="s">
        <v>68</v>
      </c>
      <c r="I1578">
        <v>13</v>
      </c>
      <c r="J1578" s="10">
        <f t="shared" si="24"/>
        <v>9</v>
      </c>
    </row>
    <row r="1579" spans="1:10" x14ac:dyDescent="0.2">
      <c r="A1579" s="6">
        <v>42776</v>
      </c>
      <c r="B1579">
        <v>2006</v>
      </c>
      <c r="C1579">
        <v>2732</v>
      </c>
      <c r="D1579">
        <v>1578</v>
      </c>
      <c r="E1579">
        <v>6300</v>
      </c>
      <c r="F1579" t="s">
        <v>25</v>
      </c>
      <c r="G1579">
        <v>6</v>
      </c>
      <c r="H1579" t="s">
        <v>68</v>
      </c>
      <c r="I1579">
        <v>13</v>
      </c>
      <c r="J1579" s="10">
        <f t="shared" si="24"/>
        <v>6</v>
      </c>
    </row>
    <row r="1580" spans="1:10" x14ac:dyDescent="0.2">
      <c r="A1580" s="6">
        <v>42705</v>
      </c>
      <c r="B1580">
        <v>2006</v>
      </c>
      <c r="C1580">
        <v>2732</v>
      </c>
      <c r="D1580">
        <v>1579</v>
      </c>
      <c r="E1580">
        <v>5500</v>
      </c>
      <c r="F1580" t="s">
        <v>25</v>
      </c>
      <c r="G1580">
        <v>90</v>
      </c>
      <c r="H1580" t="s">
        <v>26</v>
      </c>
      <c r="I1580">
        <v>13</v>
      </c>
      <c r="J1580" s="10">
        <f t="shared" si="24"/>
        <v>3</v>
      </c>
    </row>
    <row r="1581" spans="1:10" x14ac:dyDescent="0.2">
      <c r="A1581" s="6">
        <v>42684</v>
      </c>
      <c r="B1581">
        <v>2006</v>
      </c>
      <c r="C1581">
        <v>2732</v>
      </c>
      <c r="D1581">
        <v>1580</v>
      </c>
      <c r="E1581">
        <v>6000</v>
      </c>
      <c r="F1581" t="s">
        <v>25</v>
      </c>
      <c r="G1581">
        <v>3</v>
      </c>
      <c r="H1581" t="s">
        <v>68</v>
      </c>
      <c r="I1581">
        <v>13</v>
      </c>
      <c r="J1581" s="10">
        <f t="shared" si="24"/>
        <v>3</v>
      </c>
    </row>
    <row r="1582" spans="1:10" x14ac:dyDescent="0.2">
      <c r="A1582" s="6">
        <v>42613</v>
      </c>
      <c r="B1582">
        <v>2006</v>
      </c>
      <c r="C1582">
        <v>2732</v>
      </c>
      <c r="D1582">
        <v>1581</v>
      </c>
      <c r="E1582">
        <v>6000</v>
      </c>
      <c r="F1582" t="s">
        <v>25</v>
      </c>
      <c r="G1582">
        <v>5</v>
      </c>
      <c r="H1582" t="s">
        <v>68</v>
      </c>
      <c r="I1582">
        <v>13</v>
      </c>
      <c r="J1582" s="10">
        <f t="shared" si="24"/>
        <v>5</v>
      </c>
    </row>
    <row r="1583" spans="1:10" x14ac:dyDescent="0.2">
      <c r="A1583" s="6">
        <v>42541</v>
      </c>
      <c r="B1583">
        <v>2006</v>
      </c>
      <c r="C1583">
        <v>2732</v>
      </c>
      <c r="D1583">
        <v>1582</v>
      </c>
      <c r="E1583">
        <v>6000</v>
      </c>
      <c r="F1583" t="s">
        <v>25</v>
      </c>
      <c r="G1583">
        <v>7</v>
      </c>
      <c r="H1583" t="s">
        <v>68</v>
      </c>
      <c r="I1583">
        <v>13</v>
      </c>
      <c r="J1583" s="10">
        <f t="shared" si="24"/>
        <v>7</v>
      </c>
    </row>
    <row r="1584" spans="1:10" x14ac:dyDescent="0.2">
      <c r="A1584" s="6">
        <v>42541</v>
      </c>
      <c r="B1584">
        <v>2006</v>
      </c>
      <c r="C1584">
        <v>2732</v>
      </c>
      <c r="D1584">
        <v>1583</v>
      </c>
      <c r="E1584">
        <v>6000</v>
      </c>
      <c r="F1584" t="s">
        <v>25</v>
      </c>
      <c r="G1584">
        <v>7</v>
      </c>
      <c r="H1584" t="s">
        <v>68</v>
      </c>
      <c r="I1584">
        <v>13</v>
      </c>
      <c r="J1584" s="10">
        <f t="shared" si="24"/>
        <v>7</v>
      </c>
    </row>
    <row r="1585" spans="1:10" x14ac:dyDescent="0.2">
      <c r="A1585" s="6">
        <v>42458</v>
      </c>
      <c r="B1585">
        <v>2006</v>
      </c>
      <c r="C1585">
        <v>2732</v>
      </c>
      <c r="D1585">
        <v>1584</v>
      </c>
      <c r="E1585">
        <v>6000</v>
      </c>
      <c r="F1585" t="s">
        <v>25</v>
      </c>
      <c r="G1585">
        <v>30</v>
      </c>
      <c r="H1585" t="s">
        <v>26</v>
      </c>
      <c r="I1585">
        <v>13</v>
      </c>
      <c r="J1585" s="10">
        <f t="shared" si="24"/>
        <v>1</v>
      </c>
    </row>
    <row r="1586" spans="1:10" x14ac:dyDescent="0.2">
      <c r="A1586" s="6">
        <v>42404</v>
      </c>
      <c r="B1586">
        <v>2006</v>
      </c>
      <c r="C1586">
        <v>2732</v>
      </c>
      <c r="D1586">
        <v>1585</v>
      </c>
      <c r="E1586">
        <v>6000</v>
      </c>
      <c r="F1586" t="s">
        <v>25</v>
      </c>
      <c r="G1586">
        <v>9</v>
      </c>
      <c r="H1586" t="s">
        <v>68</v>
      </c>
      <c r="I1586">
        <v>13</v>
      </c>
      <c r="J1586" s="10">
        <f t="shared" si="24"/>
        <v>9</v>
      </c>
    </row>
    <row r="1587" spans="1:10" x14ac:dyDescent="0.2">
      <c r="A1587" s="6">
        <v>43636</v>
      </c>
      <c r="B1587">
        <v>2007</v>
      </c>
      <c r="C1587">
        <v>2741</v>
      </c>
      <c r="D1587">
        <v>1586</v>
      </c>
      <c r="E1587">
        <v>9200</v>
      </c>
      <c r="F1587" t="s">
        <v>25</v>
      </c>
      <c r="G1587">
        <v>5</v>
      </c>
      <c r="H1587" t="s">
        <v>68</v>
      </c>
      <c r="I1587">
        <v>12</v>
      </c>
      <c r="J1587" s="10">
        <f t="shared" si="24"/>
        <v>5</v>
      </c>
    </row>
    <row r="1588" spans="1:10" x14ac:dyDescent="0.2">
      <c r="A1588" s="6">
        <v>43623</v>
      </c>
      <c r="B1588">
        <v>2008</v>
      </c>
      <c r="C1588">
        <v>2741</v>
      </c>
      <c r="D1588">
        <v>1587</v>
      </c>
      <c r="E1588">
        <v>9100</v>
      </c>
      <c r="F1588" t="s">
        <v>25</v>
      </c>
      <c r="G1588">
        <v>5</v>
      </c>
      <c r="H1588" t="s">
        <v>68</v>
      </c>
      <c r="I1588">
        <v>11</v>
      </c>
      <c r="J1588" s="10">
        <f t="shared" si="24"/>
        <v>5</v>
      </c>
    </row>
    <row r="1589" spans="1:10" x14ac:dyDescent="0.2">
      <c r="A1589" s="6">
        <v>43563</v>
      </c>
      <c r="B1589">
        <v>2008</v>
      </c>
      <c r="C1589">
        <v>2741</v>
      </c>
      <c r="D1589">
        <v>1588</v>
      </c>
      <c r="E1589">
        <v>8750</v>
      </c>
      <c r="F1589" t="s">
        <v>25</v>
      </c>
      <c r="G1589">
        <v>5</v>
      </c>
      <c r="H1589" t="s">
        <v>68</v>
      </c>
      <c r="I1589">
        <v>11</v>
      </c>
      <c r="J1589" s="10">
        <f t="shared" si="24"/>
        <v>5</v>
      </c>
    </row>
    <row r="1590" spans="1:10" x14ac:dyDescent="0.2">
      <c r="A1590" s="6">
        <v>43528</v>
      </c>
      <c r="B1590">
        <v>2007</v>
      </c>
      <c r="C1590">
        <v>2741</v>
      </c>
      <c r="D1590">
        <v>1589</v>
      </c>
      <c r="E1590">
        <v>8500</v>
      </c>
      <c r="F1590" t="s">
        <v>25</v>
      </c>
      <c r="G1590">
        <v>6</v>
      </c>
      <c r="H1590" t="s">
        <v>68</v>
      </c>
      <c r="I1590">
        <v>12</v>
      </c>
      <c r="J1590" s="10">
        <f t="shared" si="24"/>
        <v>6</v>
      </c>
    </row>
    <row r="1591" spans="1:10" x14ac:dyDescent="0.2">
      <c r="A1591" s="6">
        <v>43525</v>
      </c>
      <c r="B1591">
        <v>2006</v>
      </c>
      <c r="C1591">
        <v>2741</v>
      </c>
      <c r="D1591">
        <v>1590</v>
      </c>
      <c r="E1591">
        <v>8500</v>
      </c>
      <c r="F1591" t="s">
        <v>25</v>
      </c>
      <c r="G1591">
        <v>12</v>
      </c>
      <c r="H1591" t="s">
        <v>68</v>
      </c>
      <c r="I1591">
        <v>13</v>
      </c>
      <c r="J1591" s="10">
        <f t="shared" si="24"/>
        <v>12</v>
      </c>
    </row>
    <row r="1592" spans="1:10" x14ac:dyDescent="0.2">
      <c r="A1592" s="6">
        <v>43516</v>
      </c>
      <c r="B1592">
        <v>2008</v>
      </c>
      <c r="C1592">
        <v>2741</v>
      </c>
      <c r="D1592">
        <v>1591</v>
      </c>
      <c r="E1592">
        <v>8500</v>
      </c>
      <c r="F1592" t="s">
        <v>25</v>
      </c>
      <c r="G1592">
        <v>2</v>
      </c>
      <c r="H1592" t="s">
        <v>68</v>
      </c>
      <c r="I1592">
        <v>11</v>
      </c>
      <c r="J1592" s="10">
        <f t="shared" si="24"/>
        <v>2</v>
      </c>
    </row>
    <row r="1593" spans="1:10" x14ac:dyDescent="0.2">
      <c r="A1593" s="6">
        <v>43501</v>
      </c>
      <c r="B1593">
        <v>2007</v>
      </c>
      <c r="C1593">
        <v>2741</v>
      </c>
      <c r="D1593">
        <v>1592</v>
      </c>
      <c r="E1593">
        <v>8500</v>
      </c>
      <c r="F1593" t="s">
        <v>25</v>
      </c>
      <c r="G1593">
        <v>5</v>
      </c>
      <c r="H1593" t="s">
        <v>68</v>
      </c>
      <c r="I1593">
        <v>12</v>
      </c>
      <c r="J1593" s="10">
        <f t="shared" si="24"/>
        <v>5</v>
      </c>
    </row>
    <row r="1594" spans="1:10" x14ac:dyDescent="0.2">
      <c r="A1594" s="6">
        <v>43489</v>
      </c>
      <c r="B1594">
        <v>2008</v>
      </c>
      <c r="C1594">
        <v>2741</v>
      </c>
      <c r="D1594">
        <v>1593</v>
      </c>
      <c r="E1594">
        <v>8550</v>
      </c>
      <c r="F1594" t="s">
        <v>25</v>
      </c>
      <c r="G1594">
        <v>100</v>
      </c>
      <c r="H1594" t="s">
        <v>26</v>
      </c>
      <c r="I1594">
        <v>11</v>
      </c>
      <c r="J1594" s="10">
        <f t="shared" si="24"/>
        <v>3</v>
      </c>
    </row>
    <row r="1595" spans="1:10" x14ac:dyDescent="0.2">
      <c r="A1595" s="6">
        <v>43468</v>
      </c>
      <c r="B1595">
        <v>2007</v>
      </c>
      <c r="C1595">
        <v>2741</v>
      </c>
      <c r="D1595">
        <v>1594</v>
      </c>
      <c r="E1595">
        <v>9200</v>
      </c>
      <c r="F1595" t="s">
        <v>25</v>
      </c>
      <c r="G1595">
        <v>6</v>
      </c>
      <c r="H1595" t="s">
        <v>68</v>
      </c>
      <c r="I1595">
        <v>12</v>
      </c>
      <c r="J1595" s="10">
        <f t="shared" si="24"/>
        <v>6</v>
      </c>
    </row>
    <row r="1596" spans="1:10" x14ac:dyDescent="0.2">
      <c r="A1596" s="6">
        <v>43432</v>
      </c>
      <c r="B1596">
        <v>2006</v>
      </c>
      <c r="C1596">
        <v>2741</v>
      </c>
      <c r="D1596">
        <v>1595</v>
      </c>
      <c r="E1596">
        <v>9500</v>
      </c>
      <c r="F1596" t="s">
        <v>25</v>
      </c>
      <c r="G1596">
        <v>6</v>
      </c>
      <c r="H1596" t="s">
        <v>68</v>
      </c>
      <c r="I1596">
        <v>13</v>
      </c>
      <c r="J1596" s="10">
        <f t="shared" si="24"/>
        <v>6</v>
      </c>
    </row>
    <row r="1597" spans="1:10" x14ac:dyDescent="0.2">
      <c r="A1597" s="6">
        <v>43426</v>
      </c>
      <c r="B1597">
        <v>2007</v>
      </c>
      <c r="C1597">
        <v>2741</v>
      </c>
      <c r="D1597">
        <v>1596</v>
      </c>
      <c r="E1597">
        <v>10000</v>
      </c>
      <c r="F1597" t="s">
        <v>25</v>
      </c>
      <c r="G1597">
        <v>7</v>
      </c>
      <c r="H1597" t="s">
        <v>68</v>
      </c>
      <c r="I1597">
        <v>12</v>
      </c>
      <c r="J1597" s="10">
        <f t="shared" si="24"/>
        <v>7</v>
      </c>
    </row>
    <row r="1598" spans="1:10" x14ac:dyDescent="0.2">
      <c r="A1598" s="6">
        <v>43397</v>
      </c>
      <c r="B1598">
        <v>2007</v>
      </c>
      <c r="C1598">
        <v>2741</v>
      </c>
      <c r="D1598">
        <v>1597</v>
      </c>
      <c r="E1598">
        <v>11300</v>
      </c>
      <c r="F1598" t="s">
        <v>25</v>
      </c>
      <c r="G1598">
        <v>8</v>
      </c>
      <c r="H1598" t="s">
        <v>68</v>
      </c>
      <c r="I1598">
        <v>12</v>
      </c>
      <c r="J1598" s="10">
        <f t="shared" si="24"/>
        <v>8</v>
      </c>
    </row>
    <row r="1599" spans="1:10" x14ac:dyDescent="0.2">
      <c r="A1599" s="6">
        <v>43371</v>
      </c>
      <c r="B1599">
        <v>2008</v>
      </c>
      <c r="C1599">
        <v>2741</v>
      </c>
      <c r="D1599">
        <v>1598</v>
      </c>
      <c r="E1599">
        <v>11500</v>
      </c>
      <c r="F1599" t="s">
        <v>25</v>
      </c>
      <c r="G1599">
        <v>6</v>
      </c>
      <c r="H1599" t="s">
        <v>68</v>
      </c>
      <c r="I1599">
        <v>11</v>
      </c>
      <c r="J1599" s="10">
        <f t="shared" si="24"/>
        <v>6</v>
      </c>
    </row>
    <row r="1600" spans="1:10" x14ac:dyDescent="0.2">
      <c r="A1600" s="6">
        <v>43256</v>
      </c>
      <c r="B1600">
        <v>2008</v>
      </c>
      <c r="C1600">
        <v>2741</v>
      </c>
      <c r="D1600">
        <v>1599</v>
      </c>
      <c r="E1600">
        <v>12500</v>
      </c>
      <c r="F1600" t="s">
        <v>25</v>
      </c>
      <c r="G1600">
        <v>12</v>
      </c>
      <c r="H1600" t="s">
        <v>68</v>
      </c>
      <c r="I1600">
        <v>11</v>
      </c>
      <c r="J1600" s="10">
        <f t="shared" si="24"/>
        <v>12</v>
      </c>
    </row>
    <row r="1601" spans="1:10" x14ac:dyDescent="0.2">
      <c r="A1601" s="6">
        <v>43213</v>
      </c>
      <c r="B1601">
        <v>2007</v>
      </c>
      <c r="C1601">
        <v>2741</v>
      </c>
      <c r="D1601">
        <v>1600</v>
      </c>
      <c r="E1601">
        <v>11650</v>
      </c>
      <c r="F1601" t="s">
        <v>25</v>
      </c>
      <c r="G1601">
        <v>7</v>
      </c>
      <c r="H1601" t="s">
        <v>68</v>
      </c>
      <c r="I1601">
        <v>12</v>
      </c>
      <c r="J1601" s="10">
        <f t="shared" si="24"/>
        <v>7</v>
      </c>
    </row>
    <row r="1602" spans="1:10" x14ac:dyDescent="0.2">
      <c r="A1602" s="6">
        <v>43200</v>
      </c>
      <c r="B1602">
        <v>2008</v>
      </c>
      <c r="C1602">
        <v>2741</v>
      </c>
      <c r="D1602">
        <v>1601</v>
      </c>
      <c r="E1602">
        <v>11750</v>
      </c>
      <c r="F1602" t="s">
        <v>25</v>
      </c>
      <c r="G1602">
        <v>12</v>
      </c>
      <c r="H1602" t="s">
        <v>68</v>
      </c>
      <c r="I1602">
        <v>11</v>
      </c>
      <c r="J1602" s="10">
        <f t="shared" ref="J1602:J1665" si="25">IF(H1602="days",ROUND(G1602/30,0),IF(H1602="years",G1602*12,G1602))</f>
        <v>12</v>
      </c>
    </row>
    <row r="1603" spans="1:10" x14ac:dyDescent="0.2">
      <c r="A1603" s="6">
        <v>43165</v>
      </c>
      <c r="B1603">
        <v>2007</v>
      </c>
      <c r="C1603">
        <v>2741</v>
      </c>
      <c r="D1603">
        <v>1602</v>
      </c>
      <c r="E1603">
        <v>9800</v>
      </c>
      <c r="F1603" t="s">
        <v>25</v>
      </c>
      <c r="G1603">
        <v>7</v>
      </c>
      <c r="H1603" t="s">
        <v>68</v>
      </c>
      <c r="I1603">
        <v>12</v>
      </c>
      <c r="J1603" s="10">
        <f t="shared" si="25"/>
        <v>7</v>
      </c>
    </row>
    <row r="1604" spans="1:10" x14ac:dyDescent="0.2">
      <c r="A1604" s="6">
        <v>43112</v>
      </c>
      <c r="B1604">
        <v>2008</v>
      </c>
      <c r="C1604">
        <v>2741</v>
      </c>
      <c r="D1604">
        <v>1603</v>
      </c>
      <c r="E1604">
        <v>9500</v>
      </c>
      <c r="F1604" t="s">
        <v>25</v>
      </c>
      <c r="G1604">
        <v>7</v>
      </c>
      <c r="H1604" t="s">
        <v>68</v>
      </c>
      <c r="I1604">
        <v>11</v>
      </c>
      <c r="J1604" s="10">
        <f t="shared" si="25"/>
        <v>7</v>
      </c>
    </row>
    <row r="1605" spans="1:10" x14ac:dyDescent="0.2">
      <c r="A1605" s="6">
        <v>43007</v>
      </c>
      <c r="B1605">
        <v>2006</v>
      </c>
      <c r="C1605">
        <v>2741</v>
      </c>
      <c r="D1605">
        <v>1604</v>
      </c>
      <c r="E1605">
        <v>9500</v>
      </c>
      <c r="F1605" t="s">
        <v>25</v>
      </c>
      <c r="G1605">
        <v>7</v>
      </c>
      <c r="H1605" t="s">
        <v>68</v>
      </c>
      <c r="I1605">
        <v>13</v>
      </c>
      <c r="J1605" s="10">
        <f t="shared" si="25"/>
        <v>7</v>
      </c>
    </row>
    <row r="1606" spans="1:10" x14ac:dyDescent="0.2">
      <c r="A1606" s="6">
        <v>42983</v>
      </c>
      <c r="B1606">
        <v>2007</v>
      </c>
      <c r="C1606">
        <v>2741</v>
      </c>
      <c r="D1606">
        <v>1605</v>
      </c>
      <c r="E1606">
        <v>9500</v>
      </c>
      <c r="F1606" t="s">
        <v>25</v>
      </c>
      <c r="G1606">
        <v>7</v>
      </c>
      <c r="H1606" t="s">
        <v>68</v>
      </c>
      <c r="I1606">
        <v>12</v>
      </c>
      <c r="J1606" s="10">
        <f t="shared" si="25"/>
        <v>7</v>
      </c>
    </row>
    <row r="1607" spans="1:10" x14ac:dyDescent="0.2">
      <c r="A1607" s="6">
        <v>42962</v>
      </c>
      <c r="B1607">
        <v>2007</v>
      </c>
      <c r="C1607">
        <v>2741</v>
      </c>
      <c r="D1607">
        <v>1606</v>
      </c>
      <c r="E1607">
        <v>9450</v>
      </c>
      <c r="F1607" t="s">
        <v>25</v>
      </c>
      <c r="G1607">
        <v>6</v>
      </c>
      <c r="H1607" t="s">
        <v>68</v>
      </c>
      <c r="I1607">
        <v>12</v>
      </c>
      <c r="J1607" s="10">
        <f t="shared" si="25"/>
        <v>6</v>
      </c>
    </row>
    <row r="1608" spans="1:10" x14ac:dyDescent="0.2">
      <c r="A1608" s="6">
        <v>42948</v>
      </c>
      <c r="B1608">
        <v>2008</v>
      </c>
      <c r="C1608">
        <v>2741</v>
      </c>
      <c r="D1608">
        <v>1607</v>
      </c>
      <c r="E1608">
        <v>9500</v>
      </c>
      <c r="F1608" t="s">
        <v>25</v>
      </c>
      <c r="G1608">
        <v>7</v>
      </c>
      <c r="H1608" t="s">
        <v>68</v>
      </c>
      <c r="I1608">
        <v>11</v>
      </c>
      <c r="J1608" s="10">
        <f t="shared" si="25"/>
        <v>7</v>
      </c>
    </row>
    <row r="1609" spans="1:10" x14ac:dyDescent="0.2">
      <c r="A1609" s="6">
        <v>42922</v>
      </c>
      <c r="B1609">
        <v>2007</v>
      </c>
      <c r="C1609">
        <v>2741</v>
      </c>
      <c r="D1609">
        <v>1608</v>
      </c>
      <c r="E1609">
        <v>9500</v>
      </c>
      <c r="F1609" t="s">
        <v>25</v>
      </c>
      <c r="G1609">
        <v>30</v>
      </c>
      <c r="H1609" t="s">
        <v>26</v>
      </c>
      <c r="I1609">
        <v>12</v>
      </c>
      <c r="J1609" s="10">
        <f t="shared" si="25"/>
        <v>1</v>
      </c>
    </row>
    <row r="1610" spans="1:10" x14ac:dyDescent="0.2">
      <c r="A1610" s="6">
        <v>42913</v>
      </c>
      <c r="B1610">
        <v>2007</v>
      </c>
      <c r="C1610">
        <v>2741</v>
      </c>
      <c r="D1610">
        <v>1609</v>
      </c>
      <c r="E1610">
        <v>9000</v>
      </c>
      <c r="F1610" t="s">
        <v>25</v>
      </c>
      <c r="G1610">
        <v>30</v>
      </c>
      <c r="H1610" t="s">
        <v>26</v>
      </c>
      <c r="I1610">
        <v>12</v>
      </c>
      <c r="J1610" s="10">
        <f t="shared" si="25"/>
        <v>1</v>
      </c>
    </row>
    <row r="1611" spans="1:10" x14ac:dyDescent="0.2">
      <c r="A1611" s="6">
        <v>42866</v>
      </c>
      <c r="B1611">
        <v>2008</v>
      </c>
      <c r="C1611">
        <v>2741</v>
      </c>
      <c r="D1611">
        <v>1610</v>
      </c>
      <c r="E1611">
        <v>10000</v>
      </c>
      <c r="F1611" t="s">
        <v>25</v>
      </c>
      <c r="G1611">
        <v>12</v>
      </c>
      <c r="H1611" t="s">
        <v>68</v>
      </c>
      <c r="I1611">
        <v>11</v>
      </c>
      <c r="J1611" s="10">
        <f t="shared" si="25"/>
        <v>12</v>
      </c>
    </row>
    <row r="1612" spans="1:10" x14ac:dyDescent="0.2">
      <c r="A1612" s="6">
        <v>42846</v>
      </c>
      <c r="B1612">
        <v>2008</v>
      </c>
      <c r="C1612">
        <v>2741</v>
      </c>
      <c r="D1612">
        <v>1611</v>
      </c>
      <c r="E1612">
        <v>9900</v>
      </c>
      <c r="F1612" t="s">
        <v>25</v>
      </c>
      <c r="G1612">
        <v>7</v>
      </c>
      <c r="H1612" t="s">
        <v>68</v>
      </c>
      <c r="I1612">
        <v>11</v>
      </c>
      <c r="J1612" s="10">
        <f t="shared" si="25"/>
        <v>7</v>
      </c>
    </row>
    <row r="1613" spans="1:10" x14ac:dyDescent="0.2">
      <c r="A1613" s="6">
        <v>42807</v>
      </c>
      <c r="B1613">
        <v>2008</v>
      </c>
      <c r="C1613">
        <v>2741</v>
      </c>
      <c r="D1613">
        <v>1612</v>
      </c>
      <c r="E1613">
        <v>7250</v>
      </c>
      <c r="F1613" t="s">
        <v>25</v>
      </c>
      <c r="G1613">
        <v>2</v>
      </c>
      <c r="H1613" t="s">
        <v>68</v>
      </c>
      <c r="I1613">
        <v>11</v>
      </c>
      <c r="J1613" s="10">
        <f t="shared" si="25"/>
        <v>2</v>
      </c>
    </row>
    <row r="1614" spans="1:10" x14ac:dyDescent="0.2">
      <c r="A1614" s="6">
        <v>42800</v>
      </c>
      <c r="B1614">
        <v>2006</v>
      </c>
      <c r="C1614">
        <v>2741</v>
      </c>
      <c r="D1614">
        <v>1613</v>
      </c>
      <c r="E1614">
        <v>6800</v>
      </c>
      <c r="F1614" t="s">
        <v>25</v>
      </c>
      <c r="G1614">
        <v>7</v>
      </c>
      <c r="H1614" t="s">
        <v>68</v>
      </c>
      <c r="I1614">
        <v>13</v>
      </c>
      <c r="J1614" s="10">
        <f t="shared" si="25"/>
        <v>7</v>
      </c>
    </row>
    <row r="1615" spans="1:10" x14ac:dyDescent="0.2">
      <c r="A1615" s="6">
        <v>42795</v>
      </c>
      <c r="B1615">
        <v>2007</v>
      </c>
      <c r="C1615">
        <v>2741</v>
      </c>
      <c r="D1615">
        <v>1614</v>
      </c>
      <c r="E1615">
        <v>6100</v>
      </c>
      <c r="F1615" t="s">
        <v>25</v>
      </c>
      <c r="G1615">
        <v>6</v>
      </c>
      <c r="H1615" t="s">
        <v>68</v>
      </c>
      <c r="I1615">
        <v>12</v>
      </c>
      <c r="J1615" s="10">
        <f t="shared" si="25"/>
        <v>6</v>
      </c>
    </row>
    <row r="1616" spans="1:10" x14ac:dyDescent="0.2">
      <c r="A1616" s="6">
        <v>42783</v>
      </c>
      <c r="B1616">
        <v>2007</v>
      </c>
      <c r="C1616">
        <v>2741</v>
      </c>
      <c r="D1616">
        <v>1615</v>
      </c>
      <c r="E1616">
        <v>5850</v>
      </c>
      <c r="F1616" t="s">
        <v>25</v>
      </c>
      <c r="G1616">
        <v>180</v>
      </c>
      <c r="H1616" t="s">
        <v>26</v>
      </c>
      <c r="I1616">
        <v>12</v>
      </c>
      <c r="J1616" s="10">
        <f t="shared" si="25"/>
        <v>6</v>
      </c>
    </row>
    <row r="1617" spans="1:10" x14ac:dyDescent="0.2">
      <c r="A1617" s="6">
        <v>42702</v>
      </c>
      <c r="B1617">
        <v>2007</v>
      </c>
      <c r="C1617">
        <v>2741</v>
      </c>
      <c r="D1617">
        <v>1616</v>
      </c>
      <c r="E1617">
        <v>6000</v>
      </c>
      <c r="F1617" t="s">
        <v>25</v>
      </c>
      <c r="G1617">
        <v>7</v>
      </c>
      <c r="H1617" t="s">
        <v>68</v>
      </c>
      <c r="I1617">
        <v>12</v>
      </c>
      <c r="J1617" s="10">
        <f t="shared" si="25"/>
        <v>7</v>
      </c>
    </row>
    <row r="1618" spans="1:10" x14ac:dyDescent="0.2">
      <c r="A1618" s="6">
        <v>42649</v>
      </c>
      <c r="B1618">
        <v>2007</v>
      </c>
      <c r="C1618">
        <v>2741</v>
      </c>
      <c r="D1618">
        <v>1617</v>
      </c>
      <c r="E1618">
        <v>6250</v>
      </c>
      <c r="F1618" t="s">
        <v>25</v>
      </c>
      <c r="G1618">
        <v>6</v>
      </c>
      <c r="H1618" t="s">
        <v>68</v>
      </c>
      <c r="I1618">
        <v>12</v>
      </c>
      <c r="J1618" s="10">
        <f t="shared" si="25"/>
        <v>6</v>
      </c>
    </row>
    <row r="1619" spans="1:10" x14ac:dyDescent="0.2">
      <c r="A1619" s="6">
        <v>42642</v>
      </c>
      <c r="B1619">
        <v>2007</v>
      </c>
      <c r="C1619">
        <v>2741</v>
      </c>
      <c r="D1619">
        <v>1618</v>
      </c>
      <c r="E1619">
        <v>6000</v>
      </c>
      <c r="F1619" t="s">
        <v>25</v>
      </c>
      <c r="G1619">
        <v>2</v>
      </c>
      <c r="H1619" t="s">
        <v>68</v>
      </c>
      <c r="I1619">
        <v>12</v>
      </c>
      <c r="J1619" s="10">
        <f t="shared" si="25"/>
        <v>2</v>
      </c>
    </row>
    <row r="1620" spans="1:10" x14ac:dyDescent="0.2">
      <c r="A1620" s="6">
        <v>42639</v>
      </c>
      <c r="B1620">
        <v>2006</v>
      </c>
      <c r="C1620">
        <v>2741</v>
      </c>
      <c r="D1620">
        <v>1619</v>
      </c>
      <c r="E1620">
        <v>6400</v>
      </c>
      <c r="F1620" t="s">
        <v>25</v>
      </c>
      <c r="G1620">
        <v>7</v>
      </c>
      <c r="H1620" t="s">
        <v>68</v>
      </c>
      <c r="I1620">
        <v>13</v>
      </c>
      <c r="J1620" s="10">
        <f t="shared" si="25"/>
        <v>7</v>
      </c>
    </row>
    <row r="1621" spans="1:10" x14ac:dyDescent="0.2">
      <c r="A1621" s="6">
        <v>42626</v>
      </c>
      <c r="B1621">
        <v>2008</v>
      </c>
      <c r="C1621">
        <v>2741</v>
      </c>
      <c r="D1621">
        <v>1620</v>
      </c>
      <c r="E1621">
        <v>6250</v>
      </c>
      <c r="F1621" t="s">
        <v>25</v>
      </c>
      <c r="G1621">
        <v>6</v>
      </c>
      <c r="H1621" t="s">
        <v>68</v>
      </c>
      <c r="I1621">
        <v>11</v>
      </c>
      <c r="J1621" s="10">
        <f t="shared" si="25"/>
        <v>6</v>
      </c>
    </row>
    <row r="1622" spans="1:10" x14ac:dyDescent="0.2">
      <c r="A1622" s="6">
        <v>42585</v>
      </c>
      <c r="B1622">
        <v>2007</v>
      </c>
      <c r="C1622">
        <v>2741</v>
      </c>
      <c r="D1622">
        <v>1621</v>
      </c>
      <c r="E1622">
        <v>6100</v>
      </c>
      <c r="F1622" t="s">
        <v>25</v>
      </c>
      <c r="G1622">
        <v>6</v>
      </c>
      <c r="H1622" t="s">
        <v>68</v>
      </c>
      <c r="I1622">
        <v>12</v>
      </c>
      <c r="J1622" s="10">
        <f t="shared" si="25"/>
        <v>6</v>
      </c>
    </row>
    <row r="1623" spans="1:10" x14ac:dyDescent="0.2">
      <c r="A1623" s="6">
        <v>42558</v>
      </c>
      <c r="B1623">
        <v>2006</v>
      </c>
      <c r="C1623">
        <v>2741</v>
      </c>
      <c r="D1623">
        <v>1622</v>
      </c>
      <c r="E1623">
        <v>6200</v>
      </c>
      <c r="F1623" t="s">
        <v>25</v>
      </c>
      <c r="G1623">
        <v>3</v>
      </c>
      <c r="H1623" t="s">
        <v>68</v>
      </c>
      <c r="I1623">
        <v>13</v>
      </c>
      <c r="J1623" s="10">
        <f t="shared" si="25"/>
        <v>3</v>
      </c>
    </row>
    <row r="1624" spans="1:10" x14ac:dyDescent="0.2">
      <c r="A1624" s="6">
        <v>42541</v>
      </c>
      <c r="B1624">
        <v>2006</v>
      </c>
      <c r="C1624">
        <v>2741</v>
      </c>
      <c r="D1624">
        <v>1623</v>
      </c>
      <c r="E1624">
        <v>6300</v>
      </c>
      <c r="F1624" t="s">
        <v>25</v>
      </c>
      <c r="G1624">
        <v>4</v>
      </c>
      <c r="H1624" t="s">
        <v>68</v>
      </c>
      <c r="I1624">
        <v>13</v>
      </c>
      <c r="J1624" s="10">
        <f t="shared" si="25"/>
        <v>4</v>
      </c>
    </row>
    <row r="1625" spans="1:10" x14ac:dyDescent="0.2">
      <c r="A1625" s="6">
        <v>42534</v>
      </c>
      <c r="B1625">
        <v>2007</v>
      </c>
      <c r="C1625">
        <v>2741</v>
      </c>
      <c r="D1625">
        <v>1624</v>
      </c>
      <c r="E1625">
        <v>6400</v>
      </c>
      <c r="F1625" t="s">
        <v>25</v>
      </c>
      <c r="G1625">
        <v>4</v>
      </c>
      <c r="H1625" t="s">
        <v>68</v>
      </c>
      <c r="I1625">
        <v>12</v>
      </c>
      <c r="J1625" s="10">
        <f t="shared" si="25"/>
        <v>4</v>
      </c>
    </row>
    <row r="1626" spans="1:10" x14ac:dyDescent="0.2">
      <c r="A1626" s="6">
        <v>42499</v>
      </c>
      <c r="B1626">
        <v>2006</v>
      </c>
      <c r="C1626">
        <v>2741</v>
      </c>
      <c r="D1626">
        <v>1625</v>
      </c>
      <c r="E1626">
        <v>7000</v>
      </c>
      <c r="F1626" t="s">
        <v>25</v>
      </c>
      <c r="G1626">
        <v>12</v>
      </c>
      <c r="H1626" t="s">
        <v>68</v>
      </c>
      <c r="I1626">
        <v>13</v>
      </c>
      <c r="J1626" s="10">
        <f t="shared" si="25"/>
        <v>12</v>
      </c>
    </row>
    <row r="1627" spans="1:10" x14ac:dyDescent="0.2">
      <c r="A1627" s="6">
        <v>42475</v>
      </c>
      <c r="B1627">
        <v>2008</v>
      </c>
      <c r="C1627">
        <v>2741</v>
      </c>
      <c r="D1627">
        <v>1626</v>
      </c>
      <c r="E1627">
        <v>6600</v>
      </c>
      <c r="F1627" t="s">
        <v>25</v>
      </c>
      <c r="G1627">
        <v>5</v>
      </c>
      <c r="H1627" t="s">
        <v>68</v>
      </c>
      <c r="I1627">
        <v>11</v>
      </c>
      <c r="J1627" s="10">
        <f t="shared" si="25"/>
        <v>5</v>
      </c>
    </row>
    <row r="1628" spans="1:10" x14ac:dyDescent="0.2">
      <c r="A1628" s="6">
        <v>42440</v>
      </c>
      <c r="B1628">
        <v>2007</v>
      </c>
      <c r="C1628">
        <v>2741</v>
      </c>
      <c r="D1628">
        <v>1627</v>
      </c>
      <c r="E1628">
        <v>6000</v>
      </c>
      <c r="F1628" t="s">
        <v>25</v>
      </c>
      <c r="G1628">
        <v>7</v>
      </c>
      <c r="H1628" t="s">
        <v>68</v>
      </c>
      <c r="I1628">
        <v>12</v>
      </c>
      <c r="J1628" s="10">
        <f t="shared" si="25"/>
        <v>7</v>
      </c>
    </row>
    <row r="1629" spans="1:10" x14ac:dyDescent="0.2">
      <c r="A1629" s="6">
        <v>42419</v>
      </c>
      <c r="B1629">
        <v>2007</v>
      </c>
      <c r="C1629">
        <v>2741</v>
      </c>
      <c r="D1629">
        <v>1628</v>
      </c>
      <c r="E1629">
        <v>6500</v>
      </c>
      <c r="F1629" t="s">
        <v>25</v>
      </c>
      <c r="G1629">
        <v>6</v>
      </c>
      <c r="H1629" t="s">
        <v>68</v>
      </c>
      <c r="I1629">
        <v>12</v>
      </c>
      <c r="J1629" s="10">
        <f t="shared" si="25"/>
        <v>6</v>
      </c>
    </row>
    <row r="1630" spans="1:10" x14ac:dyDescent="0.2">
      <c r="A1630" s="6">
        <v>42401</v>
      </c>
      <c r="B1630">
        <v>2006</v>
      </c>
      <c r="C1630">
        <v>2741</v>
      </c>
      <c r="D1630">
        <v>1629</v>
      </c>
      <c r="E1630">
        <v>6500</v>
      </c>
      <c r="F1630" t="s">
        <v>25</v>
      </c>
      <c r="G1630">
        <v>6</v>
      </c>
      <c r="H1630" t="s">
        <v>68</v>
      </c>
      <c r="I1630">
        <v>13</v>
      </c>
      <c r="J1630" s="10">
        <f t="shared" si="25"/>
        <v>6</v>
      </c>
    </row>
    <row r="1631" spans="1:10" x14ac:dyDescent="0.2">
      <c r="A1631" s="6">
        <v>42401</v>
      </c>
      <c r="B1631">
        <v>2007</v>
      </c>
      <c r="C1631">
        <v>2741</v>
      </c>
      <c r="D1631">
        <v>1630</v>
      </c>
      <c r="E1631">
        <v>6500</v>
      </c>
      <c r="F1631" t="s">
        <v>25</v>
      </c>
      <c r="G1631">
        <v>7</v>
      </c>
      <c r="H1631" t="s">
        <v>68</v>
      </c>
      <c r="I1631">
        <v>12</v>
      </c>
      <c r="J1631" s="10">
        <f t="shared" si="25"/>
        <v>7</v>
      </c>
    </row>
    <row r="1632" spans="1:10" x14ac:dyDescent="0.2">
      <c r="A1632" s="6">
        <v>43636</v>
      </c>
      <c r="B1632">
        <v>2007</v>
      </c>
      <c r="C1632">
        <v>2742</v>
      </c>
      <c r="D1632">
        <v>1631</v>
      </c>
      <c r="E1632">
        <v>9200</v>
      </c>
      <c r="F1632" t="s">
        <v>25</v>
      </c>
      <c r="G1632">
        <v>9</v>
      </c>
      <c r="H1632" t="s">
        <v>68</v>
      </c>
      <c r="I1632">
        <v>12</v>
      </c>
      <c r="J1632" s="10">
        <f t="shared" si="25"/>
        <v>9</v>
      </c>
    </row>
    <row r="1633" spans="1:10" x14ac:dyDescent="0.2">
      <c r="A1633" s="6">
        <v>43629</v>
      </c>
      <c r="B1633">
        <v>2006</v>
      </c>
      <c r="C1633">
        <v>2742</v>
      </c>
      <c r="D1633">
        <v>1632</v>
      </c>
      <c r="E1633">
        <v>9900</v>
      </c>
      <c r="F1633" t="s">
        <v>25</v>
      </c>
      <c r="G1633">
        <v>9</v>
      </c>
      <c r="H1633" t="s">
        <v>68</v>
      </c>
      <c r="I1633">
        <v>13</v>
      </c>
      <c r="J1633" s="10">
        <f t="shared" si="25"/>
        <v>9</v>
      </c>
    </row>
    <row r="1634" spans="1:10" x14ac:dyDescent="0.2">
      <c r="A1634" s="6">
        <v>43629</v>
      </c>
      <c r="B1634">
        <v>2006</v>
      </c>
      <c r="C1634">
        <v>2742</v>
      </c>
      <c r="D1634">
        <v>1633</v>
      </c>
      <c r="E1634">
        <v>9100</v>
      </c>
      <c r="F1634" t="s">
        <v>25</v>
      </c>
      <c r="G1634">
        <v>42</v>
      </c>
      <c r="H1634" t="s">
        <v>26</v>
      </c>
      <c r="I1634">
        <v>13</v>
      </c>
      <c r="J1634" s="10">
        <f t="shared" si="25"/>
        <v>1</v>
      </c>
    </row>
    <row r="1635" spans="1:10" x14ac:dyDescent="0.2">
      <c r="A1635" s="6">
        <v>43615</v>
      </c>
      <c r="B1635">
        <v>2007</v>
      </c>
      <c r="C1635">
        <v>2742</v>
      </c>
      <c r="D1635">
        <v>1634</v>
      </c>
      <c r="E1635">
        <v>9200</v>
      </c>
      <c r="F1635" t="s">
        <v>25</v>
      </c>
      <c r="G1635">
        <v>6</v>
      </c>
      <c r="H1635" t="s">
        <v>68</v>
      </c>
      <c r="I1635">
        <v>12</v>
      </c>
      <c r="J1635" s="10">
        <f t="shared" si="25"/>
        <v>6</v>
      </c>
    </row>
    <row r="1636" spans="1:10" x14ac:dyDescent="0.2">
      <c r="A1636" s="6">
        <v>43558</v>
      </c>
      <c r="B1636">
        <v>2006</v>
      </c>
      <c r="C1636">
        <v>2742</v>
      </c>
      <c r="D1636">
        <v>1635</v>
      </c>
      <c r="E1636">
        <v>10500</v>
      </c>
      <c r="F1636" t="s">
        <v>25</v>
      </c>
      <c r="G1636">
        <v>12</v>
      </c>
      <c r="H1636" t="s">
        <v>68</v>
      </c>
      <c r="I1636">
        <v>13</v>
      </c>
      <c r="J1636" s="10">
        <f t="shared" si="25"/>
        <v>12</v>
      </c>
    </row>
    <row r="1637" spans="1:10" x14ac:dyDescent="0.2">
      <c r="A1637" s="6">
        <v>43534</v>
      </c>
      <c r="B1637">
        <v>2006</v>
      </c>
      <c r="C1637">
        <v>2742</v>
      </c>
      <c r="D1637">
        <v>1636</v>
      </c>
      <c r="E1637">
        <v>9850</v>
      </c>
      <c r="F1637" t="s">
        <v>25</v>
      </c>
      <c r="G1637">
        <v>12</v>
      </c>
      <c r="H1637" t="s">
        <v>68</v>
      </c>
      <c r="I1637">
        <v>13</v>
      </c>
      <c r="J1637" s="10">
        <f t="shared" si="25"/>
        <v>12</v>
      </c>
    </row>
    <row r="1638" spans="1:10" x14ac:dyDescent="0.2">
      <c r="A1638" s="6">
        <v>43521</v>
      </c>
      <c r="B1638">
        <v>2006</v>
      </c>
      <c r="C1638">
        <v>2742</v>
      </c>
      <c r="D1638">
        <v>1637</v>
      </c>
      <c r="E1638">
        <v>8500</v>
      </c>
      <c r="F1638" t="s">
        <v>25</v>
      </c>
      <c r="G1638">
        <v>3</v>
      </c>
      <c r="H1638" t="s">
        <v>68</v>
      </c>
      <c r="I1638">
        <v>13</v>
      </c>
      <c r="J1638" s="10">
        <f t="shared" si="25"/>
        <v>3</v>
      </c>
    </row>
    <row r="1639" spans="1:10" x14ac:dyDescent="0.2">
      <c r="A1639" s="6">
        <v>43516</v>
      </c>
      <c r="B1639">
        <v>2006</v>
      </c>
      <c r="C1639">
        <v>2742</v>
      </c>
      <c r="D1639">
        <v>1638</v>
      </c>
      <c r="E1639">
        <v>8500</v>
      </c>
      <c r="F1639" t="s">
        <v>25</v>
      </c>
      <c r="G1639">
        <v>8</v>
      </c>
      <c r="H1639" t="s">
        <v>68</v>
      </c>
      <c r="I1639">
        <v>13</v>
      </c>
      <c r="J1639" s="10">
        <f t="shared" si="25"/>
        <v>8</v>
      </c>
    </row>
    <row r="1640" spans="1:10" x14ac:dyDescent="0.2">
      <c r="A1640" s="6">
        <v>43509</v>
      </c>
      <c r="B1640">
        <v>2007</v>
      </c>
      <c r="C1640">
        <v>2742</v>
      </c>
      <c r="D1640">
        <v>1639</v>
      </c>
      <c r="E1640">
        <v>8500</v>
      </c>
      <c r="F1640" t="s">
        <v>25</v>
      </c>
      <c r="G1640">
        <v>6</v>
      </c>
      <c r="H1640" t="s">
        <v>68</v>
      </c>
      <c r="I1640">
        <v>12</v>
      </c>
      <c r="J1640" s="10">
        <f t="shared" si="25"/>
        <v>6</v>
      </c>
    </row>
    <row r="1641" spans="1:10" x14ac:dyDescent="0.2">
      <c r="A1641" s="6">
        <v>43488</v>
      </c>
      <c r="B1641">
        <v>2006</v>
      </c>
      <c r="C1641">
        <v>2742</v>
      </c>
      <c r="D1641">
        <v>1640</v>
      </c>
      <c r="E1641">
        <v>8500</v>
      </c>
      <c r="F1641" t="s">
        <v>25</v>
      </c>
      <c r="G1641">
        <v>8</v>
      </c>
      <c r="H1641" t="s">
        <v>68</v>
      </c>
      <c r="I1641">
        <v>13</v>
      </c>
      <c r="J1641" s="10">
        <f t="shared" si="25"/>
        <v>8</v>
      </c>
    </row>
    <row r="1642" spans="1:10" x14ac:dyDescent="0.2">
      <c r="A1642" s="6">
        <v>43483</v>
      </c>
      <c r="B1642">
        <v>2006</v>
      </c>
      <c r="C1642">
        <v>2742</v>
      </c>
      <c r="D1642">
        <v>1641</v>
      </c>
      <c r="E1642">
        <v>9000</v>
      </c>
      <c r="F1642" t="s">
        <v>25</v>
      </c>
      <c r="G1642">
        <v>6</v>
      </c>
      <c r="H1642" t="s">
        <v>68</v>
      </c>
      <c r="I1642">
        <v>13</v>
      </c>
      <c r="J1642" s="10">
        <f t="shared" si="25"/>
        <v>6</v>
      </c>
    </row>
    <row r="1643" spans="1:10" x14ac:dyDescent="0.2">
      <c r="A1643" s="6">
        <v>43483</v>
      </c>
      <c r="B1643">
        <v>2006</v>
      </c>
      <c r="C1643">
        <v>2742</v>
      </c>
      <c r="D1643">
        <v>1642</v>
      </c>
      <c r="E1643">
        <v>9200</v>
      </c>
      <c r="F1643" t="s">
        <v>25</v>
      </c>
      <c r="G1643">
        <v>5</v>
      </c>
      <c r="H1643" t="s">
        <v>68</v>
      </c>
      <c r="I1643">
        <v>13</v>
      </c>
      <c r="J1643" s="10">
        <f t="shared" si="25"/>
        <v>5</v>
      </c>
    </row>
    <row r="1644" spans="1:10" x14ac:dyDescent="0.2">
      <c r="A1644" s="6">
        <v>43472</v>
      </c>
      <c r="B1644">
        <v>2006</v>
      </c>
      <c r="C1644">
        <v>2742</v>
      </c>
      <c r="D1644">
        <v>1643</v>
      </c>
      <c r="E1644">
        <v>9000</v>
      </c>
      <c r="F1644" t="s">
        <v>25</v>
      </c>
      <c r="G1644">
        <v>50</v>
      </c>
      <c r="H1644" t="s">
        <v>26</v>
      </c>
      <c r="I1644">
        <v>13</v>
      </c>
      <c r="J1644" s="10">
        <f t="shared" si="25"/>
        <v>2</v>
      </c>
    </row>
    <row r="1645" spans="1:10" x14ac:dyDescent="0.2">
      <c r="A1645" s="6">
        <v>43465</v>
      </c>
      <c r="B1645">
        <v>2007</v>
      </c>
      <c r="C1645">
        <v>2742</v>
      </c>
      <c r="D1645">
        <v>1644</v>
      </c>
      <c r="E1645">
        <v>9200</v>
      </c>
      <c r="F1645" t="s">
        <v>25</v>
      </c>
      <c r="G1645">
        <v>6</v>
      </c>
      <c r="H1645" t="s">
        <v>68</v>
      </c>
      <c r="I1645">
        <v>12</v>
      </c>
      <c r="J1645" s="10">
        <f t="shared" si="25"/>
        <v>6</v>
      </c>
    </row>
    <row r="1646" spans="1:10" x14ac:dyDescent="0.2">
      <c r="A1646" s="6">
        <v>43444</v>
      </c>
      <c r="B1646">
        <v>2006</v>
      </c>
      <c r="C1646">
        <v>2742</v>
      </c>
      <c r="D1646">
        <v>1645</v>
      </c>
      <c r="E1646">
        <v>9500</v>
      </c>
      <c r="F1646" t="s">
        <v>25</v>
      </c>
      <c r="G1646">
        <v>60</v>
      </c>
      <c r="H1646" t="s">
        <v>26</v>
      </c>
      <c r="I1646">
        <v>13</v>
      </c>
      <c r="J1646" s="10">
        <f t="shared" si="25"/>
        <v>2</v>
      </c>
    </row>
    <row r="1647" spans="1:10" x14ac:dyDescent="0.2">
      <c r="A1647" s="6">
        <v>43440</v>
      </c>
      <c r="B1647">
        <v>2007</v>
      </c>
      <c r="C1647">
        <v>2742</v>
      </c>
      <c r="D1647">
        <v>1646</v>
      </c>
      <c r="E1647">
        <v>9650</v>
      </c>
      <c r="F1647" t="s">
        <v>25</v>
      </c>
      <c r="G1647">
        <v>4</v>
      </c>
      <c r="H1647" t="s">
        <v>68</v>
      </c>
      <c r="I1647">
        <v>12</v>
      </c>
      <c r="J1647" s="10">
        <f t="shared" si="25"/>
        <v>4</v>
      </c>
    </row>
    <row r="1648" spans="1:10" x14ac:dyDescent="0.2">
      <c r="A1648" s="6">
        <v>43426</v>
      </c>
      <c r="B1648">
        <v>2007</v>
      </c>
      <c r="C1648">
        <v>2742</v>
      </c>
      <c r="D1648">
        <v>1647</v>
      </c>
      <c r="E1648">
        <v>10000</v>
      </c>
      <c r="F1648" t="s">
        <v>25</v>
      </c>
      <c r="G1648">
        <v>3</v>
      </c>
      <c r="H1648" t="s">
        <v>68</v>
      </c>
      <c r="I1648">
        <v>12</v>
      </c>
      <c r="J1648" s="10">
        <f t="shared" si="25"/>
        <v>3</v>
      </c>
    </row>
    <row r="1649" spans="1:10" x14ac:dyDescent="0.2">
      <c r="A1649" s="6">
        <v>43419</v>
      </c>
      <c r="B1649">
        <v>2007</v>
      </c>
      <c r="C1649">
        <v>2742</v>
      </c>
      <c r="D1649">
        <v>1648</v>
      </c>
      <c r="E1649">
        <v>9500</v>
      </c>
      <c r="F1649" t="s">
        <v>25</v>
      </c>
      <c r="G1649">
        <v>4</v>
      </c>
      <c r="H1649" t="s">
        <v>68</v>
      </c>
      <c r="I1649">
        <v>12</v>
      </c>
      <c r="J1649" s="10">
        <f t="shared" si="25"/>
        <v>4</v>
      </c>
    </row>
    <row r="1650" spans="1:10" x14ac:dyDescent="0.2">
      <c r="A1650" s="6">
        <v>43416</v>
      </c>
      <c r="B1650">
        <v>2006</v>
      </c>
      <c r="C1650">
        <v>2742</v>
      </c>
      <c r="D1650">
        <v>1649</v>
      </c>
      <c r="E1650">
        <v>10750</v>
      </c>
      <c r="F1650" t="s">
        <v>25</v>
      </c>
      <c r="G1650">
        <v>5</v>
      </c>
      <c r="H1650" t="s">
        <v>68</v>
      </c>
      <c r="I1650">
        <v>13</v>
      </c>
      <c r="J1650" s="10">
        <f t="shared" si="25"/>
        <v>5</v>
      </c>
    </row>
    <row r="1651" spans="1:10" x14ac:dyDescent="0.2">
      <c r="A1651" s="6">
        <v>43375</v>
      </c>
      <c r="B1651">
        <v>2006</v>
      </c>
      <c r="C1651">
        <v>2742</v>
      </c>
      <c r="D1651">
        <v>1650</v>
      </c>
      <c r="E1651">
        <v>11500</v>
      </c>
      <c r="F1651" t="s">
        <v>25</v>
      </c>
      <c r="G1651">
        <v>6</v>
      </c>
      <c r="H1651" t="s">
        <v>68</v>
      </c>
      <c r="I1651">
        <v>13</v>
      </c>
      <c r="J1651" s="10">
        <f t="shared" si="25"/>
        <v>6</v>
      </c>
    </row>
    <row r="1652" spans="1:10" x14ac:dyDescent="0.2">
      <c r="A1652" s="6">
        <v>43367</v>
      </c>
      <c r="B1652">
        <v>2006</v>
      </c>
      <c r="C1652">
        <v>2742</v>
      </c>
      <c r="D1652">
        <v>1651</v>
      </c>
      <c r="E1652">
        <v>11500</v>
      </c>
      <c r="F1652" t="s">
        <v>25</v>
      </c>
      <c r="G1652">
        <v>7</v>
      </c>
      <c r="H1652" t="s">
        <v>68</v>
      </c>
      <c r="I1652">
        <v>13</v>
      </c>
      <c r="J1652" s="10">
        <f t="shared" si="25"/>
        <v>7</v>
      </c>
    </row>
    <row r="1653" spans="1:10" x14ac:dyDescent="0.2">
      <c r="A1653" s="6">
        <v>43367</v>
      </c>
      <c r="B1653">
        <v>2007</v>
      </c>
      <c r="C1653">
        <v>2742</v>
      </c>
      <c r="D1653">
        <v>1652</v>
      </c>
      <c r="E1653">
        <v>11350</v>
      </c>
      <c r="F1653" t="s">
        <v>25</v>
      </c>
      <c r="G1653">
        <v>3</v>
      </c>
      <c r="H1653" t="s">
        <v>68</v>
      </c>
      <c r="I1653">
        <v>12</v>
      </c>
      <c r="J1653" s="10">
        <f t="shared" si="25"/>
        <v>3</v>
      </c>
    </row>
    <row r="1654" spans="1:10" x14ac:dyDescent="0.2">
      <c r="A1654" s="6">
        <v>43364</v>
      </c>
      <c r="B1654">
        <v>2007</v>
      </c>
      <c r="C1654">
        <v>2742</v>
      </c>
      <c r="D1654">
        <v>1653</v>
      </c>
      <c r="E1654">
        <v>11500</v>
      </c>
      <c r="F1654" t="s">
        <v>25</v>
      </c>
      <c r="G1654">
        <v>35</v>
      </c>
      <c r="H1654" t="s">
        <v>26</v>
      </c>
      <c r="I1654">
        <v>12</v>
      </c>
      <c r="J1654" s="10">
        <f t="shared" si="25"/>
        <v>1</v>
      </c>
    </row>
    <row r="1655" spans="1:10" x14ac:dyDescent="0.2">
      <c r="A1655" s="6">
        <v>43361</v>
      </c>
      <c r="B1655">
        <v>2007</v>
      </c>
      <c r="C1655">
        <v>2742</v>
      </c>
      <c r="D1655">
        <v>1654</v>
      </c>
      <c r="E1655">
        <v>12000</v>
      </c>
      <c r="F1655" t="s">
        <v>25</v>
      </c>
      <c r="G1655">
        <v>2</v>
      </c>
      <c r="H1655" t="s">
        <v>68</v>
      </c>
      <c r="I1655">
        <v>12</v>
      </c>
      <c r="J1655" s="10">
        <f t="shared" si="25"/>
        <v>2</v>
      </c>
    </row>
    <row r="1656" spans="1:10" x14ac:dyDescent="0.2">
      <c r="A1656" s="6">
        <v>43335</v>
      </c>
      <c r="B1656">
        <v>2007</v>
      </c>
      <c r="C1656">
        <v>2742</v>
      </c>
      <c r="D1656">
        <v>1655</v>
      </c>
      <c r="E1656">
        <v>11750</v>
      </c>
      <c r="F1656" t="s">
        <v>25</v>
      </c>
      <c r="G1656">
        <v>6</v>
      </c>
      <c r="H1656" t="s">
        <v>68</v>
      </c>
      <c r="I1656">
        <v>12</v>
      </c>
      <c r="J1656" s="10">
        <f t="shared" si="25"/>
        <v>6</v>
      </c>
    </row>
    <row r="1657" spans="1:10" x14ac:dyDescent="0.2">
      <c r="A1657" s="6">
        <v>43245</v>
      </c>
      <c r="B1657">
        <v>2007</v>
      </c>
      <c r="C1657">
        <v>2742</v>
      </c>
      <c r="D1657">
        <v>1656</v>
      </c>
      <c r="E1657">
        <v>12200</v>
      </c>
      <c r="F1657" t="s">
        <v>25</v>
      </c>
      <c r="G1657">
        <v>3</v>
      </c>
      <c r="H1657" t="s">
        <v>68</v>
      </c>
      <c r="I1657">
        <v>12</v>
      </c>
      <c r="J1657" s="10">
        <f t="shared" si="25"/>
        <v>3</v>
      </c>
    </row>
    <row r="1658" spans="1:10" x14ac:dyDescent="0.2">
      <c r="A1658" s="6">
        <v>43222</v>
      </c>
      <c r="B1658">
        <v>2007</v>
      </c>
      <c r="C1658">
        <v>2742</v>
      </c>
      <c r="D1658">
        <v>1657</v>
      </c>
      <c r="E1658">
        <v>11700</v>
      </c>
      <c r="F1658" t="s">
        <v>25</v>
      </c>
      <c r="G1658">
        <v>6</v>
      </c>
      <c r="H1658" t="s">
        <v>68</v>
      </c>
      <c r="I1658">
        <v>12</v>
      </c>
      <c r="J1658" s="10">
        <f t="shared" si="25"/>
        <v>6</v>
      </c>
    </row>
    <row r="1659" spans="1:10" x14ac:dyDescent="0.2">
      <c r="A1659" s="6">
        <v>43209</v>
      </c>
      <c r="B1659">
        <v>2006</v>
      </c>
      <c r="C1659">
        <v>2742</v>
      </c>
      <c r="D1659">
        <v>1658</v>
      </c>
      <c r="E1659">
        <v>12000</v>
      </c>
      <c r="F1659" t="s">
        <v>25</v>
      </c>
      <c r="G1659">
        <v>7</v>
      </c>
      <c r="H1659" t="s">
        <v>68</v>
      </c>
      <c r="I1659">
        <v>13</v>
      </c>
      <c r="J1659" s="10">
        <f t="shared" si="25"/>
        <v>7</v>
      </c>
    </row>
    <row r="1660" spans="1:10" x14ac:dyDescent="0.2">
      <c r="A1660" s="6">
        <v>43209</v>
      </c>
      <c r="B1660">
        <v>2006</v>
      </c>
      <c r="C1660">
        <v>2742</v>
      </c>
      <c r="D1660">
        <v>1659</v>
      </c>
      <c r="E1660">
        <v>11600</v>
      </c>
      <c r="F1660" t="s">
        <v>25</v>
      </c>
      <c r="G1660">
        <v>12</v>
      </c>
      <c r="H1660" t="s">
        <v>68</v>
      </c>
      <c r="I1660">
        <v>13</v>
      </c>
      <c r="J1660" s="10">
        <f t="shared" si="25"/>
        <v>12</v>
      </c>
    </row>
    <row r="1661" spans="1:10" x14ac:dyDescent="0.2">
      <c r="A1661" s="6">
        <v>43205</v>
      </c>
      <c r="B1661">
        <v>2006</v>
      </c>
      <c r="C1661">
        <v>2742</v>
      </c>
      <c r="D1661">
        <v>1660</v>
      </c>
      <c r="E1661">
        <v>10650</v>
      </c>
      <c r="F1661" t="s">
        <v>25</v>
      </c>
      <c r="G1661">
        <v>12</v>
      </c>
      <c r="H1661" t="s">
        <v>68</v>
      </c>
      <c r="I1661">
        <v>13</v>
      </c>
      <c r="J1661" s="10">
        <f t="shared" si="25"/>
        <v>12</v>
      </c>
    </row>
    <row r="1662" spans="1:10" x14ac:dyDescent="0.2">
      <c r="A1662" s="6">
        <v>43200</v>
      </c>
      <c r="B1662">
        <v>2006</v>
      </c>
      <c r="C1662">
        <v>2742</v>
      </c>
      <c r="D1662">
        <v>1661</v>
      </c>
      <c r="E1662">
        <v>11500</v>
      </c>
      <c r="F1662" t="s">
        <v>25</v>
      </c>
      <c r="G1662">
        <v>12</v>
      </c>
      <c r="H1662" t="s">
        <v>68</v>
      </c>
      <c r="I1662">
        <v>13</v>
      </c>
      <c r="J1662" s="10">
        <f t="shared" si="25"/>
        <v>12</v>
      </c>
    </row>
    <row r="1663" spans="1:10" x14ac:dyDescent="0.2">
      <c r="A1663" s="6">
        <v>43180</v>
      </c>
      <c r="B1663">
        <v>2007</v>
      </c>
      <c r="C1663">
        <v>2742</v>
      </c>
      <c r="D1663">
        <v>1662</v>
      </c>
      <c r="E1663">
        <v>10500</v>
      </c>
      <c r="F1663" t="s">
        <v>25</v>
      </c>
      <c r="G1663">
        <v>6</v>
      </c>
      <c r="H1663" t="s">
        <v>68</v>
      </c>
      <c r="I1663">
        <v>12</v>
      </c>
      <c r="J1663" s="10">
        <f t="shared" si="25"/>
        <v>6</v>
      </c>
    </row>
    <row r="1664" spans="1:10" x14ac:dyDescent="0.2">
      <c r="A1664" s="6">
        <v>43161</v>
      </c>
      <c r="B1664">
        <v>2007</v>
      </c>
      <c r="C1664">
        <v>2742</v>
      </c>
      <c r="D1664">
        <v>1663</v>
      </c>
      <c r="E1664">
        <v>9500</v>
      </c>
      <c r="F1664" t="s">
        <v>25</v>
      </c>
      <c r="G1664">
        <v>6</v>
      </c>
      <c r="H1664" t="s">
        <v>68</v>
      </c>
      <c r="I1664">
        <v>12</v>
      </c>
      <c r="J1664" s="10">
        <f t="shared" si="25"/>
        <v>6</v>
      </c>
    </row>
    <row r="1665" spans="1:10" x14ac:dyDescent="0.2">
      <c r="A1665" s="6">
        <v>43139</v>
      </c>
      <c r="B1665">
        <v>2006</v>
      </c>
      <c r="C1665">
        <v>2742</v>
      </c>
      <c r="D1665">
        <v>1664</v>
      </c>
      <c r="E1665">
        <v>11750</v>
      </c>
      <c r="F1665" t="s">
        <v>25</v>
      </c>
      <c r="G1665">
        <v>2</v>
      </c>
      <c r="H1665" t="s">
        <v>68</v>
      </c>
      <c r="I1665">
        <v>13</v>
      </c>
      <c r="J1665" s="10">
        <f t="shared" si="25"/>
        <v>2</v>
      </c>
    </row>
    <row r="1666" spans="1:10" x14ac:dyDescent="0.2">
      <c r="A1666" s="6">
        <v>43136</v>
      </c>
      <c r="B1666">
        <v>2006</v>
      </c>
      <c r="C1666">
        <v>2742</v>
      </c>
      <c r="D1666">
        <v>1665</v>
      </c>
      <c r="E1666">
        <v>9500</v>
      </c>
      <c r="F1666" t="s">
        <v>25</v>
      </c>
      <c r="G1666">
        <v>8</v>
      </c>
      <c r="H1666" t="s">
        <v>68</v>
      </c>
      <c r="I1666">
        <v>13</v>
      </c>
      <c r="J1666" s="10">
        <f t="shared" ref="J1666:J1729" si="26">IF(H1666="days",ROUND(G1666/30,0),IF(H1666="years",G1666*12,G1666))</f>
        <v>8</v>
      </c>
    </row>
    <row r="1667" spans="1:10" x14ac:dyDescent="0.2">
      <c r="A1667" s="6">
        <v>43111</v>
      </c>
      <c r="B1667">
        <v>2007</v>
      </c>
      <c r="C1667">
        <v>2742</v>
      </c>
      <c r="D1667">
        <v>1666</v>
      </c>
      <c r="E1667">
        <v>9500</v>
      </c>
      <c r="F1667" t="s">
        <v>25</v>
      </c>
      <c r="G1667">
        <v>4</v>
      </c>
      <c r="H1667" t="s">
        <v>68</v>
      </c>
      <c r="I1667">
        <v>12</v>
      </c>
      <c r="J1667" s="10">
        <f t="shared" si="26"/>
        <v>4</v>
      </c>
    </row>
    <row r="1668" spans="1:10" x14ac:dyDescent="0.2">
      <c r="A1668" s="6">
        <v>43098</v>
      </c>
      <c r="B1668">
        <v>2006</v>
      </c>
      <c r="C1668">
        <v>2742</v>
      </c>
      <c r="D1668">
        <v>1667</v>
      </c>
      <c r="E1668">
        <v>9500</v>
      </c>
      <c r="F1668" t="s">
        <v>25</v>
      </c>
      <c r="G1668">
        <v>5</v>
      </c>
      <c r="H1668" t="s">
        <v>68</v>
      </c>
      <c r="I1668">
        <v>13</v>
      </c>
      <c r="J1668" s="10">
        <f t="shared" si="26"/>
        <v>5</v>
      </c>
    </row>
    <row r="1669" spans="1:10" x14ac:dyDescent="0.2">
      <c r="A1669" s="6">
        <v>43096</v>
      </c>
      <c r="B1669">
        <v>2006</v>
      </c>
      <c r="C1669">
        <v>2742</v>
      </c>
      <c r="D1669">
        <v>1668</v>
      </c>
      <c r="E1669">
        <v>9000</v>
      </c>
      <c r="F1669" t="s">
        <v>25</v>
      </c>
      <c r="G1669">
        <v>9</v>
      </c>
      <c r="H1669" t="s">
        <v>68</v>
      </c>
      <c r="I1669">
        <v>13</v>
      </c>
      <c r="J1669" s="10">
        <f t="shared" si="26"/>
        <v>9</v>
      </c>
    </row>
    <row r="1670" spans="1:10" x14ac:dyDescent="0.2">
      <c r="A1670" s="6">
        <v>43003</v>
      </c>
      <c r="B1670">
        <v>2006</v>
      </c>
      <c r="C1670">
        <v>2742</v>
      </c>
      <c r="D1670">
        <v>1669</v>
      </c>
      <c r="E1670">
        <v>9500</v>
      </c>
      <c r="F1670" t="s">
        <v>25</v>
      </c>
      <c r="G1670">
        <v>8</v>
      </c>
      <c r="H1670" t="s">
        <v>68</v>
      </c>
      <c r="I1670">
        <v>13</v>
      </c>
      <c r="J1670" s="10">
        <f t="shared" si="26"/>
        <v>8</v>
      </c>
    </row>
    <row r="1671" spans="1:10" x14ac:dyDescent="0.2">
      <c r="A1671" s="6">
        <v>42996</v>
      </c>
      <c r="B1671">
        <v>2007</v>
      </c>
      <c r="C1671">
        <v>2742</v>
      </c>
      <c r="D1671">
        <v>1670</v>
      </c>
      <c r="E1671">
        <v>9500</v>
      </c>
      <c r="F1671" t="s">
        <v>25</v>
      </c>
      <c r="G1671">
        <v>6</v>
      </c>
      <c r="H1671" t="s">
        <v>68</v>
      </c>
      <c r="I1671">
        <v>12</v>
      </c>
      <c r="J1671" s="10">
        <f t="shared" si="26"/>
        <v>6</v>
      </c>
    </row>
    <row r="1672" spans="1:10" x14ac:dyDescent="0.2">
      <c r="A1672" s="6">
        <v>42985</v>
      </c>
      <c r="B1672">
        <v>2007</v>
      </c>
      <c r="C1672">
        <v>2742</v>
      </c>
      <c r="D1672">
        <v>1671</v>
      </c>
      <c r="E1672">
        <v>9450</v>
      </c>
      <c r="F1672" t="s">
        <v>25</v>
      </c>
      <c r="G1672">
        <v>7</v>
      </c>
      <c r="H1672" t="s">
        <v>68</v>
      </c>
      <c r="I1672">
        <v>12</v>
      </c>
      <c r="J1672" s="10">
        <f t="shared" si="26"/>
        <v>7</v>
      </c>
    </row>
    <row r="1673" spans="1:10" x14ac:dyDescent="0.2">
      <c r="A1673" s="6">
        <v>42983</v>
      </c>
      <c r="B1673">
        <v>2006</v>
      </c>
      <c r="C1673">
        <v>2742</v>
      </c>
      <c r="D1673">
        <v>1672</v>
      </c>
      <c r="E1673">
        <v>9700</v>
      </c>
      <c r="F1673" t="s">
        <v>25</v>
      </c>
      <c r="G1673">
        <v>8</v>
      </c>
      <c r="H1673" t="s">
        <v>68</v>
      </c>
      <c r="I1673">
        <v>13</v>
      </c>
      <c r="J1673" s="10">
        <f t="shared" si="26"/>
        <v>8</v>
      </c>
    </row>
    <row r="1674" spans="1:10" x14ac:dyDescent="0.2">
      <c r="A1674" s="6">
        <v>42972</v>
      </c>
      <c r="B1674">
        <v>2007</v>
      </c>
      <c r="C1674">
        <v>2742</v>
      </c>
      <c r="D1674">
        <v>1673</v>
      </c>
      <c r="E1674">
        <v>9500</v>
      </c>
      <c r="F1674" t="s">
        <v>25</v>
      </c>
      <c r="G1674">
        <v>8</v>
      </c>
      <c r="H1674" t="s">
        <v>68</v>
      </c>
      <c r="I1674">
        <v>12</v>
      </c>
      <c r="J1674" s="10">
        <f t="shared" si="26"/>
        <v>8</v>
      </c>
    </row>
    <row r="1675" spans="1:10" x14ac:dyDescent="0.2">
      <c r="A1675" s="6">
        <v>42948</v>
      </c>
      <c r="B1675">
        <v>2006</v>
      </c>
      <c r="C1675">
        <v>2742</v>
      </c>
      <c r="D1675">
        <v>1674</v>
      </c>
      <c r="E1675">
        <v>9500</v>
      </c>
      <c r="F1675" t="s">
        <v>25</v>
      </c>
      <c r="G1675">
        <v>7</v>
      </c>
      <c r="H1675" t="s">
        <v>68</v>
      </c>
      <c r="I1675">
        <v>13</v>
      </c>
      <c r="J1675" s="10">
        <f t="shared" si="26"/>
        <v>7</v>
      </c>
    </row>
    <row r="1676" spans="1:10" x14ac:dyDescent="0.2">
      <c r="A1676" s="6">
        <v>42913</v>
      </c>
      <c r="B1676">
        <v>2007</v>
      </c>
      <c r="C1676">
        <v>2742</v>
      </c>
      <c r="D1676">
        <v>1675</v>
      </c>
      <c r="E1676">
        <v>9400</v>
      </c>
      <c r="F1676" t="s">
        <v>25</v>
      </c>
      <c r="G1676">
        <v>6</v>
      </c>
      <c r="H1676" t="s">
        <v>68</v>
      </c>
      <c r="I1676">
        <v>12</v>
      </c>
      <c r="J1676" s="10">
        <f t="shared" si="26"/>
        <v>6</v>
      </c>
    </row>
    <row r="1677" spans="1:10" x14ac:dyDescent="0.2">
      <c r="A1677" s="6">
        <v>42887</v>
      </c>
      <c r="B1677">
        <v>2006</v>
      </c>
      <c r="C1677">
        <v>2742</v>
      </c>
      <c r="D1677">
        <v>1676</v>
      </c>
      <c r="E1677">
        <v>8500</v>
      </c>
      <c r="F1677" t="s">
        <v>25</v>
      </c>
      <c r="G1677">
        <v>6</v>
      </c>
      <c r="H1677" t="s">
        <v>68</v>
      </c>
      <c r="I1677">
        <v>13</v>
      </c>
      <c r="J1677" s="10">
        <f t="shared" si="26"/>
        <v>6</v>
      </c>
    </row>
    <row r="1678" spans="1:10" x14ac:dyDescent="0.2">
      <c r="A1678" s="6">
        <v>42879</v>
      </c>
      <c r="B1678">
        <v>2007</v>
      </c>
      <c r="C1678">
        <v>2742</v>
      </c>
      <c r="D1678">
        <v>1677</v>
      </c>
      <c r="E1678">
        <v>10000</v>
      </c>
      <c r="F1678" t="s">
        <v>25</v>
      </c>
      <c r="G1678">
        <v>3</v>
      </c>
      <c r="H1678" t="s">
        <v>68</v>
      </c>
      <c r="I1678">
        <v>12</v>
      </c>
      <c r="J1678" s="10">
        <f t="shared" si="26"/>
        <v>3</v>
      </c>
    </row>
    <row r="1679" spans="1:10" x14ac:dyDescent="0.2">
      <c r="A1679" s="6">
        <v>42865</v>
      </c>
      <c r="B1679">
        <v>2006</v>
      </c>
      <c r="C1679">
        <v>2742</v>
      </c>
      <c r="D1679">
        <v>1678</v>
      </c>
      <c r="E1679">
        <v>9750</v>
      </c>
      <c r="F1679" t="s">
        <v>25</v>
      </c>
      <c r="G1679">
        <v>6</v>
      </c>
      <c r="H1679" t="s">
        <v>68</v>
      </c>
      <c r="I1679">
        <v>13</v>
      </c>
      <c r="J1679" s="10">
        <f t="shared" si="26"/>
        <v>6</v>
      </c>
    </row>
    <row r="1680" spans="1:10" x14ac:dyDescent="0.2">
      <c r="A1680" s="6">
        <v>42850</v>
      </c>
      <c r="B1680">
        <v>2006</v>
      </c>
      <c r="C1680">
        <v>2742</v>
      </c>
      <c r="D1680">
        <v>1679</v>
      </c>
      <c r="E1680">
        <v>9700</v>
      </c>
      <c r="F1680" t="s">
        <v>25</v>
      </c>
      <c r="G1680">
        <v>8</v>
      </c>
      <c r="H1680" t="s">
        <v>68</v>
      </c>
      <c r="I1680">
        <v>13</v>
      </c>
      <c r="J1680" s="10">
        <f t="shared" si="26"/>
        <v>8</v>
      </c>
    </row>
    <row r="1681" spans="1:10" x14ac:dyDescent="0.2">
      <c r="A1681" s="6">
        <v>42824</v>
      </c>
      <c r="B1681">
        <v>2007</v>
      </c>
      <c r="C1681">
        <v>2742</v>
      </c>
      <c r="D1681">
        <v>1680</v>
      </c>
      <c r="E1681">
        <v>8700</v>
      </c>
      <c r="F1681" t="s">
        <v>25</v>
      </c>
      <c r="G1681">
        <v>5</v>
      </c>
      <c r="H1681" t="s">
        <v>68</v>
      </c>
      <c r="I1681">
        <v>12</v>
      </c>
      <c r="J1681" s="10">
        <f t="shared" si="26"/>
        <v>5</v>
      </c>
    </row>
    <row r="1682" spans="1:10" x14ac:dyDescent="0.2">
      <c r="A1682" s="6">
        <v>42793</v>
      </c>
      <c r="B1682">
        <v>2007</v>
      </c>
      <c r="C1682">
        <v>2742</v>
      </c>
      <c r="D1682">
        <v>1681</v>
      </c>
      <c r="E1682">
        <v>6800</v>
      </c>
      <c r="F1682" t="s">
        <v>25</v>
      </c>
      <c r="G1682">
        <v>7</v>
      </c>
      <c r="H1682" t="s">
        <v>68</v>
      </c>
      <c r="I1682">
        <v>12</v>
      </c>
      <c r="J1682" s="10">
        <f t="shared" si="26"/>
        <v>7</v>
      </c>
    </row>
    <row r="1683" spans="1:10" x14ac:dyDescent="0.2">
      <c r="A1683" s="6">
        <v>42758</v>
      </c>
      <c r="B1683">
        <v>2006</v>
      </c>
      <c r="C1683">
        <v>2742</v>
      </c>
      <c r="D1683">
        <v>1682</v>
      </c>
      <c r="E1683">
        <v>6500</v>
      </c>
      <c r="F1683" t="s">
        <v>25</v>
      </c>
      <c r="G1683">
        <v>9</v>
      </c>
      <c r="H1683" t="s">
        <v>68</v>
      </c>
      <c r="I1683">
        <v>13</v>
      </c>
      <c r="J1683" s="10">
        <f t="shared" si="26"/>
        <v>9</v>
      </c>
    </row>
    <row r="1684" spans="1:10" x14ac:dyDescent="0.2">
      <c r="A1684" s="6">
        <v>42741</v>
      </c>
      <c r="B1684">
        <v>2006</v>
      </c>
      <c r="C1684">
        <v>2742</v>
      </c>
      <c r="D1684">
        <v>1683</v>
      </c>
      <c r="E1684">
        <v>6500</v>
      </c>
      <c r="F1684" t="s">
        <v>25</v>
      </c>
      <c r="G1684">
        <v>8</v>
      </c>
      <c r="H1684" t="s">
        <v>68</v>
      </c>
      <c r="I1684">
        <v>13</v>
      </c>
      <c r="J1684" s="10">
        <f t="shared" si="26"/>
        <v>8</v>
      </c>
    </row>
    <row r="1685" spans="1:10" x14ac:dyDescent="0.2">
      <c r="A1685" s="6">
        <v>42639</v>
      </c>
      <c r="B1685">
        <v>2007</v>
      </c>
      <c r="C1685">
        <v>2742</v>
      </c>
      <c r="D1685">
        <v>1684</v>
      </c>
      <c r="E1685">
        <v>6400</v>
      </c>
      <c r="F1685" t="s">
        <v>25</v>
      </c>
      <c r="G1685">
        <v>5</v>
      </c>
      <c r="H1685" t="s">
        <v>68</v>
      </c>
      <c r="I1685">
        <v>12</v>
      </c>
      <c r="J1685" s="10">
        <f t="shared" si="26"/>
        <v>5</v>
      </c>
    </row>
    <row r="1686" spans="1:10" x14ac:dyDescent="0.2">
      <c r="A1686" s="6">
        <v>42628</v>
      </c>
      <c r="B1686">
        <v>2006</v>
      </c>
      <c r="C1686">
        <v>2742</v>
      </c>
      <c r="D1686">
        <v>1685</v>
      </c>
      <c r="E1686">
        <v>6500</v>
      </c>
      <c r="F1686" t="s">
        <v>25</v>
      </c>
      <c r="G1686">
        <v>9</v>
      </c>
      <c r="H1686" t="s">
        <v>68</v>
      </c>
      <c r="I1686">
        <v>13</v>
      </c>
      <c r="J1686" s="10">
        <f t="shared" si="26"/>
        <v>9</v>
      </c>
    </row>
    <row r="1687" spans="1:10" x14ac:dyDescent="0.2">
      <c r="A1687" s="6">
        <v>42619</v>
      </c>
      <c r="B1687">
        <v>2007</v>
      </c>
      <c r="C1687">
        <v>2742</v>
      </c>
      <c r="D1687">
        <v>1686</v>
      </c>
      <c r="E1687">
        <v>6250</v>
      </c>
      <c r="F1687" t="s">
        <v>25</v>
      </c>
      <c r="G1687">
        <v>7</v>
      </c>
      <c r="H1687" t="s">
        <v>68</v>
      </c>
      <c r="I1687">
        <v>12</v>
      </c>
      <c r="J1687" s="10">
        <f t="shared" si="26"/>
        <v>7</v>
      </c>
    </row>
    <row r="1688" spans="1:10" x14ac:dyDescent="0.2">
      <c r="A1688" s="6">
        <v>42590</v>
      </c>
      <c r="B1688">
        <v>2006</v>
      </c>
      <c r="C1688">
        <v>2742</v>
      </c>
      <c r="D1688">
        <v>1687</v>
      </c>
      <c r="E1688">
        <v>6250</v>
      </c>
      <c r="F1688" t="s">
        <v>25</v>
      </c>
      <c r="G1688">
        <v>6</v>
      </c>
      <c r="H1688" t="s">
        <v>68</v>
      </c>
      <c r="I1688">
        <v>13</v>
      </c>
      <c r="J1688" s="10">
        <f t="shared" si="26"/>
        <v>6</v>
      </c>
    </row>
    <row r="1689" spans="1:10" x14ac:dyDescent="0.2">
      <c r="A1689" s="6">
        <v>42579</v>
      </c>
      <c r="B1689">
        <v>2007</v>
      </c>
      <c r="C1689">
        <v>2742</v>
      </c>
      <c r="D1689">
        <v>1688</v>
      </c>
      <c r="E1689">
        <v>6250</v>
      </c>
      <c r="F1689" t="s">
        <v>25</v>
      </c>
      <c r="G1689">
        <v>7</v>
      </c>
      <c r="H1689" t="s">
        <v>68</v>
      </c>
      <c r="I1689">
        <v>12</v>
      </c>
      <c r="J1689" s="10">
        <f t="shared" si="26"/>
        <v>7</v>
      </c>
    </row>
    <row r="1690" spans="1:10" x14ac:dyDescent="0.2">
      <c r="A1690" s="6">
        <v>42549</v>
      </c>
      <c r="B1690">
        <v>2006</v>
      </c>
      <c r="C1690">
        <v>2742</v>
      </c>
      <c r="D1690">
        <v>1689</v>
      </c>
      <c r="E1690">
        <v>6350</v>
      </c>
      <c r="F1690" t="s">
        <v>25</v>
      </c>
      <c r="G1690">
        <v>60</v>
      </c>
      <c r="H1690" t="s">
        <v>26</v>
      </c>
      <c r="I1690">
        <v>13</v>
      </c>
      <c r="J1690" s="10">
        <f t="shared" si="26"/>
        <v>2</v>
      </c>
    </row>
    <row r="1691" spans="1:10" x14ac:dyDescent="0.2">
      <c r="A1691" s="6">
        <v>42499</v>
      </c>
      <c r="B1691">
        <v>2006</v>
      </c>
      <c r="C1691">
        <v>2742</v>
      </c>
      <c r="D1691">
        <v>1690</v>
      </c>
      <c r="E1691">
        <v>7000</v>
      </c>
      <c r="F1691" t="s">
        <v>25</v>
      </c>
      <c r="G1691">
        <v>8</v>
      </c>
      <c r="H1691" t="s">
        <v>68</v>
      </c>
      <c r="I1691">
        <v>13</v>
      </c>
      <c r="J1691" s="10">
        <f t="shared" si="26"/>
        <v>8</v>
      </c>
    </row>
    <row r="1692" spans="1:10" x14ac:dyDescent="0.2">
      <c r="A1692" s="6">
        <v>42489</v>
      </c>
      <c r="B1692">
        <v>2006</v>
      </c>
      <c r="C1692">
        <v>2742</v>
      </c>
      <c r="D1692">
        <v>1691</v>
      </c>
      <c r="E1692">
        <v>7000</v>
      </c>
      <c r="F1692" t="s">
        <v>25</v>
      </c>
      <c r="G1692">
        <v>6</v>
      </c>
      <c r="H1692" t="s">
        <v>68</v>
      </c>
      <c r="I1692">
        <v>13</v>
      </c>
      <c r="J1692" s="10">
        <f t="shared" si="26"/>
        <v>6</v>
      </c>
    </row>
    <row r="1693" spans="1:10" x14ac:dyDescent="0.2">
      <c r="A1693" s="6">
        <v>42431</v>
      </c>
      <c r="B1693">
        <v>2007</v>
      </c>
      <c r="C1693">
        <v>2742</v>
      </c>
      <c r="D1693">
        <v>1692</v>
      </c>
      <c r="E1693">
        <v>6500</v>
      </c>
      <c r="F1693" t="s">
        <v>25</v>
      </c>
      <c r="G1693">
        <v>6</v>
      </c>
      <c r="H1693" t="s">
        <v>68</v>
      </c>
      <c r="I1693">
        <v>12</v>
      </c>
      <c r="J1693" s="10">
        <f t="shared" si="26"/>
        <v>6</v>
      </c>
    </row>
    <row r="1694" spans="1:10" x14ac:dyDescent="0.2">
      <c r="A1694" s="6">
        <v>43529</v>
      </c>
      <c r="B1694">
        <v>2009</v>
      </c>
      <c r="C1694">
        <v>2758</v>
      </c>
      <c r="D1694">
        <v>1693</v>
      </c>
      <c r="E1694">
        <v>8500</v>
      </c>
      <c r="F1694" t="s">
        <v>25</v>
      </c>
      <c r="G1694">
        <v>6</v>
      </c>
      <c r="H1694" t="s">
        <v>68</v>
      </c>
      <c r="I1694">
        <v>10</v>
      </c>
      <c r="J1694" s="10">
        <f t="shared" si="26"/>
        <v>6</v>
      </c>
    </row>
    <row r="1695" spans="1:10" x14ac:dyDescent="0.2">
      <c r="A1695" s="6">
        <v>43459</v>
      </c>
      <c r="B1695">
        <v>2010</v>
      </c>
      <c r="C1695">
        <v>2758</v>
      </c>
      <c r="D1695">
        <v>1694</v>
      </c>
      <c r="E1695">
        <v>9000</v>
      </c>
      <c r="F1695" t="s">
        <v>25</v>
      </c>
      <c r="G1695">
        <v>7</v>
      </c>
      <c r="H1695" t="s">
        <v>68</v>
      </c>
      <c r="I1695">
        <v>9</v>
      </c>
      <c r="J1695" s="10">
        <f t="shared" si="26"/>
        <v>7</v>
      </c>
    </row>
    <row r="1696" spans="1:10" x14ac:dyDescent="0.2">
      <c r="A1696" s="6">
        <v>43416</v>
      </c>
      <c r="B1696">
        <v>2010</v>
      </c>
      <c r="C1696">
        <v>2758</v>
      </c>
      <c r="D1696">
        <v>1695</v>
      </c>
      <c r="E1696">
        <v>10000</v>
      </c>
      <c r="F1696" t="s">
        <v>25</v>
      </c>
      <c r="G1696">
        <v>12</v>
      </c>
      <c r="H1696" t="s">
        <v>68</v>
      </c>
      <c r="I1696">
        <v>9</v>
      </c>
      <c r="J1696" s="10">
        <f t="shared" si="26"/>
        <v>12</v>
      </c>
    </row>
    <row r="1697" spans="1:10" x14ac:dyDescent="0.2">
      <c r="A1697" s="6">
        <v>43376</v>
      </c>
      <c r="B1697">
        <v>2009</v>
      </c>
      <c r="C1697">
        <v>2758</v>
      </c>
      <c r="D1697">
        <v>1696</v>
      </c>
      <c r="E1697">
        <v>11400</v>
      </c>
      <c r="F1697" t="s">
        <v>25</v>
      </c>
      <c r="G1697">
        <v>75</v>
      </c>
      <c r="H1697" t="s">
        <v>26</v>
      </c>
      <c r="I1697">
        <v>10</v>
      </c>
      <c r="J1697" s="10">
        <f t="shared" si="26"/>
        <v>3</v>
      </c>
    </row>
    <row r="1698" spans="1:10" x14ac:dyDescent="0.2">
      <c r="A1698" s="6">
        <v>43305</v>
      </c>
      <c r="B1698">
        <v>2009</v>
      </c>
      <c r="C1698">
        <v>2758</v>
      </c>
      <c r="D1698">
        <v>1697</v>
      </c>
      <c r="E1698">
        <v>11500</v>
      </c>
      <c r="F1698" t="s">
        <v>25</v>
      </c>
      <c r="G1698">
        <v>42</v>
      </c>
      <c r="H1698" t="s">
        <v>26</v>
      </c>
      <c r="I1698">
        <v>10</v>
      </c>
      <c r="J1698" s="10">
        <f t="shared" si="26"/>
        <v>1</v>
      </c>
    </row>
    <row r="1699" spans="1:10" x14ac:dyDescent="0.2">
      <c r="A1699" s="6">
        <v>43224</v>
      </c>
      <c r="B1699">
        <v>2009</v>
      </c>
      <c r="C1699">
        <v>2758</v>
      </c>
      <c r="D1699">
        <v>1698</v>
      </c>
      <c r="E1699">
        <v>11750</v>
      </c>
      <c r="F1699" t="s">
        <v>25</v>
      </c>
      <c r="G1699">
        <v>7</v>
      </c>
      <c r="H1699" t="s">
        <v>68</v>
      </c>
      <c r="I1699">
        <v>10</v>
      </c>
      <c r="J1699" s="10">
        <f t="shared" si="26"/>
        <v>7</v>
      </c>
    </row>
    <row r="1700" spans="1:10" x14ac:dyDescent="0.2">
      <c r="A1700" s="6">
        <v>43132</v>
      </c>
      <c r="B1700">
        <v>2010</v>
      </c>
      <c r="C1700">
        <v>2758</v>
      </c>
      <c r="D1700">
        <v>1699</v>
      </c>
      <c r="E1700">
        <v>8500</v>
      </c>
      <c r="F1700" t="s">
        <v>25</v>
      </c>
      <c r="G1700">
        <v>84</v>
      </c>
      <c r="H1700" t="s">
        <v>26</v>
      </c>
      <c r="I1700">
        <v>9</v>
      </c>
      <c r="J1700" s="10">
        <f t="shared" si="26"/>
        <v>3</v>
      </c>
    </row>
    <row r="1701" spans="1:10" x14ac:dyDescent="0.2">
      <c r="A1701" s="6">
        <v>43056</v>
      </c>
      <c r="B1701">
        <v>2010</v>
      </c>
      <c r="C1701">
        <v>2758</v>
      </c>
      <c r="D1701">
        <v>1700</v>
      </c>
      <c r="E1701">
        <v>9750</v>
      </c>
      <c r="F1701" t="s">
        <v>25</v>
      </c>
      <c r="G1701">
        <v>6</v>
      </c>
      <c r="H1701" t="s">
        <v>68</v>
      </c>
      <c r="I1701">
        <v>9</v>
      </c>
      <c r="J1701" s="10">
        <f t="shared" si="26"/>
        <v>6</v>
      </c>
    </row>
    <row r="1702" spans="1:10" x14ac:dyDescent="0.2">
      <c r="A1702" s="6">
        <v>42998</v>
      </c>
      <c r="B1702">
        <v>2009</v>
      </c>
      <c r="C1702">
        <v>2758</v>
      </c>
      <c r="D1702">
        <v>1701</v>
      </c>
      <c r="E1702">
        <v>9500</v>
      </c>
      <c r="F1702" t="s">
        <v>25</v>
      </c>
      <c r="G1702">
        <v>7</v>
      </c>
      <c r="H1702" t="s">
        <v>68</v>
      </c>
      <c r="I1702">
        <v>10</v>
      </c>
      <c r="J1702" s="10">
        <f t="shared" si="26"/>
        <v>7</v>
      </c>
    </row>
    <row r="1703" spans="1:10" x14ac:dyDescent="0.2">
      <c r="A1703" s="6">
        <v>42760</v>
      </c>
      <c r="B1703">
        <v>2009</v>
      </c>
      <c r="C1703">
        <v>2758</v>
      </c>
      <c r="D1703">
        <v>1702</v>
      </c>
      <c r="E1703">
        <v>6000</v>
      </c>
      <c r="F1703" t="s">
        <v>25</v>
      </c>
      <c r="G1703">
        <v>8</v>
      </c>
      <c r="H1703" t="s">
        <v>68</v>
      </c>
      <c r="I1703">
        <v>10</v>
      </c>
      <c r="J1703" s="10">
        <f t="shared" si="26"/>
        <v>8</v>
      </c>
    </row>
    <row r="1704" spans="1:10" x14ac:dyDescent="0.2">
      <c r="A1704" s="6">
        <v>42717</v>
      </c>
      <c r="B1704">
        <v>2010</v>
      </c>
      <c r="C1704">
        <v>2758</v>
      </c>
      <c r="D1704">
        <v>1703</v>
      </c>
      <c r="E1704">
        <v>7200</v>
      </c>
      <c r="F1704" t="s">
        <v>25</v>
      </c>
      <c r="G1704">
        <v>13</v>
      </c>
      <c r="H1704" t="s">
        <v>68</v>
      </c>
      <c r="I1704">
        <v>9</v>
      </c>
      <c r="J1704" s="10">
        <f t="shared" si="26"/>
        <v>13</v>
      </c>
    </row>
    <row r="1705" spans="1:10" x14ac:dyDescent="0.2">
      <c r="A1705" s="6">
        <v>42705</v>
      </c>
      <c r="B1705">
        <v>2010</v>
      </c>
      <c r="C1705">
        <v>2758</v>
      </c>
      <c r="D1705">
        <v>1704</v>
      </c>
      <c r="E1705">
        <v>7200</v>
      </c>
      <c r="F1705" t="s">
        <v>25</v>
      </c>
      <c r="G1705">
        <v>12</v>
      </c>
      <c r="H1705" t="s">
        <v>68</v>
      </c>
      <c r="I1705">
        <v>9</v>
      </c>
      <c r="J1705" s="10">
        <f t="shared" si="26"/>
        <v>12</v>
      </c>
    </row>
    <row r="1706" spans="1:10" x14ac:dyDescent="0.2">
      <c r="A1706" s="6">
        <v>42415</v>
      </c>
      <c r="B1706">
        <v>2010</v>
      </c>
      <c r="C1706">
        <v>2758</v>
      </c>
      <c r="D1706">
        <v>1705</v>
      </c>
      <c r="E1706">
        <v>8800</v>
      </c>
      <c r="F1706" t="s">
        <v>25</v>
      </c>
      <c r="G1706">
        <v>14</v>
      </c>
      <c r="H1706" t="s">
        <v>68</v>
      </c>
      <c r="I1706">
        <v>9</v>
      </c>
      <c r="J1706" s="10">
        <f t="shared" si="26"/>
        <v>14</v>
      </c>
    </row>
    <row r="1707" spans="1:10" x14ac:dyDescent="0.2">
      <c r="A1707" s="6">
        <v>42401</v>
      </c>
      <c r="B1707">
        <v>2010</v>
      </c>
      <c r="C1707">
        <v>2758</v>
      </c>
      <c r="D1707">
        <v>1706</v>
      </c>
      <c r="E1707">
        <v>8800</v>
      </c>
      <c r="F1707" t="s">
        <v>25</v>
      </c>
      <c r="G1707">
        <v>14</v>
      </c>
      <c r="H1707" t="s">
        <v>68</v>
      </c>
      <c r="I1707">
        <v>9</v>
      </c>
      <c r="J1707" s="10">
        <f t="shared" si="26"/>
        <v>14</v>
      </c>
    </row>
    <row r="1708" spans="1:10" x14ac:dyDescent="0.2">
      <c r="A1708" s="6">
        <v>43558</v>
      </c>
      <c r="B1708">
        <v>2007</v>
      </c>
      <c r="C1708">
        <v>2785</v>
      </c>
      <c r="D1708">
        <v>1707</v>
      </c>
      <c r="E1708">
        <v>9300</v>
      </c>
      <c r="F1708" t="s">
        <v>25</v>
      </c>
      <c r="G1708">
        <v>7</v>
      </c>
      <c r="H1708" t="s">
        <v>68</v>
      </c>
      <c r="I1708">
        <v>12</v>
      </c>
      <c r="J1708" s="10">
        <f t="shared" si="26"/>
        <v>7</v>
      </c>
    </row>
    <row r="1709" spans="1:10" x14ac:dyDescent="0.2">
      <c r="A1709" s="6">
        <v>43361</v>
      </c>
      <c r="B1709">
        <v>2008</v>
      </c>
      <c r="C1709">
        <v>2785</v>
      </c>
      <c r="D1709">
        <v>1708</v>
      </c>
      <c r="E1709">
        <v>11000</v>
      </c>
      <c r="F1709" t="s">
        <v>25</v>
      </c>
      <c r="G1709">
        <v>7</v>
      </c>
      <c r="H1709" t="s">
        <v>68</v>
      </c>
      <c r="I1709">
        <v>11</v>
      </c>
      <c r="J1709" s="10">
        <f t="shared" si="26"/>
        <v>7</v>
      </c>
    </row>
    <row r="1710" spans="1:10" x14ac:dyDescent="0.2">
      <c r="A1710" s="6">
        <v>43301</v>
      </c>
      <c r="B1710">
        <v>2007</v>
      </c>
      <c r="C1710">
        <v>2785</v>
      </c>
      <c r="D1710">
        <v>1709</v>
      </c>
      <c r="E1710">
        <v>13000</v>
      </c>
      <c r="F1710" t="s">
        <v>25</v>
      </c>
      <c r="G1710">
        <v>6</v>
      </c>
      <c r="H1710" t="s">
        <v>68</v>
      </c>
      <c r="I1710">
        <v>12</v>
      </c>
      <c r="J1710" s="10">
        <f t="shared" si="26"/>
        <v>6</v>
      </c>
    </row>
    <row r="1711" spans="1:10" x14ac:dyDescent="0.2">
      <c r="A1711" s="6">
        <v>43144</v>
      </c>
      <c r="B1711">
        <v>2008</v>
      </c>
      <c r="C1711">
        <v>2785</v>
      </c>
      <c r="D1711">
        <v>1710</v>
      </c>
      <c r="E1711">
        <v>8550</v>
      </c>
      <c r="F1711" t="s">
        <v>25</v>
      </c>
      <c r="G1711">
        <v>5</v>
      </c>
      <c r="H1711" t="s">
        <v>68</v>
      </c>
      <c r="I1711">
        <v>11</v>
      </c>
      <c r="J1711" s="10">
        <f t="shared" si="26"/>
        <v>5</v>
      </c>
    </row>
    <row r="1712" spans="1:10" x14ac:dyDescent="0.2">
      <c r="A1712" s="6">
        <v>43039</v>
      </c>
      <c r="B1712">
        <v>2008</v>
      </c>
      <c r="C1712">
        <v>2785</v>
      </c>
      <c r="D1712">
        <v>1711</v>
      </c>
      <c r="E1712">
        <v>8500</v>
      </c>
      <c r="F1712" t="s">
        <v>25</v>
      </c>
      <c r="G1712">
        <v>8</v>
      </c>
      <c r="H1712" t="s">
        <v>68</v>
      </c>
      <c r="I1712">
        <v>11</v>
      </c>
      <c r="J1712" s="10">
        <f t="shared" si="26"/>
        <v>8</v>
      </c>
    </row>
    <row r="1713" spans="1:10" x14ac:dyDescent="0.2">
      <c r="A1713" s="6">
        <v>43026</v>
      </c>
      <c r="B1713">
        <v>2007</v>
      </c>
      <c r="C1713">
        <v>2785</v>
      </c>
      <c r="D1713">
        <v>1712</v>
      </c>
      <c r="E1713">
        <v>9000</v>
      </c>
      <c r="F1713" t="s">
        <v>25</v>
      </c>
      <c r="G1713">
        <v>8</v>
      </c>
      <c r="H1713" t="s">
        <v>68</v>
      </c>
      <c r="I1713">
        <v>12</v>
      </c>
      <c r="J1713" s="10">
        <f t="shared" si="26"/>
        <v>8</v>
      </c>
    </row>
    <row r="1714" spans="1:10" x14ac:dyDescent="0.2">
      <c r="A1714" s="6">
        <v>43530</v>
      </c>
      <c r="B1714">
        <v>2010</v>
      </c>
      <c r="C1714">
        <v>2790</v>
      </c>
      <c r="D1714">
        <v>1713</v>
      </c>
      <c r="E1714">
        <v>9750</v>
      </c>
      <c r="F1714" t="s">
        <v>25</v>
      </c>
      <c r="G1714">
        <v>8</v>
      </c>
      <c r="H1714" t="s">
        <v>68</v>
      </c>
      <c r="I1714">
        <v>9</v>
      </c>
      <c r="J1714" s="10">
        <f t="shared" si="26"/>
        <v>8</v>
      </c>
    </row>
    <row r="1715" spans="1:10" x14ac:dyDescent="0.2">
      <c r="A1715" s="6">
        <v>43205</v>
      </c>
      <c r="B1715">
        <v>2010</v>
      </c>
      <c r="C1715">
        <v>2790</v>
      </c>
      <c r="D1715">
        <v>1714</v>
      </c>
      <c r="E1715">
        <v>11750</v>
      </c>
      <c r="F1715" t="s">
        <v>25</v>
      </c>
      <c r="G1715">
        <v>12</v>
      </c>
      <c r="H1715" t="s">
        <v>68</v>
      </c>
      <c r="I1715">
        <v>9</v>
      </c>
      <c r="J1715" s="10">
        <f t="shared" si="26"/>
        <v>12</v>
      </c>
    </row>
    <row r="1716" spans="1:10" x14ac:dyDescent="0.2">
      <c r="A1716" s="6">
        <v>42852</v>
      </c>
      <c r="B1716">
        <v>2010</v>
      </c>
      <c r="C1716">
        <v>2790</v>
      </c>
      <c r="D1716">
        <v>1715</v>
      </c>
      <c r="E1716">
        <v>9600</v>
      </c>
      <c r="F1716" t="s">
        <v>25</v>
      </c>
      <c r="G1716">
        <v>12</v>
      </c>
      <c r="H1716" t="s">
        <v>68</v>
      </c>
      <c r="I1716">
        <v>9</v>
      </c>
      <c r="J1716" s="10">
        <f t="shared" si="26"/>
        <v>12</v>
      </c>
    </row>
    <row r="1717" spans="1:10" x14ac:dyDescent="0.2">
      <c r="A1717" s="6">
        <v>42597</v>
      </c>
      <c r="B1717">
        <v>2010</v>
      </c>
      <c r="C1717">
        <v>2790</v>
      </c>
      <c r="D1717">
        <v>1716</v>
      </c>
      <c r="E1717">
        <v>6400</v>
      </c>
      <c r="F1717" t="s">
        <v>25</v>
      </c>
      <c r="G1717">
        <v>7</v>
      </c>
      <c r="H1717" t="s">
        <v>68</v>
      </c>
      <c r="I1717">
        <v>9</v>
      </c>
      <c r="J1717" s="10">
        <f t="shared" si="26"/>
        <v>7</v>
      </c>
    </row>
    <row r="1718" spans="1:10" x14ac:dyDescent="0.2">
      <c r="A1718" s="6">
        <v>42450</v>
      </c>
      <c r="B1718">
        <v>2010</v>
      </c>
      <c r="C1718">
        <v>2790</v>
      </c>
      <c r="D1718">
        <v>1717</v>
      </c>
      <c r="E1718">
        <v>6000</v>
      </c>
      <c r="F1718" t="s">
        <v>25</v>
      </c>
      <c r="G1718">
        <v>6</v>
      </c>
      <c r="H1718" t="s">
        <v>68</v>
      </c>
      <c r="I1718">
        <v>9</v>
      </c>
      <c r="J1718" s="10">
        <f t="shared" si="26"/>
        <v>6</v>
      </c>
    </row>
    <row r="1719" spans="1:10" x14ac:dyDescent="0.2">
      <c r="A1719" s="6">
        <v>43588</v>
      </c>
      <c r="B1719">
        <v>2010</v>
      </c>
      <c r="C1719">
        <v>2796</v>
      </c>
      <c r="D1719">
        <v>1718</v>
      </c>
      <c r="E1719">
        <v>8000</v>
      </c>
      <c r="F1719" t="s">
        <v>25</v>
      </c>
      <c r="G1719">
        <v>12</v>
      </c>
      <c r="H1719" t="s">
        <v>68</v>
      </c>
      <c r="I1719">
        <v>9</v>
      </c>
      <c r="J1719" s="10">
        <f t="shared" si="26"/>
        <v>12</v>
      </c>
    </row>
    <row r="1720" spans="1:10" x14ac:dyDescent="0.2">
      <c r="A1720" s="6">
        <v>43171</v>
      </c>
      <c r="B1720">
        <v>2010</v>
      </c>
      <c r="C1720">
        <v>2796</v>
      </c>
      <c r="D1720">
        <v>1719</v>
      </c>
      <c r="E1720">
        <v>8900</v>
      </c>
      <c r="F1720" t="s">
        <v>25</v>
      </c>
      <c r="G1720">
        <v>8</v>
      </c>
      <c r="H1720" t="s">
        <v>68</v>
      </c>
      <c r="I1720">
        <v>9</v>
      </c>
      <c r="J1720" s="10">
        <f t="shared" si="26"/>
        <v>8</v>
      </c>
    </row>
    <row r="1721" spans="1:10" x14ac:dyDescent="0.2">
      <c r="A1721" s="6">
        <v>42795</v>
      </c>
      <c r="B1721">
        <v>2010</v>
      </c>
      <c r="C1721">
        <v>2796</v>
      </c>
      <c r="D1721">
        <v>1720</v>
      </c>
      <c r="E1721">
        <v>6000</v>
      </c>
      <c r="F1721" t="s">
        <v>25</v>
      </c>
      <c r="G1721">
        <v>12</v>
      </c>
      <c r="H1721" t="s">
        <v>68</v>
      </c>
      <c r="I1721">
        <v>9</v>
      </c>
      <c r="J1721" s="10">
        <f t="shared" si="26"/>
        <v>12</v>
      </c>
    </row>
    <row r="1722" spans="1:10" x14ac:dyDescent="0.2">
      <c r="A1722" s="6">
        <v>42449</v>
      </c>
      <c r="B1722">
        <v>2010</v>
      </c>
      <c r="C1722">
        <v>2796</v>
      </c>
      <c r="D1722">
        <v>1721</v>
      </c>
      <c r="E1722">
        <v>6000</v>
      </c>
      <c r="F1722" t="s">
        <v>25</v>
      </c>
      <c r="G1722">
        <v>12</v>
      </c>
      <c r="H1722" t="s">
        <v>68</v>
      </c>
      <c r="I1722">
        <v>9</v>
      </c>
      <c r="J1722" s="10">
        <f t="shared" si="26"/>
        <v>12</v>
      </c>
    </row>
    <row r="1723" spans="1:10" x14ac:dyDescent="0.2">
      <c r="A1723" s="6">
        <v>43626</v>
      </c>
      <c r="B1723">
        <v>2007</v>
      </c>
      <c r="C1723">
        <v>2824</v>
      </c>
      <c r="D1723">
        <v>1722</v>
      </c>
      <c r="E1723">
        <v>9900</v>
      </c>
      <c r="F1723" t="s">
        <v>25</v>
      </c>
      <c r="G1723">
        <v>4</v>
      </c>
      <c r="H1723" t="s">
        <v>68</v>
      </c>
      <c r="I1723">
        <v>12</v>
      </c>
      <c r="J1723" s="10">
        <f t="shared" si="26"/>
        <v>4</v>
      </c>
    </row>
    <row r="1724" spans="1:10" x14ac:dyDescent="0.2">
      <c r="A1724" s="6">
        <v>43616</v>
      </c>
      <c r="B1724">
        <v>2007</v>
      </c>
      <c r="C1724">
        <v>2824</v>
      </c>
      <c r="D1724">
        <v>1723</v>
      </c>
      <c r="E1724">
        <v>9100</v>
      </c>
      <c r="F1724" t="s">
        <v>25</v>
      </c>
      <c r="G1724">
        <v>6</v>
      </c>
      <c r="H1724" t="s">
        <v>68</v>
      </c>
      <c r="I1724">
        <v>12</v>
      </c>
      <c r="J1724" s="10">
        <f t="shared" si="26"/>
        <v>6</v>
      </c>
    </row>
    <row r="1725" spans="1:10" x14ac:dyDescent="0.2">
      <c r="A1725" s="6">
        <v>43616</v>
      </c>
      <c r="B1725">
        <v>2006</v>
      </c>
      <c r="C1725">
        <v>2824</v>
      </c>
      <c r="D1725">
        <v>1724</v>
      </c>
      <c r="E1725">
        <v>9300</v>
      </c>
      <c r="F1725" t="s">
        <v>25</v>
      </c>
      <c r="G1725">
        <v>2</v>
      </c>
      <c r="H1725" t="s">
        <v>69</v>
      </c>
      <c r="I1725">
        <v>13</v>
      </c>
      <c r="J1725" s="10">
        <f t="shared" si="26"/>
        <v>24</v>
      </c>
    </row>
    <row r="1726" spans="1:10" x14ac:dyDescent="0.2">
      <c r="A1726" s="6">
        <v>43587</v>
      </c>
      <c r="B1726">
        <v>2006</v>
      </c>
      <c r="C1726">
        <v>2824</v>
      </c>
      <c r="D1726">
        <v>1725</v>
      </c>
      <c r="E1726">
        <v>10250</v>
      </c>
      <c r="F1726" t="s">
        <v>25</v>
      </c>
      <c r="G1726">
        <v>7</v>
      </c>
      <c r="H1726" t="s">
        <v>68</v>
      </c>
      <c r="I1726">
        <v>13</v>
      </c>
      <c r="J1726" s="10">
        <f t="shared" si="26"/>
        <v>7</v>
      </c>
    </row>
    <row r="1727" spans="1:10" x14ac:dyDescent="0.2">
      <c r="A1727" s="6">
        <v>43579</v>
      </c>
      <c r="B1727">
        <v>2007</v>
      </c>
      <c r="C1727">
        <v>2824</v>
      </c>
      <c r="D1727">
        <v>1726</v>
      </c>
      <c r="E1727">
        <v>8700</v>
      </c>
      <c r="F1727" t="s">
        <v>25</v>
      </c>
      <c r="G1727">
        <v>4</v>
      </c>
      <c r="H1727" t="s">
        <v>68</v>
      </c>
      <c r="I1727">
        <v>12</v>
      </c>
      <c r="J1727" s="10">
        <f t="shared" si="26"/>
        <v>4</v>
      </c>
    </row>
    <row r="1728" spans="1:10" x14ac:dyDescent="0.2">
      <c r="A1728" s="6">
        <v>43572</v>
      </c>
      <c r="B1728">
        <v>2007</v>
      </c>
      <c r="C1728">
        <v>2824</v>
      </c>
      <c r="D1728">
        <v>1727</v>
      </c>
      <c r="E1728">
        <v>8500</v>
      </c>
      <c r="F1728" t="s">
        <v>25</v>
      </c>
      <c r="G1728">
        <v>5</v>
      </c>
      <c r="H1728" t="s">
        <v>68</v>
      </c>
      <c r="I1728">
        <v>12</v>
      </c>
      <c r="J1728" s="10">
        <f t="shared" si="26"/>
        <v>5</v>
      </c>
    </row>
    <row r="1729" spans="1:10" x14ac:dyDescent="0.2">
      <c r="A1729" s="6">
        <v>43565</v>
      </c>
      <c r="B1729">
        <v>2006</v>
      </c>
      <c r="C1729">
        <v>2824</v>
      </c>
      <c r="D1729">
        <v>1728</v>
      </c>
      <c r="E1729">
        <v>10250</v>
      </c>
      <c r="F1729" t="s">
        <v>25</v>
      </c>
      <c r="G1729">
        <v>6</v>
      </c>
      <c r="H1729" t="s">
        <v>68</v>
      </c>
      <c r="I1729">
        <v>13</v>
      </c>
      <c r="J1729" s="10">
        <f t="shared" si="26"/>
        <v>6</v>
      </c>
    </row>
    <row r="1730" spans="1:10" x14ac:dyDescent="0.2">
      <c r="A1730" s="6">
        <v>43565</v>
      </c>
      <c r="B1730">
        <v>2006</v>
      </c>
      <c r="C1730">
        <v>2824</v>
      </c>
      <c r="D1730">
        <v>1729</v>
      </c>
      <c r="E1730">
        <v>9500</v>
      </c>
      <c r="F1730" t="s">
        <v>25</v>
      </c>
      <c r="G1730">
        <v>10</v>
      </c>
      <c r="H1730" t="s">
        <v>68</v>
      </c>
      <c r="I1730">
        <v>13</v>
      </c>
      <c r="J1730" s="10">
        <f t="shared" ref="J1730:J1793" si="27">IF(H1730="days",ROUND(G1730/30,0),IF(H1730="years",G1730*12,G1730))</f>
        <v>10</v>
      </c>
    </row>
    <row r="1731" spans="1:10" x14ac:dyDescent="0.2">
      <c r="A1731" s="6">
        <v>43558</v>
      </c>
      <c r="B1731">
        <v>2006</v>
      </c>
      <c r="C1731">
        <v>2824</v>
      </c>
      <c r="D1731">
        <v>1730</v>
      </c>
      <c r="E1731">
        <v>8500</v>
      </c>
      <c r="F1731" t="s">
        <v>25</v>
      </c>
      <c r="G1731">
        <v>12</v>
      </c>
      <c r="H1731" t="s">
        <v>68</v>
      </c>
      <c r="I1731">
        <v>13</v>
      </c>
      <c r="J1731" s="10">
        <f t="shared" si="27"/>
        <v>12</v>
      </c>
    </row>
    <row r="1732" spans="1:10" x14ac:dyDescent="0.2">
      <c r="A1732" s="6">
        <v>43537</v>
      </c>
      <c r="B1732">
        <v>2007</v>
      </c>
      <c r="C1732">
        <v>2824</v>
      </c>
      <c r="D1732">
        <v>1731</v>
      </c>
      <c r="E1732">
        <v>8000</v>
      </c>
      <c r="F1732" t="s">
        <v>25</v>
      </c>
      <c r="G1732">
        <v>3</v>
      </c>
      <c r="H1732" t="s">
        <v>68</v>
      </c>
      <c r="I1732">
        <v>12</v>
      </c>
      <c r="J1732" s="10">
        <f t="shared" si="27"/>
        <v>3</v>
      </c>
    </row>
    <row r="1733" spans="1:10" x14ac:dyDescent="0.2">
      <c r="A1733" s="6">
        <v>43528</v>
      </c>
      <c r="B1733">
        <v>2007</v>
      </c>
      <c r="C1733">
        <v>2824</v>
      </c>
      <c r="D1733">
        <v>1732</v>
      </c>
      <c r="E1733">
        <v>8000</v>
      </c>
      <c r="F1733" t="s">
        <v>25</v>
      </c>
      <c r="G1733">
        <v>50</v>
      </c>
      <c r="H1733" t="s">
        <v>26</v>
      </c>
      <c r="I1733">
        <v>12</v>
      </c>
      <c r="J1733" s="10">
        <f t="shared" si="27"/>
        <v>2</v>
      </c>
    </row>
    <row r="1734" spans="1:10" x14ac:dyDescent="0.2">
      <c r="A1734" s="6">
        <v>43525</v>
      </c>
      <c r="B1734">
        <v>2006</v>
      </c>
      <c r="C1734">
        <v>2824</v>
      </c>
      <c r="D1734">
        <v>1733</v>
      </c>
      <c r="E1734">
        <v>9300</v>
      </c>
      <c r="F1734" t="s">
        <v>25</v>
      </c>
      <c r="G1734">
        <v>7</v>
      </c>
      <c r="H1734" t="s">
        <v>68</v>
      </c>
      <c r="I1734">
        <v>13</v>
      </c>
      <c r="J1734" s="10">
        <f t="shared" si="27"/>
        <v>7</v>
      </c>
    </row>
    <row r="1735" spans="1:10" x14ac:dyDescent="0.2">
      <c r="A1735" s="6">
        <v>43525</v>
      </c>
      <c r="B1735">
        <v>2007</v>
      </c>
      <c r="C1735">
        <v>2824</v>
      </c>
      <c r="D1735">
        <v>1734</v>
      </c>
      <c r="E1735">
        <v>8100</v>
      </c>
      <c r="F1735" t="s">
        <v>25</v>
      </c>
      <c r="G1735">
        <v>7</v>
      </c>
      <c r="H1735" t="s">
        <v>68</v>
      </c>
      <c r="I1735">
        <v>12</v>
      </c>
      <c r="J1735" s="10">
        <f t="shared" si="27"/>
        <v>7</v>
      </c>
    </row>
    <row r="1736" spans="1:10" x14ac:dyDescent="0.2">
      <c r="A1736" s="6">
        <v>43525</v>
      </c>
      <c r="B1736">
        <v>2007</v>
      </c>
      <c r="C1736">
        <v>2824</v>
      </c>
      <c r="D1736">
        <v>1735</v>
      </c>
      <c r="E1736">
        <v>8500</v>
      </c>
      <c r="F1736" t="s">
        <v>25</v>
      </c>
      <c r="G1736">
        <v>12</v>
      </c>
      <c r="H1736" t="s">
        <v>68</v>
      </c>
      <c r="I1736">
        <v>12</v>
      </c>
      <c r="J1736" s="10">
        <f t="shared" si="27"/>
        <v>12</v>
      </c>
    </row>
    <row r="1737" spans="1:10" x14ac:dyDescent="0.2">
      <c r="A1737" s="6">
        <v>43523</v>
      </c>
      <c r="B1737">
        <v>2006</v>
      </c>
      <c r="C1737">
        <v>2824</v>
      </c>
      <c r="D1737">
        <v>1736</v>
      </c>
      <c r="E1737">
        <v>8000</v>
      </c>
      <c r="F1737" t="s">
        <v>25</v>
      </c>
      <c r="G1737">
        <v>2</v>
      </c>
      <c r="H1737" t="s">
        <v>68</v>
      </c>
      <c r="I1737">
        <v>13</v>
      </c>
      <c r="J1737" s="10">
        <f t="shared" si="27"/>
        <v>2</v>
      </c>
    </row>
    <row r="1738" spans="1:10" x14ac:dyDescent="0.2">
      <c r="A1738" s="6">
        <v>43521</v>
      </c>
      <c r="B1738">
        <v>2006</v>
      </c>
      <c r="C1738">
        <v>2824</v>
      </c>
      <c r="D1738">
        <v>1737</v>
      </c>
      <c r="E1738">
        <v>8000</v>
      </c>
      <c r="F1738" t="s">
        <v>25</v>
      </c>
      <c r="G1738">
        <v>12</v>
      </c>
      <c r="H1738" t="s">
        <v>68</v>
      </c>
      <c r="I1738">
        <v>13</v>
      </c>
      <c r="J1738" s="10">
        <f t="shared" si="27"/>
        <v>12</v>
      </c>
    </row>
    <row r="1739" spans="1:10" x14ac:dyDescent="0.2">
      <c r="A1739" s="6">
        <v>43521</v>
      </c>
      <c r="B1739">
        <v>2007</v>
      </c>
      <c r="C1739">
        <v>2824</v>
      </c>
      <c r="D1739">
        <v>1738</v>
      </c>
      <c r="E1739">
        <v>9500</v>
      </c>
      <c r="F1739" t="s">
        <v>25</v>
      </c>
      <c r="G1739">
        <v>8</v>
      </c>
      <c r="H1739" t="s">
        <v>68</v>
      </c>
      <c r="I1739">
        <v>12</v>
      </c>
      <c r="J1739" s="10">
        <f t="shared" si="27"/>
        <v>8</v>
      </c>
    </row>
    <row r="1740" spans="1:10" x14ac:dyDescent="0.2">
      <c r="A1740" s="6">
        <v>43516</v>
      </c>
      <c r="B1740">
        <v>2006</v>
      </c>
      <c r="C1740">
        <v>2824</v>
      </c>
      <c r="D1740">
        <v>1739</v>
      </c>
      <c r="E1740">
        <v>8500</v>
      </c>
      <c r="F1740" t="s">
        <v>25</v>
      </c>
      <c r="G1740">
        <v>6</v>
      </c>
      <c r="H1740" t="s">
        <v>68</v>
      </c>
      <c r="I1740">
        <v>13</v>
      </c>
      <c r="J1740" s="10">
        <f t="shared" si="27"/>
        <v>6</v>
      </c>
    </row>
    <row r="1741" spans="1:10" x14ac:dyDescent="0.2">
      <c r="A1741" s="6">
        <v>43514</v>
      </c>
      <c r="B1741">
        <v>2006</v>
      </c>
      <c r="C1741">
        <v>2824</v>
      </c>
      <c r="D1741">
        <v>1740</v>
      </c>
      <c r="E1741">
        <v>9100</v>
      </c>
      <c r="F1741" t="s">
        <v>25</v>
      </c>
      <c r="G1741">
        <v>100</v>
      </c>
      <c r="H1741" t="s">
        <v>26</v>
      </c>
      <c r="I1741">
        <v>13</v>
      </c>
      <c r="J1741" s="10">
        <f t="shared" si="27"/>
        <v>3</v>
      </c>
    </row>
    <row r="1742" spans="1:10" x14ac:dyDescent="0.2">
      <c r="A1742" s="6">
        <v>43504</v>
      </c>
      <c r="B1742">
        <v>2006</v>
      </c>
      <c r="C1742">
        <v>2824</v>
      </c>
      <c r="D1742">
        <v>1741</v>
      </c>
      <c r="E1742">
        <v>9300</v>
      </c>
      <c r="F1742" t="s">
        <v>25</v>
      </c>
      <c r="G1742">
        <v>12</v>
      </c>
      <c r="H1742" t="s">
        <v>68</v>
      </c>
      <c r="I1742">
        <v>13</v>
      </c>
      <c r="J1742" s="10">
        <f t="shared" si="27"/>
        <v>12</v>
      </c>
    </row>
    <row r="1743" spans="1:10" x14ac:dyDescent="0.2">
      <c r="A1743" s="6">
        <v>43493</v>
      </c>
      <c r="B1743">
        <v>2007</v>
      </c>
      <c r="C1743">
        <v>2824</v>
      </c>
      <c r="D1743">
        <v>1742</v>
      </c>
      <c r="E1743">
        <v>8000</v>
      </c>
      <c r="F1743" t="s">
        <v>25</v>
      </c>
      <c r="G1743">
        <v>12</v>
      </c>
      <c r="H1743" t="s">
        <v>68</v>
      </c>
      <c r="I1743">
        <v>12</v>
      </c>
      <c r="J1743" s="10">
        <f t="shared" si="27"/>
        <v>12</v>
      </c>
    </row>
    <row r="1744" spans="1:10" x14ac:dyDescent="0.2">
      <c r="A1744" s="6">
        <v>43493</v>
      </c>
      <c r="B1744">
        <v>2008</v>
      </c>
      <c r="C1744">
        <v>2824</v>
      </c>
      <c r="D1744">
        <v>1743</v>
      </c>
      <c r="E1744">
        <v>8000</v>
      </c>
      <c r="F1744" t="s">
        <v>25</v>
      </c>
      <c r="G1744">
        <v>12</v>
      </c>
      <c r="H1744" t="s">
        <v>68</v>
      </c>
      <c r="I1744">
        <v>11</v>
      </c>
      <c r="J1744" s="10">
        <f t="shared" si="27"/>
        <v>12</v>
      </c>
    </row>
    <row r="1745" spans="1:10" x14ac:dyDescent="0.2">
      <c r="A1745" s="6">
        <v>43488</v>
      </c>
      <c r="B1745">
        <v>2007</v>
      </c>
      <c r="C1745">
        <v>2824</v>
      </c>
      <c r="D1745">
        <v>1744</v>
      </c>
      <c r="E1745">
        <v>9250</v>
      </c>
      <c r="F1745" t="s">
        <v>25</v>
      </c>
      <c r="G1745">
        <v>8</v>
      </c>
      <c r="H1745" t="s">
        <v>68</v>
      </c>
      <c r="I1745">
        <v>12</v>
      </c>
      <c r="J1745" s="10">
        <f t="shared" si="27"/>
        <v>8</v>
      </c>
    </row>
    <row r="1746" spans="1:10" x14ac:dyDescent="0.2">
      <c r="A1746" s="6">
        <v>43469</v>
      </c>
      <c r="B1746">
        <v>2006</v>
      </c>
      <c r="C1746">
        <v>2824</v>
      </c>
      <c r="D1746">
        <v>1745</v>
      </c>
      <c r="E1746">
        <v>8750</v>
      </c>
      <c r="F1746" t="s">
        <v>25</v>
      </c>
      <c r="G1746">
        <v>8</v>
      </c>
      <c r="H1746" t="s">
        <v>68</v>
      </c>
      <c r="I1746">
        <v>13</v>
      </c>
      <c r="J1746" s="10">
        <f t="shared" si="27"/>
        <v>8</v>
      </c>
    </row>
    <row r="1747" spans="1:10" x14ac:dyDescent="0.2">
      <c r="A1747" s="6">
        <v>43469</v>
      </c>
      <c r="B1747">
        <v>2007</v>
      </c>
      <c r="C1747">
        <v>2824</v>
      </c>
      <c r="D1747">
        <v>1746</v>
      </c>
      <c r="E1747">
        <v>8500</v>
      </c>
      <c r="F1747" t="s">
        <v>25</v>
      </c>
      <c r="G1747">
        <v>50</v>
      </c>
      <c r="H1747" t="s">
        <v>26</v>
      </c>
      <c r="I1747">
        <v>12</v>
      </c>
      <c r="J1747" s="10">
        <f t="shared" si="27"/>
        <v>2</v>
      </c>
    </row>
    <row r="1748" spans="1:10" x14ac:dyDescent="0.2">
      <c r="A1748" s="6">
        <v>43437</v>
      </c>
      <c r="B1748">
        <v>2007</v>
      </c>
      <c r="C1748">
        <v>2824</v>
      </c>
      <c r="D1748">
        <v>1747</v>
      </c>
      <c r="E1748">
        <v>9300</v>
      </c>
      <c r="F1748" t="s">
        <v>25</v>
      </c>
      <c r="G1748">
        <v>12</v>
      </c>
      <c r="H1748" t="s">
        <v>68</v>
      </c>
      <c r="I1748">
        <v>12</v>
      </c>
      <c r="J1748" s="10">
        <f t="shared" si="27"/>
        <v>12</v>
      </c>
    </row>
    <row r="1749" spans="1:10" x14ac:dyDescent="0.2">
      <c r="A1749" s="6">
        <v>43426</v>
      </c>
      <c r="B1749">
        <v>2007</v>
      </c>
      <c r="C1749">
        <v>2824</v>
      </c>
      <c r="D1749">
        <v>1748</v>
      </c>
      <c r="E1749">
        <v>9500</v>
      </c>
      <c r="F1749" t="s">
        <v>25</v>
      </c>
      <c r="G1749">
        <v>60</v>
      </c>
      <c r="H1749" t="s">
        <v>26</v>
      </c>
      <c r="I1749">
        <v>12</v>
      </c>
      <c r="J1749" s="10">
        <f t="shared" si="27"/>
        <v>2</v>
      </c>
    </row>
    <row r="1750" spans="1:10" x14ac:dyDescent="0.2">
      <c r="A1750" s="6">
        <v>43417</v>
      </c>
      <c r="B1750">
        <v>2007</v>
      </c>
      <c r="C1750">
        <v>2824</v>
      </c>
      <c r="D1750">
        <v>1749</v>
      </c>
      <c r="E1750">
        <v>10500</v>
      </c>
      <c r="F1750" t="s">
        <v>25</v>
      </c>
      <c r="G1750">
        <v>40</v>
      </c>
      <c r="H1750" t="s">
        <v>26</v>
      </c>
      <c r="I1750">
        <v>12</v>
      </c>
      <c r="J1750" s="10">
        <f t="shared" si="27"/>
        <v>1</v>
      </c>
    </row>
    <row r="1751" spans="1:10" x14ac:dyDescent="0.2">
      <c r="A1751" s="6">
        <v>43405</v>
      </c>
      <c r="B1751">
        <v>2008</v>
      </c>
      <c r="C1751">
        <v>2824</v>
      </c>
      <c r="D1751">
        <v>1750</v>
      </c>
      <c r="E1751">
        <v>10500</v>
      </c>
      <c r="F1751" t="s">
        <v>25</v>
      </c>
      <c r="G1751">
        <v>6</v>
      </c>
      <c r="H1751" t="s">
        <v>68</v>
      </c>
      <c r="I1751">
        <v>11</v>
      </c>
      <c r="J1751" s="10">
        <f t="shared" si="27"/>
        <v>6</v>
      </c>
    </row>
    <row r="1752" spans="1:10" x14ac:dyDescent="0.2">
      <c r="A1752" s="6">
        <v>43403</v>
      </c>
      <c r="B1752">
        <v>2006</v>
      </c>
      <c r="C1752">
        <v>2824</v>
      </c>
      <c r="D1752">
        <v>1751</v>
      </c>
      <c r="E1752">
        <v>10000</v>
      </c>
      <c r="F1752" t="s">
        <v>25</v>
      </c>
      <c r="G1752">
        <v>12</v>
      </c>
      <c r="H1752" t="s">
        <v>68</v>
      </c>
      <c r="I1752">
        <v>13</v>
      </c>
      <c r="J1752" s="10">
        <f t="shared" si="27"/>
        <v>12</v>
      </c>
    </row>
    <row r="1753" spans="1:10" x14ac:dyDescent="0.2">
      <c r="A1753" s="6">
        <v>43398</v>
      </c>
      <c r="B1753">
        <v>2007</v>
      </c>
      <c r="C1753">
        <v>2824</v>
      </c>
      <c r="D1753">
        <v>1752</v>
      </c>
      <c r="E1753">
        <v>10900</v>
      </c>
      <c r="F1753" t="s">
        <v>25</v>
      </c>
      <c r="G1753">
        <v>12</v>
      </c>
      <c r="H1753" t="s">
        <v>68</v>
      </c>
      <c r="I1753">
        <v>12</v>
      </c>
      <c r="J1753" s="10">
        <f t="shared" si="27"/>
        <v>12</v>
      </c>
    </row>
    <row r="1754" spans="1:10" x14ac:dyDescent="0.2">
      <c r="A1754" s="6">
        <v>43391</v>
      </c>
      <c r="B1754">
        <v>2007</v>
      </c>
      <c r="C1754">
        <v>2824</v>
      </c>
      <c r="D1754">
        <v>1753</v>
      </c>
      <c r="E1754">
        <v>10300</v>
      </c>
      <c r="F1754" t="s">
        <v>25</v>
      </c>
      <c r="G1754">
        <v>3</v>
      </c>
      <c r="H1754" t="s">
        <v>68</v>
      </c>
      <c r="I1754">
        <v>12</v>
      </c>
      <c r="J1754" s="10">
        <f t="shared" si="27"/>
        <v>3</v>
      </c>
    </row>
    <row r="1755" spans="1:10" x14ac:dyDescent="0.2">
      <c r="A1755" s="6">
        <v>43388</v>
      </c>
      <c r="B1755">
        <v>2006</v>
      </c>
      <c r="C1755">
        <v>2824</v>
      </c>
      <c r="D1755">
        <v>1754</v>
      </c>
      <c r="E1755">
        <v>11450</v>
      </c>
      <c r="F1755" t="s">
        <v>25</v>
      </c>
      <c r="G1755">
        <v>7</v>
      </c>
      <c r="H1755" t="s">
        <v>68</v>
      </c>
      <c r="I1755">
        <v>13</v>
      </c>
      <c r="J1755" s="10">
        <f t="shared" si="27"/>
        <v>7</v>
      </c>
    </row>
    <row r="1756" spans="1:10" x14ac:dyDescent="0.2">
      <c r="A1756" s="6">
        <v>43385</v>
      </c>
      <c r="B1756">
        <v>2006</v>
      </c>
      <c r="C1756">
        <v>2824</v>
      </c>
      <c r="D1756">
        <v>1755</v>
      </c>
      <c r="E1756">
        <v>11000</v>
      </c>
      <c r="F1756" t="s">
        <v>25</v>
      </c>
      <c r="G1756">
        <v>9</v>
      </c>
      <c r="H1756" t="s">
        <v>68</v>
      </c>
      <c r="I1756">
        <v>13</v>
      </c>
      <c r="J1756" s="10">
        <f t="shared" si="27"/>
        <v>9</v>
      </c>
    </row>
    <row r="1757" spans="1:10" x14ac:dyDescent="0.2">
      <c r="A1757" s="6">
        <v>43374</v>
      </c>
      <c r="B1757">
        <v>2007</v>
      </c>
      <c r="C1757">
        <v>2824</v>
      </c>
      <c r="D1757">
        <v>1756</v>
      </c>
      <c r="E1757">
        <v>10850</v>
      </c>
      <c r="F1757" t="s">
        <v>25</v>
      </c>
      <c r="G1757">
        <v>6</v>
      </c>
      <c r="H1757" t="s">
        <v>68</v>
      </c>
      <c r="I1757">
        <v>12</v>
      </c>
      <c r="J1757" s="10">
        <f t="shared" si="27"/>
        <v>6</v>
      </c>
    </row>
    <row r="1758" spans="1:10" x14ac:dyDescent="0.2">
      <c r="A1758" s="6">
        <v>43369</v>
      </c>
      <c r="B1758">
        <v>2006</v>
      </c>
      <c r="C1758">
        <v>2824</v>
      </c>
      <c r="D1758">
        <v>1757</v>
      </c>
      <c r="E1758">
        <v>11300</v>
      </c>
      <c r="F1758" t="s">
        <v>25</v>
      </c>
      <c r="G1758">
        <v>6</v>
      </c>
      <c r="H1758" t="s">
        <v>68</v>
      </c>
      <c r="I1758">
        <v>13</v>
      </c>
      <c r="J1758" s="10">
        <f t="shared" si="27"/>
        <v>6</v>
      </c>
    </row>
    <row r="1759" spans="1:10" x14ac:dyDescent="0.2">
      <c r="A1759" s="6">
        <v>43328</v>
      </c>
      <c r="B1759">
        <v>2007</v>
      </c>
      <c r="C1759">
        <v>2824</v>
      </c>
      <c r="D1759">
        <v>1758</v>
      </c>
      <c r="E1759">
        <v>11700</v>
      </c>
      <c r="F1759" t="s">
        <v>25</v>
      </c>
      <c r="G1759">
        <v>6</v>
      </c>
      <c r="H1759" t="s">
        <v>68</v>
      </c>
      <c r="I1759">
        <v>12</v>
      </c>
      <c r="J1759" s="10">
        <f t="shared" si="27"/>
        <v>6</v>
      </c>
    </row>
    <row r="1760" spans="1:10" x14ac:dyDescent="0.2">
      <c r="A1760" s="6">
        <v>43328</v>
      </c>
      <c r="B1760">
        <v>2007</v>
      </c>
      <c r="C1760">
        <v>2824</v>
      </c>
      <c r="D1760">
        <v>1759</v>
      </c>
      <c r="E1760">
        <v>11400</v>
      </c>
      <c r="F1760" t="s">
        <v>25</v>
      </c>
      <c r="G1760">
        <v>70</v>
      </c>
      <c r="H1760" t="s">
        <v>26</v>
      </c>
      <c r="I1760">
        <v>12</v>
      </c>
      <c r="J1760" s="10">
        <f t="shared" si="27"/>
        <v>2</v>
      </c>
    </row>
    <row r="1761" spans="1:10" x14ac:dyDescent="0.2">
      <c r="A1761" s="6">
        <v>43306</v>
      </c>
      <c r="B1761">
        <v>2006</v>
      </c>
      <c r="C1761">
        <v>2824</v>
      </c>
      <c r="D1761">
        <v>1760</v>
      </c>
      <c r="E1761">
        <v>11650</v>
      </c>
      <c r="F1761" t="s">
        <v>25</v>
      </c>
      <c r="G1761">
        <v>6</v>
      </c>
      <c r="H1761" t="s">
        <v>68</v>
      </c>
      <c r="I1761">
        <v>13</v>
      </c>
      <c r="J1761" s="10">
        <f t="shared" si="27"/>
        <v>6</v>
      </c>
    </row>
    <row r="1762" spans="1:10" x14ac:dyDescent="0.2">
      <c r="A1762" s="6">
        <v>43293</v>
      </c>
      <c r="B1762">
        <v>2008</v>
      </c>
      <c r="C1762">
        <v>2824</v>
      </c>
      <c r="D1762">
        <v>1761</v>
      </c>
      <c r="E1762">
        <v>11950</v>
      </c>
      <c r="F1762" t="s">
        <v>25</v>
      </c>
      <c r="G1762">
        <v>4</v>
      </c>
      <c r="H1762" t="s">
        <v>68</v>
      </c>
      <c r="I1762">
        <v>11</v>
      </c>
      <c r="J1762" s="10">
        <f t="shared" si="27"/>
        <v>4</v>
      </c>
    </row>
    <row r="1763" spans="1:10" x14ac:dyDescent="0.2">
      <c r="A1763" s="6">
        <v>43272</v>
      </c>
      <c r="B1763">
        <v>2007</v>
      </c>
      <c r="C1763">
        <v>2824</v>
      </c>
      <c r="D1763">
        <v>1762</v>
      </c>
      <c r="E1763">
        <v>12000</v>
      </c>
      <c r="F1763" t="s">
        <v>25</v>
      </c>
      <c r="G1763">
        <v>11</v>
      </c>
      <c r="H1763" t="s">
        <v>68</v>
      </c>
      <c r="I1763">
        <v>12</v>
      </c>
      <c r="J1763" s="10">
        <f t="shared" si="27"/>
        <v>11</v>
      </c>
    </row>
    <row r="1764" spans="1:10" x14ac:dyDescent="0.2">
      <c r="A1764" s="6">
        <v>43269</v>
      </c>
      <c r="B1764">
        <v>2006</v>
      </c>
      <c r="C1764">
        <v>2824</v>
      </c>
      <c r="D1764">
        <v>1763</v>
      </c>
      <c r="E1764">
        <v>11450</v>
      </c>
      <c r="F1764" t="s">
        <v>25</v>
      </c>
      <c r="G1764">
        <v>5</v>
      </c>
      <c r="H1764" t="s">
        <v>68</v>
      </c>
      <c r="I1764">
        <v>13</v>
      </c>
      <c r="J1764" s="10">
        <f t="shared" si="27"/>
        <v>5</v>
      </c>
    </row>
    <row r="1765" spans="1:10" x14ac:dyDescent="0.2">
      <c r="A1765" s="6">
        <v>43266</v>
      </c>
      <c r="B1765">
        <v>2008</v>
      </c>
      <c r="C1765">
        <v>2824</v>
      </c>
      <c r="D1765">
        <v>1764</v>
      </c>
      <c r="E1765">
        <v>11800</v>
      </c>
      <c r="F1765" t="s">
        <v>25</v>
      </c>
      <c r="G1765">
        <v>12</v>
      </c>
      <c r="H1765" t="s">
        <v>68</v>
      </c>
      <c r="I1765">
        <v>11</v>
      </c>
      <c r="J1765" s="10">
        <f t="shared" si="27"/>
        <v>12</v>
      </c>
    </row>
    <row r="1766" spans="1:10" x14ac:dyDescent="0.2">
      <c r="A1766" s="6">
        <v>43261</v>
      </c>
      <c r="B1766">
        <v>2006</v>
      </c>
      <c r="C1766">
        <v>2824</v>
      </c>
      <c r="D1766">
        <v>1765</v>
      </c>
      <c r="E1766">
        <v>12250</v>
      </c>
      <c r="F1766" t="s">
        <v>25</v>
      </c>
      <c r="G1766">
        <v>11</v>
      </c>
      <c r="H1766" t="s">
        <v>68</v>
      </c>
      <c r="I1766">
        <v>13</v>
      </c>
      <c r="J1766" s="10">
        <f t="shared" si="27"/>
        <v>11</v>
      </c>
    </row>
    <row r="1767" spans="1:10" x14ac:dyDescent="0.2">
      <c r="A1767" s="6">
        <v>43257</v>
      </c>
      <c r="B1767">
        <v>2006</v>
      </c>
      <c r="C1767">
        <v>2824</v>
      </c>
      <c r="D1767">
        <v>1766</v>
      </c>
      <c r="E1767">
        <v>11800</v>
      </c>
      <c r="F1767" t="s">
        <v>25</v>
      </c>
      <c r="G1767">
        <v>10</v>
      </c>
      <c r="H1767" t="s">
        <v>68</v>
      </c>
      <c r="I1767">
        <v>13</v>
      </c>
      <c r="J1767" s="10">
        <f t="shared" si="27"/>
        <v>10</v>
      </c>
    </row>
    <row r="1768" spans="1:10" x14ac:dyDescent="0.2">
      <c r="A1768" s="6">
        <v>43255</v>
      </c>
      <c r="B1768">
        <v>2007</v>
      </c>
      <c r="C1768">
        <v>2824</v>
      </c>
      <c r="D1768">
        <v>1767</v>
      </c>
      <c r="E1768">
        <v>11600</v>
      </c>
      <c r="F1768" t="s">
        <v>25</v>
      </c>
      <c r="G1768">
        <v>12</v>
      </c>
      <c r="H1768" t="s">
        <v>68</v>
      </c>
      <c r="I1768">
        <v>12</v>
      </c>
      <c r="J1768" s="10">
        <f t="shared" si="27"/>
        <v>12</v>
      </c>
    </row>
    <row r="1769" spans="1:10" x14ac:dyDescent="0.2">
      <c r="A1769" s="6">
        <v>43231</v>
      </c>
      <c r="B1769">
        <v>2006</v>
      </c>
      <c r="C1769">
        <v>2824</v>
      </c>
      <c r="D1769">
        <v>1768</v>
      </c>
      <c r="E1769">
        <v>11450</v>
      </c>
      <c r="F1769" t="s">
        <v>25</v>
      </c>
      <c r="G1769">
        <v>6</v>
      </c>
      <c r="H1769" t="s">
        <v>68</v>
      </c>
      <c r="I1769">
        <v>13</v>
      </c>
      <c r="J1769" s="10">
        <f t="shared" si="27"/>
        <v>6</v>
      </c>
    </row>
    <row r="1770" spans="1:10" x14ac:dyDescent="0.2">
      <c r="A1770" s="6">
        <v>43229</v>
      </c>
      <c r="B1770">
        <v>2006</v>
      </c>
      <c r="C1770">
        <v>2824</v>
      </c>
      <c r="D1770">
        <v>1769</v>
      </c>
      <c r="E1770">
        <v>11450</v>
      </c>
      <c r="F1770" t="s">
        <v>25</v>
      </c>
      <c r="G1770">
        <v>7</v>
      </c>
      <c r="H1770" t="s">
        <v>68</v>
      </c>
      <c r="I1770">
        <v>13</v>
      </c>
      <c r="J1770" s="10">
        <f t="shared" si="27"/>
        <v>7</v>
      </c>
    </row>
    <row r="1771" spans="1:10" x14ac:dyDescent="0.2">
      <c r="A1771" s="6">
        <v>43228</v>
      </c>
      <c r="B1771">
        <v>2006</v>
      </c>
      <c r="C1771">
        <v>2824</v>
      </c>
      <c r="D1771">
        <v>1770</v>
      </c>
      <c r="E1771">
        <v>11600</v>
      </c>
      <c r="F1771" t="s">
        <v>25</v>
      </c>
      <c r="G1771">
        <v>9</v>
      </c>
      <c r="H1771" t="s">
        <v>68</v>
      </c>
      <c r="I1771">
        <v>13</v>
      </c>
      <c r="J1771" s="10">
        <f t="shared" si="27"/>
        <v>9</v>
      </c>
    </row>
    <row r="1772" spans="1:10" x14ac:dyDescent="0.2">
      <c r="A1772" s="6">
        <v>43220</v>
      </c>
      <c r="B1772">
        <v>2007</v>
      </c>
      <c r="C1772">
        <v>2824</v>
      </c>
      <c r="D1772">
        <v>1771</v>
      </c>
      <c r="E1772">
        <v>11250</v>
      </c>
      <c r="F1772" t="s">
        <v>25</v>
      </c>
      <c r="G1772">
        <v>6</v>
      </c>
      <c r="H1772" t="s">
        <v>68</v>
      </c>
      <c r="I1772">
        <v>12</v>
      </c>
      <c r="J1772" s="10">
        <f t="shared" si="27"/>
        <v>6</v>
      </c>
    </row>
    <row r="1773" spans="1:10" x14ac:dyDescent="0.2">
      <c r="A1773" s="6">
        <v>43216</v>
      </c>
      <c r="B1773">
        <v>2006</v>
      </c>
      <c r="C1773">
        <v>2824</v>
      </c>
      <c r="D1773">
        <v>1772</v>
      </c>
      <c r="E1773">
        <v>9450</v>
      </c>
      <c r="F1773" t="s">
        <v>25</v>
      </c>
      <c r="G1773">
        <v>40</v>
      </c>
      <c r="H1773" t="s">
        <v>26</v>
      </c>
      <c r="I1773">
        <v>13</v>
      </c>
      <c r="J1773" s="10">
        <f t="shared" si="27"/>
        <v>1</v>
      </c>
    </row>
    <row r="1774" spans="1:10" x14ac:dyDescent="0.2">
      <c r="A1774" s="6">
        <v>43215</v>
      </c>
      <c r="B1774">
        <v>2006</v>
      </c>
      <c r="C1774">
        <v>2824</v>
      </c>
      <c r="D1774">
        <v>1773</v>
      </c>
      <c r="E1774">
        <v>11500</v>
      </c>
      <c r="F1774" t="s">
        <v>25</v>
      </c>
      <c r="G1774">
        <v>12</v>
      </c>
      <c r="H1774" t="s">
        <v>68</v>
      </c>
      <c r="I1774">
        <v>13</v>
      </c>
      <c r="J1774" s="10">
        <f t="shared" si="27"/>
        <v>12</v>
      </c>
    </row>
    <row r="1775" spans="1:10" x14ac:dyDescent="0.2">
      <c r="A1775" s="6">
        <v>43186</v>
      </c>
      <c r="B1775">
        <v>2006</v>
      </c>
      <c r="C1775">
        <v>2824</v>
      </c>
      <c r="D1775">
        <v>1774</v>
      </c>
      <c r="E1775">
        <v>10750</v>
      </c>
      <c r="F1775" t="s">
        <v>25</v>
      </c>
      <c r="G1775">
        <v>12</v>
      </c>
      <c r="H1775" t="s">
        <v>68</v>
      </c>
      <c r="I1775">
        <v>13</v>
      </c>
      <c r="J1775" s="10">
        <f t="shared" si="27"/>
        <v>12</v>
      </c>
    </row>
    <row r="1776" spans="1:10" x14ac:dyDescent="0.2">
      <c r="A1776" s="6">
        <v>43185</v>
      </c>
      <c r="B1776">
        <v>2007</v>
      </c>
      <c r="C1776">
        <v>2824</v>
      </c>
      <c r="D1776">
        <v>1775</v>
      </c>
      <c r="E1776">
        <v>10700</v>
      </c>
      <c r="F1776" t="s">
        <v>25</v>
      </c>
      <c r="G1776">
        <v>7</v>
      </c>
      <c r="H1776" t="s">
        <v>68</v>
      </c>
      <c r="I1776">
        <v>12</v>
      </c>
      <c r="J1776" s="10">
        <f t="shared" si="27"/>
        <v>7</v>
      </c>
    </row>
    <row r="1777" spans="1:10" x14ac:dyDescent="0.2">
      <c r="A1777" s="6">
        <v>43178</v>
      </c>
      <c r="B1777">
        <v>2007</v>
      </c>
      <c r="C1777">
        <v>2824</v>
      </c>
      <c r="D1777">
        <v>1776</v>
      </c>
      <c r="E1777">
        <v>10300</v>
      </c>
      <c r="F1777" t="s">
        <v>25</v>
      </c>
      <c r="G1777">
        <v>7</v>
      </c>
      <c r="H1777" t="s">
        <v>68</v>
      </c>
      <c r="I1777">
        <v>12</v>
      </c>
      <c r="J1777" s="10">
        <f t="shared" si="27"/>
        <v>7</v>
      </c>
    </row>
    <row r="1778" spans="1:10" x14ac:dyDescent="0.2">
      <c r="A1778" s="6">
        <v>43174</v>
      </c>
      <c r="B1778">
        <v>2007</v>
      </c>
      <c r="C1778">
        <v>2824</v>
      </c>
      <c r="D1778">
        <v>1777</v>
      </c>
      <c r="E1778">
        <v>10250</v>
      </c>
      <c r="F1778" t="s">
        <v>25</v>
      </c>
      <c r="G1778">
        <v>7</v>
      </c>
      <c r="H1778" t="s">
        <v>68</v>
      </c>
      <c r="I1778">
        <v>12</v>
      </c>
      <c r="J1778" s="10">
        <f t="shared" si="27"/>
        <v>7</v>
      </c>
    </row>
    <row r="1779" spans="1:10" x14ac:dyDescent="0.2">
      <c r="A1779" s="6">
        <v>43161</v>
      </c>
      <c r="B1779">
        <v>2007</v>
      </c>
      <c r="C1779">
        <v>2824</v>
      </c>
      <c r="D1779">
        <v>1778</v>
      </c>
      <c r="E1779">
        <v>9000</v>
      </c>
      <c r="F1779" t="s">
        <v>25</v>
      </c>
      <c r="G1779">
        <v>12</v>
      </c>
      <c r="H1779" t="s">
        <v>68</v>
      </c>
      <c r="I1779">
        <v>12</v>
      </c>
      <c r="J1779" s="10">
        <f t="shared" si="27"/>
        <v>12</v>
      </c>
    </row>
    <row r="1780" spans="1:10" x14ac:dyDescent="0.2">
      <c r="A1780" s="6">
        <v>43160</v>
      </c>
      <c r="B1780">
        <v>2008</v>
      </c>
      <c r="C1780">
        <v>2824</v>
      </c>
      <c r="D1780">
        <v>1779</v>
      </c>
      <c r="E1780">
        <v>9000</v>
      </c>
      <c r="F1780" t="s">
        <v>25</v>
      </c>
      <c r="G1780">
        <v>12</v>
      </c>
      <c r="H1780" t="s">
        <v>68</v>
      </c>
      <c r="I1780">
        <v>11</v>
      </c>
      <c r="J1780" s="10">
        <f t="shared" si="27"/>
        <v>12</v>
      </c>
    </row>
    <row r="1781" spans="1:10" x14ac:dyDescent="0.2">
      <c r="A1781" s="6">
        <v>43151</v>
      </c>
      <c r="B1781">
        <v>2007</v>
      </c>
      <c r="C1781">
        <v>2824</v>
      </c>
      <c r="D1781">
        <v>1780</v>
      </c>
      <c r="E1781">
        <v>9500</v>
      </c>
      <c r="F1781" t="s">
        <v>25</v>
      </c>
      <c r="G1781">
        <v>7</v>
      </c>
      <c r="H1781" t="s">
        <v>68</v>
      </c>
      <c r="I1781">
        <v>12</v>
      </c>
      <c r="J1781" s="10">
        <f t="shared" si="27"/>
        <v>7</v>
      </c>
    </row>
    <row r="1782" spans="1:10" x14ac:dyDescent="0.2">
      <c r="A1782" s="6">
        <v>43151</v>
      </c>
      <c r="B1782">
        <v>2006</v>
      </c>
      <c r="C1782">
        <v>2824</v>
      </c>
      <c r="D1782">
        <v>1781</v>
      </c>
      <c r="E1782">
        <v>9350</v>
      </c>
      <c r="F1782" t="s">
        <v>25</v>
      </c>
      <c r="G1782">
        <v>6</v>
      </c>
      <c r="H1782" t="s">
        <v>68</v>
      </c>
      <c r="I1782">
        <v>13</v>
      </c>
      <c r="J1782" s="10">
        <f t="shared" si="27"/>
        <v>6</v>
      </c>
    </row>
    <row r="1783" spans="1:10" x14ac:dyDescent="0.2">
      <c r="A1783" s="6">
        <v>43144</v>
      </c>
      <c r="B1783">
        <v>2007</v>
      </c>
      <c r="C1783">
        <v>2824</v>
      </c>
      <c r="D1783">
        <v>1782</v>
      </c>
      <c r="E1783">
        <v>9000</v>
      </c>
      <c r="F1783" t="s">
        <v>25</v>
      </c>
      <c r="G1783">
        <v>6</v>
      </c>
      <c r="H1783" t="s">
        <v>68</v>
      </c>
      <c r="I1783">
        <v>12</v>
      </c>
      <c r="J1783" s="10">
        <f t="shared" si="27"/>
        <v>6</v>
      </c>
    </row>
    <row r="1784" spans="1:10" x14ac:dyDescent="0.2">
      <c r="A1784" s="6">
        <v>43144</v>
      </c>
      <c r="B1784">
        <v>2006</v>
      </c>
      <c r="C1784">
        <v>2824</v>
      </c>
      <c r="D1784">
        <v>1783</v>
      </c>
      <c r="E1784">
        <v>10250</v>
      </c>
      <c r="F1784" t="s">
        <v>25</v>
      </c>
      <c r="G1784">
        <v>8</v>
      </c>
      <c r="H1784" t="s">
        <v>68</v>
      </c>
      <c r="I1784">
        <v>13</v>
      </c>
      <c r="J1784" s="10">
        <f t="shared" si="27"/>
        <v>8</v>
      </c>
    </row>
    <row r="1785" spans="1:10" x14ac:dyDescent="0.2">
      <c r="A1785" s="6">
        <v>43122</v>
      </c>
      <c r="B1785">
        <v>2007</v>
      </c>
      <c r="C1785">
        <v>2824</v>
      </c>
      <c r="D1785">
        <v>1784</v>
      </c>
      <c r="E1785">
        <v>9050</v>
      </c>
      <c r="F1785" t="s">
        <v>25</v>
      </c>
      <c r="G1785">
        <v>12</v>
      </c>
      <c r="H1785" t="s">
        <v>68</v>
      </c>
      <c r="I1785">
        <v>12</v>
      </c>
      <c r="J1785" s="10">
        <f t="shared" si="27"/>
        <v>12</v>
      </c>
    </row>
    <row r="1786" spans="1:10" x14ac:dyDescent="0.2">
      <c r="A1786" s="6">
        <v>43115</v>
      </c>
      <c r="B1786">
        <v>2006</v>
      </c>
      <c r="C1786">
        <v>2824</v>
      </c>
      <c r="D1786">
        <v>1785</v>
      </c>
      <c r="E1786">
        <v>9000</v>
      </c>
      <c r="F1786" t="s">
        <v>25</v>
      </c>
      <c r="G1786">
        <v>4</v>
      </c>
      <c r="H1786" t="s">
        <v>68</v>
      </c>
      <c r="I1786">
        <v>13</v>
      </c>
      <c r="J1786" s="10">
        <f t="shared" si="27"/>
        <v>4</v>
      </c>
    </row>
    <row r="1787" spans="1:10" x14ac:dyDescent="0.2">
      <c r="A1787" s="6">
        <v>43101</v>
      </c>
      <c r="B1787">
        <v>2007</v>
      </c>
      <c r="C1787">
        <v>2824</v>
      </c>
      <c r="D1787">
        <v>1786</v>
      </c>
      <c r="E1787">
        <v>8750</v>
      </c>
      <c r="F1787" t="s">
        <v>25</v>
      </c>
      <c r="G1787">
        <v>5</v>
      </c>
      <c r="H1787" t="s">
        <v>68</v>
      </c>
      <c r="I1787">
        <v>12</v>
      </c>
      <c r="J1787" s="10">
        <f t="shared" si="27"/>
        <v>5</v>
      </c>
    </row>
    <row r="1788" spans="1:10" x14ac:dyDescent="0.2">
      <c r="A1788" s="6">
        <v>43077</v>
      </c>
      <c r="B1788">
        <v>2006</v>
      </c>
      <c r="C1788">
        <v>2824</v>
      </c>
      <c r="D1788">
        <v>1787</v>
      </c>
      <c r="E1788">
        <v>8850</v>
      </c>
      <c r="F1788" t="s">
        <v>25</v>
      </c>
      <c r="G1788">
        <v>12</v>
      </c>
      <c r="H1788" t="s">
        <v>68</v>
      </c>
      <c r="I1788">
        <v>13</v>
      </c>
      <c r="J1788" s="10">
        <f t="shared" si="27"/>
        <v>12</v>
      </c>
    </row>
    <row r="1789" spans="1:10" x14ac:dyDescent="0.2">
      <c r="A1789" s="6">
        <v>43061</v>
      </c>
      <c r="B1789">
        <v>2006</v>
      </c>
      <c r="C1789">
        <v>2824</v>
      </c>
      <c r="D1789">
        <v>1788</v>
      </c>
      <c r="E1789">
        <v>9100</v>
      </c>
      <c r="F1789" t="s">
        <v>25</v>
      </c>
      <c r="G1789">
        <v>50</v>
      </c>
      <c r="H1789" t="s">
        <v>26</v>
      </c>
      <c r="I1789">
        <v>13</v>
      </c>
      <c r="J1789" s="10">
        <f t="shared" si="27"/>
        <v>2</v>
      </c>
    </row>
    <row r="1790" spans="1:10" x14ac:dyDescent="0.2">
      <c r="A1790" s="6">
        <v>43040</v>
      </c>
      <c r="B1790">
        <v>2006</v>
      </c>
      <c r="C1790">
        <v>2824</v>
      </c>
      <c r="D1790">
        <v>1789</v>
      </c>
      <c r="E1790">
        <v>7750</v>
      </c>
      <c r="F1790" t="s">
        <v>25</v>
      </c>
      <c r="G1790">
        <v>8</v>
      </c>
      <c r="H1790" t="s">
        <v>68</v>
      </c>
      <c r="I1790">
        <v>13</v>
      </c>
      <c r="J1790" s="10">
        <f t="shared" si="27"/>
        <v>8</v>
      </c>
    </row>
    <row r="1791" spans="1:10" x14ac:dyDescent="0.2">
      <c r="A1791" s="6">
        <v>43034</v>
      </c>
      <c r="B1791">
        <v>2008</v>
      </c>
      <c r="C1791">
        <v>2824</v>
      </c>
      <c r="D1791">
        <v>1790</v>
      </c>
      <c r="E1791">
        <v>7750</v>
      </c>
      <c r="F1791" t="s">
        <v>25</v>
      </c>
      <c r="G1791">
        <v>8</v>
      </c>
      <c r="H1791" t="s">
        <v>68</v>
      </c>
      <c r="I1791">
        <v>11</v>
      </c>
      <c r="J1791" s="10">
        <f t="shared" si="27"/>
        <v>8</v>
      </c>
    </row>
    <row r="1792" spans="1:10" x14ac:dyDescent="0.2">
      <c r="A1792" s="6">
        <v>43034</v>
      </c>
      <c r="B1792">
        <v>2007</v>
      </c>
      <c r="C1792">
        <v>2824</v>
      </c>
      <c r="D1792">
        <v>1791</v>
      </c>
      <c r="E1792">
        <v>9000</v>
      </c>
      <c r="F1792" t="s">
        <v>25</v>
      </c>
      <c r="G1792">
        <v>6</v>
      </c>
      <c r="H1792" t="s">
        <v>68</v>
      </c>
      <c r="I1792">
        <v>12</v>
      </c>
      <c r="J1792" s="10">
        <f t="shared" si="27"/>
        <v>6</v>
      </c>
    </row>
    <row r="1793" spans="1:10" x14ac:dyDescent="0.2">
      <c r="A1793" s="6">
        <v>43031</v>
      </c>
      <c r="B1793">
        <v>2006</v>
      </c>
      <c r="C1793">
        <v>2824</v>
      </c>
      <c r="D1793">
        <v>1792</v>
      </c>
      <c r="E1793">
        <v>8000</v>
      </c>
      <c r="F1793" t="s">
        <v>25</v>
      </c>
      <c r="G1793">
        <v>5</v>
      </c>
      <c r="H1793" t="s">
        <v>68</v>
      </c>
      <c r="I1793">
        <v>13</v>
      </c>
      <c r="J1793" s="10">
        <f t="shared" si="27"/>
        <v>5</v>
      </c>
    </row>
    <row r="1794" spans="1:10" x14ac:dyDescent="0.2">
      <c r="A1794" s="6">
        <v>43024</v>
      </c>
      <c r="B1794">
        <v>2007</v>
      </c>
      <c r="C1794">
        <v>2824</v>
      </c>
      <c r="D1794">
        <v>1793</v>
      </c>
      <c r="E1794">
        <v>9000</v>
      </c>
      <c r="F1794" t="s">
        <v>25</v>
      </c>
      <c r="G1794">
        <v>9</v>
      </c>
      <c r="H1794" t="s">
        <v>68</v>
      </c>
      <c r="I1794">
        <v>12</v>
      </c>
      <c r="J1794" s="10">
        <f t="shared" ref="J1794:J1857" si="28">IF(H1794="days",ROUND(G1794/30,0),IF(H1794="years",G1794*12,G1794))</f>
        <v>9</v>
      </c>
    </row>
    <row r="1795" spans="1:10" x14ac:dyDescent="0.2">
      <c r="A1795" s="6">
        <v>43017</v>
      </c>
      <c r="B1795">
        <v>2006</v>
      </c>
      <c r="C1795">
        <v>2824</v>
      </c>
      <c r="D1795">
        <v>1794</v>
      </c>
      <c r="E1795">
        <v>9150</v>
      </c>
      <c r="F1795" t="s">
        <v>25</v>
      </c>
      <c r="G1795">
        <v>7</v>
      </c>
      <c r="H1795" t="s">
        <v>68</v>
      </c>
      <c r="I1795">
        <v>13</v>
      </c>
      <c r="J1795" s="10">
        <f t="shared" si="28"/>
        <v>7</v>
      </c>
    </row>
    <row r="1796" spans="1:10" x14ac:dyDescent="0.2">
      <c r="A1796" s="6">
        <v>43007</v>
      </c>
      <c r="B1796">
        <v>2007</v>
      </c>
      <c r="C1796">
        <v>2824</v>
      </c>
      <c r="D1796">
        <v>1795</v>
      </c>
      <c r="E1796">
        <v>9450</v>
      </c>
      <c r="F1796" t="s">
        <v>25</v>
      </c>
      <c r="G1796">
        <v>70</v>
      </c>
      <c r="H1796" t="s">
        <v>26</v>
      </c>
      <c r="I1796">
        <v>12</v>
      </c>
      <c r="J1796" s="10">
        <f t="shared" si="28"/>
        <v>2</v>
      </c>
    </row>
    <row r="1797" spans="1:10" x14ac:dyDescent="0.2">
      <c r="A1797" s="6">
        <v>43004</v>
      </c>
      <c r="B1797">
        <v>2007</v>
      </c>
      <c r="C1797">
        <v>2824</v>
      </c>
      <c r="D1797">
        <v>1796</v>
      </c>
      <c r="E1797">
        <v>7250</v>
      </c>
      <c r="F1797" t="s">
        <v>25</v>
      </c>
      <c r="G1797">
        <v>100</v>
      </c>
      <c r="H1797" t="s">
        <v>26</v>
      </c>
      <c r="I1797">
        <v>12</v>
      </c>
      <c r="J1797" s="10">
        <f t="shared" si="28"/>
        <v>3</v>
      </c>
    </row>
    <row r="1798" spans="1:10" x14ac:dyDescent="0.2">
      <c r="A1798" s="6">
        <v>43004</v>
      </c>
      <c r="B1798">
        <v>2007</v>
      </c>
      <c r="C1798">
        <v>2824</v>
      </c>
      <c r="D1798">
        <v>1797</v>
      </c>
      <c r="E1798">
        <v>9000</v>
      </c>
      <c r="F1798" t="s">
        <v>25</v>
      </c>
      <c r="G1798">
        <v>8</v>
      </c>
      <c r="H1798" t="s">
        <v>68</v>
      </c>
      <c r="I1798">
        <v>12</v>
      </c>
      <c r="J1798" s="10">
        <f t="shared" si="28"/>
        <v>8</v>
      </c>
    </row>
    <row r="1799" spans="1:10" x14ac:dyDescent="0.2">
      <c r="A1799" s="6">
        <v>42999</v>
      </c>
      <c r="B1799">
        <v>2008</v>
      </c>
      <c r="C1799">
        <v>2824</v>
      </c>
      <c r="D1799">
        <v>1798</v>
      </c>
      <c r="E1799">
        <v>8500</v>
      </c>
      <c r="F1799" t="s">
        <v>25</v>
      </c>
      <c r="G1799">
        <v>10</v>
      </c>
      <c r="H1799" t="s">
        <v>68</v>
      </c>
      <c r="I1799">
        <v>11</v>
      </c>
      <c r="J1799" s="10">
        <f t="shared" si="28"/>
        <v>10</v>
      </c>
    </row>
    <row r="1800" spans="1:10" x14ac:dyDescent="0.2">
      <c r="A1800" s="6">
        <v>42993</v>
      </c>
      <c r="B1800">
        <v>2008</v>
      </c>
      <c r="C1800">
        <v>2824</v>
      </c>
      <c r="D1800">
        <v>1799</v>
      </c>
      <c r="E1800">
        <v>9450</v>
      </c>
      <c r="F1800" t="s">
        <v>25</v>
      </c>
      <c r="G1800">
        <v>6</v>
      </c>
      <c r="H1800" t="s">
        <v>68</v>
      </c>
      <c r="I1800">
        <v>11</v>
      </c>
      <c r="J1800" s="10">
        <f t="shared" si="28"/>
        <v>6</v>
      </c>
    </row>
    <row r="1801" spans="1:10" x14ac:dyDescent="0.2">
      <c r="A1801" s="6">
        <v>42978</v>
      </c>
      <c r="B1801">
        <v>2006</v>
      </c>
      <c r="C1801">
        <v>2824</v>
      </c>
      <c r="D1801">
        <v>1800</v>
      </c>
      <c r="E1801">
        <v>8000</v>
      </c>
      <c r="F1801" t="s">
        <v>25</v>
      </c>
      <c r="G1801">
        <v>7</v>
      </c>
      <c r="H1801" t="s">
        <v>68</v>
      </c>
      <c r="I1801">
        <v>13</v>
      </c>
      <c r="J1801" s="10">
        <f t="shared" si="28"/>
        <v>7</v>
      </c>
    </row>
    <row r="1802" spans="1:10" x14ac:dyDescent="0.2">
      <c r="A1802" s="6">
        <v>42968</v>
      </c>
      <c r="B1802">
        <v>2006</v>
      </c>
      <c r="C1802">
        <v>2824</v>
      </c>
      <c r="D1802">
        <v>1801</v>
      </c>
      <c r="E1802">
        <v>9000</v>
      </c>
      <c r="F1802" t="s">
        <v>25</v>
      </c>
      <c r="G1802">
        <v>8</v>
      </c>
      <c r="H1802" t="s">
        <v>68</v>
      </c>
      <c r="I1802">
        <v>13</v>
      </c>
      <c r="J1802" s="10">
        <f t="shared" si="28"/>
        <v>8</v>
      </c>
    </row>
    <row r="1803" spans="1:10" x14ac:dyDescent="0.2">
      <c r="A1803" s="6">
        <v>42948</v>
      </c>
      <c r="B1803">
        <v>2006</v>
      </c>
      <c r="C1803">
        <v>2824</v>
      </c>
      <c r="D1803">
        <v>1802</v>
      </c>
      <c r="E1803">
        <v>9000</v>
      </c>
      <c r="F1803" t="s">
        <v>25</v>
      </c>
      <c r="G1803">
        <v>7</v>
      </c>
      <c r="H1803" t="s">
        <v>68</v>
      </c>
      <c r="I1803">
        <v>13</v>
      </c>
      <c r="J1803" s="10">
        <f t="shared" si="28"/>
        <v>7</v>
      </c>
    </row>
    <row r="1804" spans="1:10" x14ac:dyDescent="0.2">
      <c r="A1804" s="6">
        <v>42936</v>
      </c>
      <c r="B1804">
        <v>2006</v>
      </c>
      <c r="C1804">
        <v>2824</v>
      </c>
      <c r="D1804">
        <v>1803</v>
      </c>
      <c r="E1804">
        <v>7500</v>
      </c>
      <c r="F1804" t="s">
        <v>25</v>
      </c>
      <c r="G1804">
        <v>6</v>
      </c>
      <c r="H1804" t="s">
        <v>68</v>
      </c>
      <c r="I1804">
        <v>13</v>
      </c>
      <c r="J1804" s="10">
        <f t="shared" si="28"/>
        <v>6</v>
      </c>
    </row>
    <row r="1805" spans="1:10" x14ac:dyDescent="0.2">
      <c r="A1805" s="6">
        <v>42926</v>
      </c>
      <c r="B1805">
        <v>2006</v>
      </c>
      <c r="C1805">
        <v>2824</v>
      </c>
      <c r="D1805">
        <v>1804</v>
      </c>
      <c r="E1805">
        <v>7500</v>
      </c>
      <c r="F1805" t="s">
        <v>25</v>
      </c>
      <c r="G1805">
        <v>50</v>
      </c>
      <c r="H1805" t="s">
        <v>26</v>
      </c>
      <c r="I1805">
        <v>13</v>
      </c>
      <c r="J1805" s="10">
        <f t="shared" si="28"/>
        <v>2</v>
      </c>
    </row>
    <row r="1806" spans="1:10" x14ac:dyDescent="0.2">
      <c r="A1806" s="6">
        <v>42923</v>
      </c>
      <c r="B1806">
        <v>2007</v>
      </c>
      <c r="C1806">
        <v>2824</v>
      </c>
      <c r="D1806">
        <v>1805</v>
      </c>
      <c r="E1806">
        <v>7500</v>
      </c>
      <c r="F1806" t="s">
        <v>25</v>
      </c>
      <c r="G1806">
        <v>7</v>
      </c>
      <c r="H1806" t="s">
        <v>68</v>
      </c>
      <c r="I1806">
        <v>12</v>
      </c>
      <c r="J1806" s="10">
        <f t="shared" si="28"/>
        <v>7</v>
      </c>
    </row>
    <row r="1807" spans="1:10" x14ac:dyDescent="0.2">
      <c r="A1807" s="6">
        <v>42912</v>
      </c>
      <c r="B1807">
        <v>2007</v>
      </c>
      <c r="C1807">
        <v>2824</v>
      </c>
      <c r="D1807">
        <v>1806</v>
      </c>
      <c r="E1807">
        <v>7500</v>
      </c>
      <c r="F1807" t="s">
        <v>25</v>
      </c>
      <c r="G1807">
        <v>12</v>
      </c>
      <c r="H1807" t="s">
        <v>68</v>
      </c>
      <c r="I1807">
        <v>12</v>
      </c>
      <c r="J1807" s="10">
        <f t="shared" si="28"/>
        <v>12</v>
      </c>
    </row>
    <row r="1808" spans="1:10" x14ac:dyDescent="0.2">
      <c r="A1808" s="6">
        <v>42912</v>
      </c>
      <c r="B1808">
        <v>2007</v>
      </c>
      <c r="C1808">
        <v>2824</v>
      </c>
      <c r="D1808">
        <v>1807</v>
      </c>
      <c r="E1808">
        <v>9000</v>
      </c>
      <c r="F1808" t="s">
        <v>25</v>
      </c>
      <c r="G1808">
        <v>3</v>
      </c>
      <c r="H1808" t="s">
        <v>68</v>
      </c>
      <c r="I1808">
        <v>12</v>
      </c>
      <c r="J1808" s="10">
        <f t="shared" si="28"/>
        <v>3</v>
      </c>
    </row>
    <row r="1809" spans="1:10" x14ac:dyDescent="0.2">
      <c r="A1809" s="6">
        <v>42899</v>
      </c>
      <c r="B1809">
        <v>2007</v>
      </c>
      <c r="C1809">
        <v>2824</v>
      </c>
      <c r="D1809">
        <v>1808</v>
      </c>
      <c r="E1809">
        <v>9600</v>
      </c>
      <c r="F1809" t="s">
        <v>25</v>
      </c>
      <c r="G1809">
        <v>5</v>
      </c>
      <c r="H1809" t="s">
        <v>68</v>
      </c>
      <c r="I1809">
        <v>12</v>
      </c>
      <c r="J1809" s="10">
        <f t="shared" si="28"/>
        <v>5</v>
      </c>
    </row>
    <row r="1810" spans="1:10" x14ac:dyDescent="0.2">
      <c r="A1810" s="6">
        <v>42887</v>
      </c>
      <c r="B1810">
        <v>2008</v>
      </c>
      <c r="C1810">
        <v>2824</v>
      </c>
      <c r="D1810">
        <v>1809</v>
      </c>
      <c r="E1810">
        <v>7500</v>
      </c>
      <c r="F1810" t="s">
        <v>25</v>
      </c>
      <c r="G1810">
        <v>4</v>
      </c>
      <c r="H1810" t="s">
        <v>68</v>
      </c>
      <c r="I1810">
        <v>11</v>
      </c>
      <c r="J1810" s="10">
        <f t="shared" si="28"/>
        <v>4</v>
      </c>
    </row>
    <row r="1811" spans="1:10" x14ac:dyDescent="0.2">
      <c r="A1811" s="6">
        <v>42879</v>
      </c>
      <c r="B1811">
        <v>2006</v>
      </c>
      <c r="C1811">
        <v>2824</v>
      </c>
      <c r="D1811">
        <v>1810</v>
      </c>
      <c r="E1811">
        <v>9800</v>
      </c>
      <c r="F1811" t="s">
        <v>25</v>
      </c>
      <c r="G1811">
        <v>5</v>
      </c>
      <c r="H1811" t="s">
        <v>68</v>
      </c>
      <c r="I1811">
        <v>13</v>
      </c>
      <c r="J1811" s="10">
        <f t="shared" si="28"/>
        <v>5</v>
      </c>
    </row>
    <row r="1812" spans="1:10" x14ac:dyDescent="0.2">
      <c r="A1812" s="6">
        <v>42859</v>
      </c>
      <c r="B1812">
        <v>2006</v>
      </c>
      <c r="C1812">
        <v>2824</v>
      </c>
      <c r="D1812">
        <v>1811</v>
      </c>
      <c r="E1812">
        <v>10000</v>
      </c>
      <c r="F1812" t="s">
        <v>25</v>
      </c>
      <c r="G1812">
        <v>6</v>
      </c>
      <c r="H1812" t="s">
        <v>68</v>
      </c>
      <c r="I1812">
        <v>13</v>
      </c>
      <c r="J1812" s="10">
        <f t="shared" si="28"/>
        <v>6</v>
      </c>
    </row>
    <row r="1813" spans="1:10" x14ac:dyDescent="0.2">
      <c r="A1813" s="6">
        <v>42858</v>
      </c>
      <c r="B1813">
        <v>2006</v>
      </c>
      <c r="C1813">
        <v>2824</v>
      </c>
      <c r="D1813">
        <v>1812</v>
      </c>
      <c r="E1813">
        <v>9375</v>
      </c>
      <c r="F1813" t="s">
        <v>25</v>
      </c>
      <c r="G1813">
        <v>9</v>
      </c>
      <c r="H1813" t="s">
        <v>68</v>
      </c>
      <c r="I1813">
        <v>13</v>
      </c>
      <c r="J1813" s="10">
        <f t="shared" si="28"/>
        <v>9</v>
      </c>
    </row>
    <row r="1814" spans="1:10" x14ac:dyDescent="0.2">
      <c r="A1814" s="6">
        <v>42851</v>
      </c>
      <c r="B1814">
        <v>2007</v>
      </c>
      <c r="C1814">
        <v>2824</v>
      </c>
      <c r="D1814">
        <v>1813</v>
      </c>
      <c r="E1814">
        <v>9000</v>
      </c>
      <c r="F1814" t="s">
        <v>25</v>
      </c>
      <c r="G1814">
        <v>11</v>
      </c>
      <c r="H1814" t="s">
        <v>68</v>
      </c>
      <c r="I1814">
        <v>12</v>
      </c>
      <c r="J1814" s="10">
        <f t="shared" si="28"/>
        <v>11</v>
      </c>
    </row>
    <row r="1815" spans="1:10" x14ac:dyDescent="0.2">
      <c r="A1815" s="6">
        <v>42824</v>
      </c>
      <c r="B1815">
        <v>2006</v>
      </c>
      <c r="C1815">
        <v>2824</v>
      </c>
      <c r="D1815">
        <v>1814</v>
      </c>
      <c r="E1815">
        <v>8000</v>
      </c>
      <c r="F1815" t="s">
        <v>25</v>
      </c>
      <c r="G1815">
        <v>3</v>
      </c>
      <c r="H1815" t="s">
        <v>68</v>
      </c>
      <c r="I1815">
        <v>13</v>
      </c>
      <c r="J1815" s="10">
        <f t="shared" si="28"/>
        <v>3</v>
      </c>
    </row>
    <row r="1816" spans="1:10" x14ac:dyDescent="0.2">
      <c r="A1816" s="6">
        <v>42795</v>
      </c>
      <c r="B1816">
        <v>2007</v>
      </c>
      <c r="C1816">
        <v>2824</v>
      </c>
      <c r="D1816">
        <v>1815</v>
      </c>
      <c r="E1816">
        <v>6000</v>
      </c>
      <c r="F1816" t="s">
        <v>25</v>
      </c>
      <c r="G1816">
        <v>120</v>
      </c>
      <c r="H1816" t="s">
        <v>26</v>
      </c>
      <c r="I1816">
        <v>12</v>
      </c>
      <c r="J1816" s="10">
        <f t="shared" si="28"/>
        <v>4</v>
      </c>
    </row>
    <row r="1817" spans="1:10" x14ac:dyDescent="0.2">
      <c r="A1817" s="6">
        <v>42794</v>
      </c>
      <c r="B1817">
        <v>2007</v>
      </c>
      <c r="C1817">
        <v>2824</v>
      </c>
      <c r="D1817">
        <v>1816</v>
      </c>
      <c r="E1817">
        <v>6000</v>
      </c>
      <c r="F1817" t="s">
        <v>25</v>
      </c>
      <c r="G1817">
        <v>4</v>
      </c>
      <c r="H1817" t="s">
        <v>68</v>
      </c>
      <c r="I1817">
        <v>12</v>
      </c>
      <c r="J1817" s="10">
        <f t="shared" si="28"/>
        <v>4</v>
      </c>
    </row>
    <row r="1818" spans="1:10" x14ac:dyDescent="0.2">
      <c r="A1818" s="6">
        <v>42774</v>
      </c>
      <c r="B1818">
        <v>2007</v>
      </c>
      <c r="C1818">
        <v>2824</v>
      </c>
      <c r="D1818">
        <v>1817</v>
      </c>
      <c r="E1818">
        <v>6600</v>
      </c>
      <c r="F1818" t="s">
        <v>25</v>
      </c>
      <c r="G1818">
        <v>7</v>
      </c>
      <c r="H1818" t="s">
        <v>68</v>
      </c>
      <c r="I1818">
        <v>12</v>
      </c>
      <c r="J1818" s="10">
        <f t="shared" si="28"/>
        <v>7</v>
      </c>
    </row>
    <row r="1819" spans="1:10" x14ac:dyDescent="0.2">
      <c r="A1819" s="6">
        <v>42774</v>
      </c>
      <c r="B1819">
        <v>2007</v>
      </c>
      <c r="C1819">
        <v>2824</v>
      </c>
      <c r="D1819">
        <v>1818</v>
      </c>
      <c r="E1819">
        <v>6600</v>
      </c>
      <c r="F1819" t="s">
        <v>25</v>
      </c>
      <c r="G1819">
        <v>7</v>
      </c>
      <c r="H1819" t="s">
        <v>68</v>
      </c>
      <c r="I1819">
        <v>12</v>
      </c>
      <c r="J1819" s="10">
        <f t="shared" si="28"/>
        <v>7</v>
      </c>
    </row>
    <row r="1820" spans="1:10" x14ac:dyDescent="0.2">
      <c r="A1820" s="6">
        <v>42758</v>
      </c>
      <c r="B1820">
        <v>2007</v>
      </c>
      <c r="C1820">
        <v>2824</v>
      </c>
      <c r="D1820">
        <v>1819</v>
      </c>
      <c r="E1820">
        <v>6100</v>
      </c>
      <c r="F1820" t="s">
        <v>25</v>
      </c>
      <c r="G1820">
        <v>8</v>
      </c>
      <c r="H1820" t="s">
        <v>68</v>
      </c>
      <c r="I1820">
        <v>12</v>
      </c>
      <c r="J1820" s="10">
        <f t="shared" si="28"/>
        <v>8</v>
      </c>
    </row>
    <row r="1821" spans="1:10" x14ac:dyDescent="0.2">
      <c r="A1821" s="6">
        <v>42745</v>
      </c>
      <c r="B1821">
        <v>2006</v>
      </c>
      <c r="C1821">
        <v>2824</v>
      </c>
      <c r="D1821">
        <v>1820</v>
      </c>
      <c r="E1821">
        <v>6000</v>
      </c>
      <c r="F1821" t="s">
        <v>25</v>
      </c>
      <c r="G1821">
        <v>12</v>
      </c>
      <c r="H1821" t="s">
        <v>68</v>
      </c>
      <c r="I1821">
        <v>13</v>
      </c>
      <c r="J1821" s="10">
        <f t="shared" si="28"/>
        <v>12</v>
      </c>
    </row>
    <row r="1822" spans="1:10" x14ac:dyDescent="0.2">
      <c r="A1822" s="6">
        <v>42745</v>
      </c>
      <c r="B1822">
        <v>2006</v>
      </c>
      <c r="C1822">
        <v>2824</v>
      </c>
      <c r="D1822">
        <v>1821</v>
      </c>
      <c r="E1822">
        <v>6250</v>
      </c>
      <c r="F1822" t="s">
        <v>25</v>
      </c>
      <c r="G1822">
        <v>10</v>
      </c>
      <c r="H1822" t="s">
        <v>68</v>
      </c>
      <c r="I1822">
        <v>13</v>
      </c>
      <c r="J1822" s="10">
        <f t="shared" si="28"/>
        <v>10</v>
      </c>
    </row>
    <row r="1823" spans="1:10" x14ac:dyDescent="0.2">
      <c r="A1823" s="6">
        <v>42708</v>
      </c>
      <c r="B1823">
        <v>2006</v>
      </c>
      <c r="C1823">
        <v>2824</v>
      </c>
      <c r="D1823">
        <v>1822</v>
      </c>
      <c r="E1823">
        <v>6000</v>
      </c>
      <c r="F1823" t="s">
        <v>25</v>
      </c>
      <c r="G1823">
        <v>12</v>
      </c>
      <c r="H1823" t="s">
        <v>68</v>
      </c>
      <c r="I1823">
        <v>13</v>
      </c>
      <c r="J1823" s="10">
        <f t="shared" si="28"/>
        <v>12</v>
      </c>
    </row>
    <row r="1824" spans="1:10" x14ac:dyDescent="0.2">
      <c r="A1824" s="6">
        <v>42683</v>
      </c>
      <c r="B1824">
        <v>2006</v>
      </c>
      <c r="C1824">
        <v>2824</v>
      </c>
      <c r="D1824">
        <v>1823</v>
      </c>
      <c r="E1824">
        <v>6000</v>
      </c>
      <c r="F1824" t="s">
        <v>25</v>
      </c>
      <c r="G1824">
        <v>9</v>
      </c>
      <c r="H1824" t="s">
        <v>68</v>
      </c>
      <c r="I1824">
        <v>13</v>
      </c>
      <c r="J1824" s="10">
        <f t="shared" si="28"/>
        <v>9</v>
      </c>
    </row>
    <row r="1825" spans="1:10" x14ac:dyDescent="0.2">
      <c r="A1825" s="6">
        <v>42683</v>
      </c>
      <c r="B1825">
        <v>2006</v>
      </c>
      <c r="C1825">
        <v>2824</v>
      </c>
      <c r="D1825">
        <v>1824</v>
      </c>
      <c r="E1825">
        <v>6000</v>
      </c>
      <c r="F1825" t="s">
        <v>25</v>
      </c>
      <c r="G1825">
        <v>9</v>
      </c>
      <c r="H1825" t="s">
        <v>68</v>
      </c>
      <c r="I1825">
        <v>13</v>
      </c>
      <c r="J1825" s="10">
        <f t="shared" si="28"/>
        <v>9</v>
      </c>
    </row>
    <row r="1826" spans="1:10" x14ac:dyDescent="0.2">
      <c r="A1826" s="6">
        <v>42681</v>
      </c>
      <c r="B1826">
        <v>2007</v>
      </c>
      <c r="C1826">
        <v>2824</v>
      </c>
      <c r="D1826">
        <v>1825</v>
      </c>
      <c r="E1826">
        <v>6000</v>
      </c>
      <c r="F1826" t="s">
        <v>25</v>
      </c>
      <c r="G1826">
        <v>12</v>
      </c>
      <c r="H1826" t="s">
        <v>68</v>
      </c>
      <c r="I1826">
        <v>12</v>
      </c>
      <c r="J1826" s="10">
        <f t="shared" si="28"/>
        <v>12</v>
      </c>
    </row>
    <row r="1827" spans="1:10" x14ac:dyDescent="0.2">
      <c r="A1827" s="6">
        <v>42681</v>
      </c>
      <c r="B1827">
        <v>2008</v>
      </c>
      <c r="C1827">
        <v>2824</v>
      </c>
      <c r="D1827">
        <v>1826</v>
      </c>
      <c r="E1827">
        <v>6000</v>
      </c>
      <c r="F1827" t="s">
        <v>25</v>
      </c>
      <c r="G1827">
        <v>8</v>
      </c>
      <c r="H1827" t="s">
        <v>68</v>
      </c>
      <c r="I1827">
        <v>11</v>
      </c>
      <c r="J1827" s="10">
        <f t="shared" si="28"/>
        <v>8</v>
      </c>
    </row>
    <row r="1828" spans="1:10" x14ac:dyDescent="0.2">
      <c r="A1828" s="6">
        <v>42667</v>
      </c>
      <c r="B1828">
        <v>2006</v>
      </c>
      <c r="C1828">
        <v>2824</v>
      </c>
      <c r="D1828">
        <v>1827</v>
      </c>
      <c r="E1828">
        <v>6000</v>
      </c>
      <c r="F1828" t="s">
        <v>25</v>
      </c>
      <c r="G1828">
        <v>8</v>
      </c>
      <c r="H1828" t="s">
        <v>68</v>
      </c>
      <c r="I1828">
        <v>13</v>
      </c>
      <c r="J1828" s="10">
        <f t="shared" si="28"/>
        <v>8</v>
      </c>
    </row>
    <row r="1829" spans="1:10" x14ac:dyDescent="0.2">
      <c r="A1829" s="6">
        <v>42663</v>
      </c>
      <c r="B1829">
        <v>2007</v>
      </c>
      <c r="C1829">
        <v>2824</v>
      </c>
      <c r="D1829">
        <v>1828</v>
      </c>
      <c r="E1829">
        <v>6000</v>
      </c>
      <c r="F1829" t="s">
        <v>25</v>
      </c>
      <c r="G1829">
        <v>6</v>
      </c>
      <c r="H1829" t="s">
        <v>68</v>
      </c>
      <c r="I1829">
        <v>12</v>
      </c>
      <c r="J1829" s="10">
        <f t="shared" si="28"/>
        <v>6</v>
      </c>
    </row>
    <row r="1830" spans="1:10" x14ac:dyDescent="0.2">
      <c r="A1830" s="6">
        <v>42639</v>
      </c>
      <c r="B1830">
        <v>2007</v>
      </c>
      <c r="C1830">
        <v>2824</v>
      </c>
      <c r="D1830">
        <v>1829</v>
      </c>
      <c r="E1830">
        <v>6000</v>
      </c>
      <c r="F1830" t="s">
        <v>25</v>
      </c>
      <c r="G1830">
        <v>7</v>
      </c>
      <c r="H1830" t="s">
        <v>68</v>
      </c>
      <c r="I1830">
        <v>12</v>
      </c>
      <c r="J1830" s="10">
        <f t="shared" si="28"/>
        <v>7</v>
      </c>
    </row>
    <row r="1831" spans="1:10" x14ac:dyDescent="0.2">
      <c r="A1831" s="6">
        <v>42614</v>
      </c>
      <c r="B1831">
        <v>2007</v>
      </c>
      <c r="C1831">
        <v>2824</v>
      </c>
      <c r="D1831">
        <v>1830</v>
      </c>
      <c r="E1831">
        <v>6000</v>
      </c>
      <c r="F1831" t="s">
        <v>25</v>
      </c>
      <c r="G1831">
        <v>10</v>
      </c>
      <c r="H1831" t="s">
        <v>68</v>
      </c>
      <c r="I1831">
        <v>12</v>
      </c>
      <c r="J1831" s="10">
        <f t="shared" si="28"/>
        <v>10</v>
      </c>
    </row>
    <row r="1832" spans="1:10" x14ac:dyDescent="0.2">
      <c r="A1832" s="6">
        <v>42612</v>
      </c>
      <c r="B1832">
        <v>2006</v>
      </c>
      <c r="C1832">
        <v>2824</v>
      </c>
      <c r="D1832">
        <v>1831</v>
      </c>
      <c r="E1832">
        <v>6000</v>
      </c>
      <c r="F1832" t="s">
        <v>25</v>
      </c>
      <c r="G1832">
        <v>9</v>
      </c>
      <c r="H1832" t="s">
        <v>68</v>
      </c>
      <c r="I1832">
        <v>13</v>
      </c>
      <c r="J1832" s="10">
        <f t="shared" si="28"/>
        <v>9</v>
      </c>
    </row>
    <row r="1833" spans="1:10" x14ac:dyDescent="0.2">
      <c r="A1833" s="6">
        <v>42592</v>
      </c>
      <c r="B1833">
        <v>2007</v>
      </c>
      <c r="C1833">
        <v>2824</v>
      </c>
      <c r="D1833">
        <v>1832</v>
      </c>
      <c r="E1833">
        <v>6250</v>
      </c>
      <c r="F1833" t="s">
        <v>25</v>
      </c>
      <c r="G1833">
        <v>7</v>
      </c>
      <c r="H1833" t="s">
        <v>68</v>
      </c>
      <c r="I1833">
        <v>12</v>
      </c>
      <c r="J1833" s="10">
        <f t="shared" si="28"/>
        <v>7</v>
      </c>
    </row>
    <row r="1834" spans="1:10" x14ac:dyDescent="0.2">
      <c r="A1834" s="6">
        <v>42592</v>
      </c>
      <c r="B1834">
        <v>2006</v>
      </c>
      <c r="C1834">
        <v>2824</v>
      </c>
      <c r="D1834">
        <v>1833</v>
      </c>
      <c r="E1834">
        <v>6100</v>
      </c>
      <c r="F1834" t="s">
        <v>25</v>
      </c>
      <c r="G1834">
        <v>10</v>
      </c>
      <c r="H1834" t="s">
        <v>68</v>
      </c>
      <c r="I1834">
        <v>13</v>
      </c>
      <c r="J1834" s="10">
        <f t="shared" si="28"/>
        <v>10</v>
      </c>
    </row>
    <row r="1835" spans="1:10" x14ac:dyDescent="0.2">
      <c r="A1835" s="6">
        <v>42591</v>
      </c>
      <c r="B1835">
        <v>2006</v>
      </c>
      <c r="C1835">
        <v>2824</v>
      </c>
      <c r="D1835">
        <v>1834</v>
      </c>
      <c r="E1835">
        <v>6000</v>
      </c>
      <c r="F1835" t="s">
        <v>25</v>
      </c>
      <c r="G1835">
        <v>10</v>
      </c>
      <c r="H1835" t="s">
        <v>68</v>
      </c>
      <c r="I1835">
        <v>13</v>
      </c>
      <c r="J1835" s="10">
        <f t="shared" si="28"/>
        <v>10</v>
      </c>
    </row>
    <row r="1836" spans="1:10" x14ac:dyDescent="0.2">
      <c r="A1836" s="6">
        <v>42577</v>
      </c>
      <c r="B1836">
        <v>2006</v>
      </c>
      <c r="C1836">
        <v>2824</v>
      </c>
      <c r="D1836">
        <v>1835</v>
      </c>
      <c r="E1836">
        <v>6000</v>
      </c>
      <c r="F1836" t="s">
        <v>25</v>
      </c>
      <c r="G1836">
        <v>6</v>
      </c>
      <c r="H1836" t="s">
        <v>68</v>
      </c>
      <c r="I1836">
        <v>13</v>
      </c>
      <c r="J1836" s="10">
        <f t="shared" si="28"/>
        <v>6</v>
      </c>
    </row>
    <row r="1837" spans="1:10" x14ac:dyDescent="0.2">
      <c r="A1837" s="6">
        <v>42565</v>
      </c>
      <c r="B1837">
        <v>2007</v>
      </c>
      <c r="C1837">
        <v>2824</v>
      </c>
      <c r="D1837">
        <v>1836</v>
      </c>
      <c r="E1837">
        <v>6250</v>
      </c>
      <c r="F1837" t="s">
        <v>25</v>
      </c>
      <c r="G1837">
        <v>7</v>
      </c>
      <c r="H1837" t="s">
        <v>68</v>
      </c>
      <c r="I1837">
        <v>12</v>
      </c>
      <c r="J1837" s="10">
        <f t="shared" si="28"/>
        <v>7</v>
      </c>
    </row>
    <row r="1838" spans="1:10" x14ac:dyDescent="0.2">
      <c r="A1838" s="6">
        <v>42546</v>
      </c>
      <c r="B1838">
        <v>2008</v>
      </c>
      <c r="C1838">
        <v>2824</v>
      </c>
      <c r="D1838">
        <v>1837</v>
      </c>
      <c r="E1838">
        <v>6100</v>
      </c>
      <c r="F1838" t="s">
        <v>25</v>
      </c>
      <c r="G1838">
        <v>4</v>
      </c>
      <c r="H1838" t="s">
        <v>68</v>
      </c>
      <c r="I1838">
        <v>11</v>
      </c>
      <c r="J1838" s="10">
        <f t="shared" si="28"/>
        <v>4</v>
      </c>
    </row>
    <row r="1839" spans="1:10" x14ac:dyDescent="0.2">
      <c r="A1839" s="6">
        <v>42541</v>
      </c>
      <c r="B1839">
        <v>2008</v>
      </c>
      <c r="C1839">
        <v>2824</v>
      </c>
      <c r="D1839">
        <v>1838</v>
      </c>
      <c r="E1839">
        <v>6650</v>
      </c>
      <c r="F1839" t="s">
        <v>25</v>
      </c>
      <c r="G1839">
        <v>12</v>
      </c>
      <c r="H1839" t="s">
        <v>68</v>
      </c>
      <c r="I1839">
        <v>11</v>
      </c>
      <c r="J1839" s="10">
        <f t="shared" si="28"/>
        <v>12</v>
      </c>
    </row>
    <row r="1840" spans="1:10" x14ac:dyDescent="0.2">
      <c r="A1840" s="6">
        <v>42505</v>
      </c>
      <c r="B1840">
        <v>2007</v>
      </c>
      <c r="C1840">
        <v>2824</v>
      </c>
      <c r="D1840">
        <v>1839</v>
      </c>
      <c r="E1840">
        <v>6000</v>
      </c>
      <c r="F1840" t="s">
        <v>25</v>
      </c>
      <c r="G1840">
        <v>5</v>
      </c>
      <c r="H1840" t="s">
        <v>68</v>
      </c>
      <c r="I1840">
        <v>12</v>
      </c>
      <c r="J1840" s="10">
        <f t="shared" si="28"/>
        <v>5</v>
      </c>
    </row>
    <row r="1841" spans="1:10" x14ac:dyDescent="0.2">
      <c r="A1841" s="6">
        <v>42475</v>
      </c>
      <c r="B1841">
        <v>2006</v>
      </c>
      <c r="C1841">
        <v>2824</v>
      </c>
      <c r="D1841">
        <v>1840</v>
      </c>
      <c r="E1841">
        <v>5850</v>
      </c>
      <c r="F1841" t="s">
        <v>25</v>
      </c>
      <c r="G1841">
        <v>6</v>
      </c>
      <c r="H1841" t="s">
        <v>68</v>
      </c>
      <c r="I1841">
        <v>13</v>
      </c>
      <c r="J1841" s="10">
        <f t="shared" si="28"/>
        <v>6</v>
      </c>
    </row>
    <row r="1842" spans="1:10" x14ac:dyDescent="0.2">
      <c r="A1842" s="6">
        <v>42468</v>
      </c>
      <c r="B1842">
        <v>2007</v>
      </c>
      <c r="C1842">
        <v>2824</v>
      </c>
      <c r="D1842">
        <v>1841</v>
      </c>
      <c r="E1842">
        <v>6250</v>
      </c>
      <c r="F1842" t="s">
        <v>25</v>
      </c>
      <c r="G1842">
        <v>3</v>
      </c>
      <c r="H1842" t="s">
        <v>68</v>
      </c>
      <c r="I1842">
        <v>12</v>
      </c>
      <c r="J1842" s="10">
        <f t="shared" si="28"/>
        <v>3</v>
      </c>
    </row>
    <row r="1843" spans="1:10" x14ac:dyDescent="0.2">
      <c r="A1843" s="6">
        <v>42444</v>
      </c>
      <c r="B1843">
        <v>2006</v>
      </c>
      <c r="C1843">
        <v>2824</v>
      </c>
      <c r="D1843">
        <v>1842</v>
      </c>
      <c r="E1843">
        <v>6000</v>
      </c>
      <c r="F1843" t="s">
        <v>25</v>
      </c>
      <c r="G1843">
        <v>12</v>
      </c>
      <c r="H1843" t="s">
        <v>68</v>
      </c>
      <c r="I1843">
        <v>13</v>
      </c>
      <c r="J1843" s="10">
        <f t="shared" si="28"/>
        <v>12</v>
      </c>
    </row>
    <row r="1844" spans="1:10" x14ac:dyDescent="0.2">
      <c r="A1844" s="6">
        <v>42431</v>
      </c>
      <c r="B1844">
        <v>2007</v>
      </c>
      <c r="C1844">
        <v>2824</v>
      </c>
      <c r="D1844">
        <v>1843</v>
      </c>
      <c r="E1844">
        <v>6000</v>
      </c>
      <c r="F1844" t="s">
        <v>25</v>
      </c>
      <c r="G1844">
        <v>11</v>
      </c>
      <c r="H1844" t="s">
        <v>68</v>
      </c>
      <c r="I1844">
        <v>12</v>
      </c>
      <c r="J1844" s="10">
        <f t="shared" si="28"/>
        <v>11</v>
      </c>
    </row>
    <row r="1845" spans="1:10" x14ac:dyDescent="0.2">
      <c r="A1845" s="6">
        <v>42431</v>
      </c>
      <c r="B1845">
        <v>2006</v>
      </c>
      <c r="C1845">
        <v>2824</v>
      </c>
      <c r="D1845">
        <v>1844</v>
      </c>
      <c r="E1845">
        <v>6000</v>
      </c>
      <c r="F1845" t="s">
        <v>25</v>
      </c>
      <c r="G1845">
        <v>9</v>
      </c>
      <c r="H1845" t="s">
        <v>68</v>
      </c>
      <c r="I1845">
        <v>13</v>
      </c>
      <c r="J1845" s="10">
        <f t="shared" si="28"/>
        <v>9</v>
      </c>
    </row>
    <row r="1846" spans="1:10" x14ac:dyDescent="0.2">
      <c r="A1846" s="6">
        <v>42430</v>
      </c>
      <c r="B1846">
        <v>2007</v>
      </c>
      <c r="C1846">
        <v>2824</v>
      </c>
      <c r="D1846">
        <v>1845</v>
      </c>
      <c r="E1846">
        <v>6200</v>
      </c>
      <c r="F1846" t="s">
        <v>25</v>
      </c>
      <c r="G1846">
        <v>7</v>
      </c>
      <c r="H1846" t="s">
        <v>68</v>
      </c>
      <c r="I1846">
        <v>12</v>
      </c>
      <c r="J1846" s="10">
        <f t="shared" si="28"/>
        <v>7</v>
      </c>
    </row>
    <row r="1847" spans="1:10" x14ac:dyDescent="0.2">
      <c r="A1847" s="6">
        <v>42425</v>
      </c>
      <c r="B1847">
        <v>2007</v>
      </c>
      <c r="C1847">
        <v>2824</v>
      </c>
      <c r="D1847">
        <v>1846</v>
      </c>
      <c r="E1847">
        <v>6000</v>
      </c>
      <c r="F1847" t="s">
        <v>25</v>
      </c>
      <c r="G1847">
        <v>5</v>
      </c>
      <c r="H1847" t="s">
        <v>68</v>
      </c>
      <c r="I1847">
        <v>12</v>
      </c>
      <c r="J1847" s="10">
        <f t="shared" si="28"/>
        <v>5</v>
      </c>
    </row>
    <row r="1848" spans="1:10" x14ac:dyDescent="0.2">
      <c r="A1848" s="6">
        <v>42425</v>
      </c>
      <c r="B1848">
        <v>2006</v>
      </c>
      <c r="C1848">
        <v>2824</v>
      </c>
      <c r="D1848">
        <v>1847</v>
      </c>
      <c r="E1848">
        <v>6000</v>
      </c>
      <c r="F1848" t="s">
        <v>25</v>
      </c>
      <c r="G1848">
        <v>10</v>
      </c>
      <c r="H1848" t="s">
        <v>68</v>
      </c>
      <c r="I1848">
        <v>13</v>
      </c>
      <c r="J1848" s="10">
        <f t="shared" si="28"/>
        <v>10</v>
      </c>
    </row>
    <row r="1849" spans="1:10" x14ac:dyDescent="0.2">
      <c r="A1849" s="6">
        <v>42404</v>
      </c>
      <c r="B1849">
        <v>2006</v>
      </c>
      <c r="C1849">
        <v>2824</v>
      </c>
      <c r="D1849">
        <v>1848</v>
      </c>
      <c r="E1849">
        <v>6250</v>
      </c>
      <c r="F1849" t="s">
        <v>25</v>
      </c>
      <c r="G1849">
        <v>8</v>
      </c>
      <c r="H1849" t="s">
        <v>68</v>
      </c>
      <c r="I1849">
        <v>13</v>
      </c>
      <c r="J1849" s="10">
        <f t="shared" si="28"/>
        <v>8</v>
      </c>
    </row>
    <row r="1850" spans="1:10" x14ac:dyDescent="0.2">
      <c r="A1850" s="6">
        <v>42404</v>
      </c>
      <c r="B1850">
        <v>2007</v>
      </c>
      <c r="C1850">
        <v>2824</v>
      </c>
      <c r="D1850">
        <v>1849</v>
      </c>
      <c r="E1850">
        <v>6000</v>
      </c>
      <c r="F1850" t="s">
        <v>25</v>
      </c>
      <c r="G1850">
        <v>9</v>
      </c>
      <c r="H1850" t="s">
        <v>68</v>
      </c>
      <c r="I1850">
        <v>12</v>
      </c>
      <c r="J1850" s="10">
        <f t="shared" si="28"/>
        <v>9</v>
      </c>
    </row>
    <row r="1851" spans="1:10" x14ac:dyDescent="0.2">
      <c r="A1851" s="6">
        <v>42401</v>
      </c>
      <c r="B1851">
        <v>2006</v>
      </c>
      <c r="C1851">
        <v>2824</v>
      </c>
      <c r="D1851">
        <v>1850</v>
      </c>
      <c r="E1851">
        <v>6150</v>
      </c>
      <c r="F1851" t="s">
        <v>25</v>
      </c>
      <c r="G1851">
        <v>9</v>
      </c>
      <c r="H1851" t="s">
        <v>68</v>
      </c>
      <c r="I1851">
        <v>13</v>
      </c>
      <c r="J1851" s="10">
        <f t="shared" si="28"/>
        <v>9</v>
      </c>
    </row>
    <row r="1852" spans="1:10" x14ac:dyDescent="0.2">
      <c r="A1852" s="6">
        <v>42401</v>
      </c>
      <c r="B1852">
        <v>2006</v>
      </c>
      <c r="C1852">
        <v>2824</v>
      </c>
      <c r="D1852">
        <v>1851</v>
      </c>
      <c r="E1852">
        <v>6000</v>
      </c>
      <c r="F1852" t="s">
        <v>25</v>
      </c>
      <c r="G1852">
        <v>9</v>
      </c>
      <c r="H1852" t="s">
        <v>68</v>
      </c>
      <c r="I1852">
        <v>13</v>
      </c>
      <c r="J1852" s="10">
        <f t="shared" si="28"/>
        <v>9</v>
      </c>
    </row>
    <row r="1853" spans="1:10" x14ac:dyDescent="0.2">
      <c r="A1853" s="6">
        <v>42401</v>
      </c>
      <c r="B1853">
        <v>2007</v>
      </c>
      <c r="C1853">
        <v>2824</v>
      </c>
      <c r="D1853">
        <v>1852</v>
      </c>
      <c r="E1853">
        <v>6000</v>
      </c>
      <c r="F1853" t="s">
        <v>25</v>
      </c>
      <c r="G1853">
        <v>10</v>
      </c>
      <c r="H1853" t="s">
        <v>68</v>
      </c>
      <c r="I1853">
        <v>12</v>
      </c>
      <c r="J1853" s="10">
        <f t="shared" si="28"/>
        <v>10</v>
      </c>
    </row>
    <row r="1854" spans="1:10" x14ac:dyDescent="0.2">
      <c r="A1854" s="6">
        <v>42387</v>
      </c>
      <c r="B1854">
        <v>2007</v>
      </c>
      <c r="C1854">
        <v>2824</v>
      </c>
      <c r="D1854">
        <v>1853</v>
      </c>
      <c r="E1854">
        <v>6000</v>
      </c>
      <c r="F1854" t="s">
        <v>25</v>
      </c>
      <c r="G1854">
        <v>9</v>
      </c>
      <c r="H1854" t="s">
        <v>68</v>
      </c>
      <c r="I1854">
        <v>12</v>
      </c>
      <c r="J1854" s="10">
        <f t="shared" si="28"/>
        <v>9</v>
      </c>
    </row>
    <row r="1855" spans="1:10" x14ac:dyDescent="0.2">
      <c r="A1855" s="6">
        <v>42384</v>
      </c>
      <c r="B1855">
        <v>2006</v>
      </c>
      <c r="C1855">
        <v>2824</v>
      </c>
      <c r="D1855">
        <v>1854</v>
      </c>
      <c r="E1855">
        <v>6000</v>
      </c>
      <c r="F1855" t="s">
        <v>25</v>
      </c>
      <c r="G1855">
        <v>6</v>
      </c>
      <c r="H1855" t="s">
        <v>68</v>
      </c>
      <c r="I1855">
        <v>13</v>
      </c>
      <c r="J1855" s="10">
        <f t="shared" si="28"/>
        <v>6</v>
      </c>
    </row>
    <row r="1856" spans="1:10" x14ac:dyDescent="0.2">
      <c r="A1856" s="6">
        <v>42380</v>
      </c>
      <c r="B1856">
        <v>2008</v>
      </c>
      <c r="C1856">
        <v>2824</v>
      </c>
      <c r="D1856">
        <v>1855</v>
      </c>
      <c r="E1856">
        <v>6100</v>
      </c>
      <c r="F1856" t="s">
        <v>25</v>
      </c>
      <c r="G1856">
        <v>8</v>
      </c>
      <c r="H1856" t="s">
        <v>68</v>
      </c>
      <c r="I1856">
        <v>11</v>
      </c>
      <c r="J1856" s="10">
        <f t="shared" si="28"/>
        <v>8</v>
      </c>
    </row>
    <row r="1857" spans="1:10" x14ac:dyDescent="0.2">
      <c r="A1857" s="6">
        <v>42377</v>
      </c>
      <c r="B1857">
        <v>2006</v>
      </c>
      <c r="C1857">
        <v>2824</v>
      </c>
      <c r="D1857">
        <v>1856</v>
      </c>
      <c r="E1857">
        <v>6100</v>
      </c>
      <c r="F1857" t="s">
        <v>25</v>
      </c>
      <c r="G1857">
        <v>8</v>
      </c>
      <c r="H1857" t="s">
        <v>68</v>
      </c>
      <c r="I1857">
        <v>13</v>
      </c>
      <c r="J1857" s="10">
        <f t="shared" si="28"/>
        <v>8</v>
      </c>
    </row>
    <row r="1858" spans="1:10" x14ac:dyDescent="0.2">
      <c r="A1858" s="6">
        <v>42370</v>
      </c>
      <c r="B1858">
        <v>2006</v>
      </c>
      <c r="C1858">
        <v>2824</v>
      </c>
      <c r="D1858">
        <v>1857</v>
      </c>
      <c r="E1858">
        <v>6000</v>
      </c>
      <c r="F1858" t="s">
        <v>25</v>
      </c>
      <c r="G1858">
        <v>12</v>
      </c>
      <c r="H1858" t="s">
        <v>68</v>
      </c>
      <c r="I1858">
        <v>13</v>
      </c>
      <c r="J1858" s="10">
        <f t="shared" ref="J1858:J1921" si="29">IF(H1858="days",ROUND(G1858/30,0),IF(H1858="years",G1858*12,G1858))</f>
        <v>12</v>
      </c>
    </row>
    <row r="1859" spans="1:10" x14ac:dyDescent="0.2">
      <c r="A1859" s="6">
        <v>43617</v>
      </c>
      <c r="B1859">
        <v>2006</v>
      </c>
      <c r="C1859">
        <v>2826</v>
      </c>
      <c r="D1859">
        <v>1858</v>
      </c>
      <c r="E1859">
        <v>9000</v>
      </c>
      <c r="F1859" t="s">
        <v>25</v>
      </c>
      <c r="G1859">
        <v>60</v>
      </c>
      <c r="H1859" t="s">
        <v>26</v>
      </c>
      <c r="I1859">
        <v>13</v>
      </c>
      <c r="J1859" s="10">
        <f t="shared" si="29"/>
        <v>2</v>
      </c>
    </row>
    <row r="1860" spans="1:10" x14ac:dyDescent="0.2">
      <c r="A1860" s="6">
        <v>43598</v>
      </c>
      <c r="B1860">
        <v>2006</v>
      </c>
      <c r="C1860">
        <v>2826</v>
      </c>
      <c r="D1860">
        <v>1859</v>
      </c>
      <c r="E1860">
        <v>10000</v>
      </c>
      <c r="F1860" t="s">
        <v>25</v>
      </c>
      <c r="G1860">
        <v>13</v>
      </c>
      <c r="H1860" t="s">
        <v>68</v>
      </c>
      <c r="I1860">
        <v>13</v>
      </c>
      <c r="J1860" s="10">
        <f t="shared" si="29"/>
        <v>13</v>
      </c>
    </row>
    <row r="1861" spans="1:10" x14ac:dyDescent="0.2">
      <c r="A1861" s="6">
        <v>43524</v>
      </c>
      <c r="B1861">
        <v>2006</v>
      </c>
      <c r="C1861">
        <v>2826</v>
      </c>
      <c r="D1861">
        <v>1860</v>
      </c>
      <c r="E1861">
        <v>8500</v>
      </c>
      <c r="F1861" t="s">
        <v>25</v>
      </c>
      <c r="G1861">
        <v>12</v>
      </c>
      <c r="H1861" t="s">
        <v>68</v>
      </c>
      <c r="I1861">
        <v>13</v>
      </c>
      <c r="J1861" s="10">
        <f t="shared" si="29"/>
        <v>12</v>
      </c>
    </row>
    <row r="1862" spans="1:10" x14ac:dyDescent="0.2">
      <c r="A1862" s="6">
        <v>43509</v>
      </c>
      <c r="B1862">
        <v>2006</v>
      </c>
      <c r="C1862">
        <v>2826</v>
      </c>
      <c r="D1862">
        <v>1861</v>
      </c>
      <c r="E1862">
        <v>9100</v>
      </c>
      <c r="F1862" t="s">
        <v>25</v>
      </c>
      <c r="G1862">
        <v>12</v>
      </c>
      <c r="H1862" t="s">
        <v>68</v>
      </c>
      <c r="I1862">
        <v>13</v>
      </c>
      <c r="J1862" s="10">
        <f t="shared" si="29"/>
        <v>12</v>
      </c>
    </row>
    <row r="1863" spans="1:10" x14ac:dyDescent="0.2">
      <c r="A1863" s="6">
        <v>43508</v>
      </c>
      <c r="B1863">
        <v>2006</v>
      </c>
      <c r="C1863">
        <v>2826</v>
      </c>
      <c r="D1863">
        <v>1862</v>
      </c>
      <c r="E1863">
        <v>9000</v>
      </c>
      <c r="F1863" t="s">
        <v>25</v>
      </c>
      <c r="G1863">
        <v>2</v>
      </c>
      <c r="H1863" t="s">
        <v>68</v>
      </c>
      <c r="I1863">
        <v>13</v>
      </c>
      <c r="J1863" s="10">
        <f t="shared" si="29"/>
        <v>2</v>
      </c>
    </row>
    <row r="1864" spans="1:10" x14ac:dyDescent="0.2">
      <c r="A1864" s="6">
        <v>43458</v>
      </c>
      <c r="B1864">
        <v>2006</v>
      </c>
      <c r="C1864">
        <v>2826</v>
      </c>
      <c r="D1864">
        <v>1863</v>
      </c>
      <c r="E1864">
        <v>9800</v>
      </c>
      <c r="F1864" t="s">
        <v>25</v>
      </c>
      <c r="G1864">
        <v>6</v>
      </c>
      <c r="H1864" t="s">
        <v>68</v>
      </c>
      <c r="I1864">
        <v>13</v>
      </c>
      <c r="J1864" s="10">
        <f t="shared" si="29"/>
        <v>6</v>
      </c>
    </row>
    <row r="1865" spans="1:10" x14ac:dyDescent="0.2">
      <c r="A1865" s="6">
        <v>43418</v>
      </c>
      <c r="B1865">
        <v>2006</v>
      </c>
      <c r="C1865">
        <v>2826</v>
      </c>
      <c r="D1865">
        <v>1864</v>
      </c>
      <c r="E1865">
        <v>10000</v>
      </c>
      <c r="F1865" t="s">
        <v>25</v>
      </c>
      <c r="G1865">
        <v>4</v>
      </c>
      <c r="H1865" t="s">
        <v>68</v>
      </c>
      <c r="I1865">
        <v>13</v>
      </c>
      <c r="J1865" s="10">
        <f t="shared" si="29"/>
        <v>4</v>
      </c>
    </row>
    <row r="1866" spans="1:10" x14ac:dyDescent="0.2">
      <c r="A1866" s="6">
        <v>43416</v>
      </c>
      <c r="B1866">
        <v>2006</v>
      </c>
      <c r="C1866">
        <v>2826</v>
      </c>
      <c r="D1866">
        <v>1865</v>
      </c>
      <c r="E1866">
        <v>10000</v>
      </c>
      <c r="F1866" t="s">
        <v>25</v>
      </c>
      <c r="G1866">
        <v>3</v>
      </c>
      <c r="H1866" t="s">
        <v>68</v>
      </c>
      <c r="I1866">
        <v>13</v>
      </c>
      <c r="J1866" s="10">
        <f t="shared" si="29"/>
        <v>3</v>
      </c>
    </row>
    <row r="1867" spans="1:10" x14ac:dyDescent="0.2">
      <c r="A1867" s="6">
        <v>43355</v>
      </c>
      <c r="B1867">
        <v>2006</v>
      </c>
      <c r="C1867">
        <v>2826</v>
      </c>
      <c r="D1867">
        <v>1866</v>
      </c>
      <c r="E1867">
        <v>11300</v>
      </c>
      <c r="F1867" t="s">
        <v>25</v>
      </c>
      <c r="G1867">
        <v>6</v>
      </c>
      <c r="H1867" t="s">
        <v>68</v>
      </c>
      <c r="I1867">
        <v>13</v>
      </c>
      <c r="J1867" s="10">
        <f t="shared" si="29"/>
        <v>6</v>
      </c>
    </row>
    <row r="1868" spans="1:10" x14ac:dyDescent="0.2">
      <c r="A1868" s="6">
        <v>43332</v>
      </c>
      <c r="B1868">
        <v>2006</v>
      </c>
      <c r="C1868">
        <v>2826</v>
      </c>
      <c r="D1868">
        <v>1867</v>
      </c>
      <c r="E1868">
        <v>11800</v>
      </c>
      <c r="F1868" t="s">
        <v>25</v>
      </c>
      <c r="G1868">
        <v>70</v>
      </c>
      <c r="H1868" t="s">
        <v>26</v>
      </c>
      <c r="I1868">
        <v>13</v>
      </c>
      <c r="J1868" s="10">
        <f t="shared" si="29"/>
        <v>2</v>
      </c>
    </row>
    <row r="1869" spans="1:10" x14ac:dyDescent="0.2">
      <c r="A1869" s="6">
        <v>43328</v>
      </c>
      <c r="B1869">
        <v>2006</v>
      </c>
      <c r="C1869">
        <v>2826</v>
      </c>
      <c r="D1869">
        <v>1868</v>
      </c>
      <c r="E1869">
        <v>10900</v>
      </c>
      <c r="F1869" t="s">
        <v>25</v>
      </c>
      <c r="G1869">
        <v>6</v>
      </c>
      <c r="H1869" t="s">
        <v>68</v>
      </c>
      <c r="I1869">
        <v>13</v>
      </c>
      <c r="J1869" s="10">
        <f t="shared" si="29"/>
        <v>6</v>
      </c>
    </row>
    <row r="1870" spans="1:10" x14ac:dyDescent="0.2">
      <c r="A1870" s="6">
        <v>43305</v>
      </c>
      <c r="B1870">
        <v>2006</v>
      </c>
      <c r="C1870">
        <v>2826</v>
      </c>
      <c r="D1870">
        <v>1869</v>
      </c>
      <c r="E1870">
        <v>11350</v>
      </c>
      <c r="F1870" t="s">
        <v>25</v>
      </c>
      <c r="G1870">
        <v>30</v>
      </c>
      <c r="H1870" t="s">
        <v>26</v>
      </c>
      <c r="I1870">
        <v>13</v>
      </c>
      <c r="J1870" s="10">
        <f t="shared" si="29"/>
        <v>1</v>
      </c>
    </row>
    <row r="1871" spans="1:10" x14ac:dyDescent="0.2">
      <c r="A1871" s="6">
        <v>43298</v>
      </c>
      <c r="B1871">
        <v>2006</v>
      </c>
      <c r="C1871">
        <v>2826</v>
      </c>
      <c r="D1871">
        <v>1870</v>
      </c>
      <c r="E1871">
        <v>11600</v>
      </c>
      <c r="F1871" t="s">
        <v>25</v>
      </c>
      <c r="G1871">
        <v>30</v>
      </c>
      <c r="H1871" t="s">
        <v>26</v>
      </c>
      <c r="I1871">
        <v>13</v>
      </c>
      <c r="J1871" s="10">
        <f t="shared" si="29"/>
        <v>1</v>
      </c>
    </row>
    <row r="1872" spans="1:10" x14ac:dyDescent="0.2">
      <c r="A1872" s="6">
        <v>43252</v>
      </c>
      <c r="B1872">
        <v>2006</v>
      </c>
      <c r="C1872">
        <v>2826</v>
      </c>
      <c r="D1872">
        <v>1871</v>
      </c>
      <c r="E1872">
        <v>12350</v>
      </c>
      <c r="F1872" t="s">
        <v>25</v>
      </c>
      <c r="G1872">
        <v>10</v>
      </c>
      <c r="H1872" t="s">
        <v>68</v>
      </c>
      <c r="I1872">
        <v>13</v>
      </c>
      <c r="J1872" s="10">
        <f t="shared" si="29"/>
        <v>10</v>
      </c>
    </row>
    <row r="1873" spans="1:10" x14ac:dyDescent="0.2">
      <c r="A1873" s="6">
        <v>43172</v>
      </c>
      <c r="B1873">
        <v>2006</v>
      </c>
      <c r="C1873">
        <v>2826</v>
      </c>
      <c r="D1873">
        <v>1872</v>
      </c>
      <c r="E1873">
        <v>9800</v>
      </c>
      <c r="F1873" t="s">
        <v>25</v>
      </c>
      <c r="G1873">
        <v>3</v>
      </c>
      <c r="H1873" t="s">
        <v>68</v>
      </c>
      <c r="I1873">
        <v>13</v>
      </c>
      <c r="J1873" s="10">
        <f t="shared" si="29"/>
        <v>3</v>
      </c>
    </row>
    <row r="1874" spans="1:10" x14ac:dyDescent="0.2">
      <c r="A1874" s="6">
        <v>43172</v>
      </c>
      <c r="B1874">
        <v>2006</v>
      </c>
      <c r="C1874">
        <v>2826</v>
      </c>
      <c r="D1874">
        <v>1873</v>
      </c>
      <c r="E1874">
        <v>9400</v>
      </c>
      <c r="F1874" t="s">
        <v>25</v>
      </c>
      <c r="G1874">
        <v>12</v>
      </c>
      <c r="H1874" t="s">
        <v>68</v>
      </c>
      <c r="I1874">
        <v>13</v>
      </c>
      <c r="J1874" s="10">
        <f t="shared" si="29"/>
        <v>12</v>
      </c>
    </row>
    <row r="1875" spans="1:10" x14ac:dyDescent="0.2">
      <c r="A1875" s="6">
        <v>43168</v>
      </c>
      <c r="B1875">
        <v>2006</v>
      </c>
      <c r="C1875">
        <v>2826</v>
      </c>
      <c r="D1875">
        <v>1874</v>
      </c>
      <c r="E1875">
        <v>9800</v>
      </c>
      <c r="F1875" t="s">
        <v>25</v>
      </c>
      <c r="G1875">
        <v>4</v>
      </c>
      <c r="H1875" t="s">
        <v>68</v>
      </c>
      <c r="I1875">
        <v>13</v>
      </c>
      <c r="J1875" s="10">
        <f t="shared" si="29"/>
        <v>4</v>
      </c>
    </row>
    <row r="1876" spans="1:10" x14ac:dyDescent="0.2">
      <c r="A1876" s="6">
        <v>43159</v>
      </c>
      <c r="B1876">
        <v>2006</v>
      </c>
      <c r="C1876">
        <v>2826</v>
      </c>
      <c r="D1876">
        <v>1875</v>
      </c>
      <c r="E1876">
        <v>9300</v>
      </c>
      <c r="F1876" t="s">
        <v>25</v>
      </c>
      <c r="G1876">
        <v>12</v>
      </c>
      <c r="H1876" t="s">
        <v>68</v>
      </c>
      <c r="I1876">
        <v>13</v>
      </c>
      <c r="J1876" s="10">
        <f t="shared" si="29"/>
        <v>12</v>
      </c>
    </row>
    <row r="1877" spans="1:10" x14ac:dyDescent="0.2">
      <c r="A1877" s="6">
        <v>43111</v>
      </c>
      <c r="B1877">
        <v>2006</v>
      </c>
      <c r="C1877">
        <v>2826</v>
      </c>
      <c r="D1877">
        <v>1876</v>
      </c>
      <c r="E1877">
        <v>9200</v>
      </c>
      <c r="F1877" t="s">
        <v>25</v>
      </c>
      <c r="G1877">
        <v>90</v>
      </c>
      <c r="H1877" t="s">
        <v>26</v>
      </c>
      <c r="I1877">
        <v>13</v>
      </c>
      <c r="J1877" s="10">
        <f t="shared" si="29"/>
        <v>3</v>
      </c>
    </row>
    <row r="1878" spans="1:10" x14ac:dyDescent="0.2">
      <c r="A1878" s="6">
        <v>43059</v>
      </c>
      <c r="B1878">
        <v>2006</v>
      </c>
      <c r="C1878">
        <v>2826</v>
      </c>
      <c r="D1878">
        <v>1877</v>
      </c>
      <c r="E1878">
        <v>9000</v>
      </c>
      <c r="F1878" t="s">
        <v>25</v>
      </c>
      <c r="G1878">
        <v>4</v>
      </c>
      <c r="H1878" t="s">
        <v>68</v>
      </c>
      <c r="I1878">
        <v>13</v>
      </c>
      <c r="J1878" s="10">
        <f t="shared" si="29"/>
        <v>4</v>
      </c>
    </row>
    <row r="1879" spans="1:10" x14ac:dyDescent="0.2">
      <c r="A1879" s="6">
        <v>43033</v>
      </c>
      <c r="B1879">
        <v>2006</v>
      </c>
      <c r="C1879">
        <v>2826</v>
      </c>
      <c r="D1879">
        <v>1878</v>
      </c>
      <c r="E1879">
        <v>9000</v>
      </c>
      <c r="F1879" t="s">
        <v>25</v>
      </c>
      <c r="G1879">
        <v>9</v>
      </c>
      <c r="H1879" t="s">
        <v>68</v>
      </c>
      <c r="I1879">
        <v>13</v>
      </c>
      <c r="J1879" s="10">
        <f t="shared" si="29"/>
        <v>9</v>
      </c>
    </row>
    <row r="1880" spans="1:10" x14ac:dyDescent="0.2">
      <c r="A1880" s="6">
        <v>43026</v>
      </c>
      <c r="B1880">
        <v>2006</v>
      </c>
      <c r="C1880">
        <v>2826</v>
      </c>
      <c r="D1880">
        <v>1879</v>
      </c>
      <c r="E1880">
        <v>8000</v>
      </c>
      <c r="F1880" t="s">
        <v>25</v>
      </c>
      <c r="G1880">
        <v>5</v>
      </c>
      <c r="H1880" t="s">
        <v>68</v>
      </c>
      <c r="I1880">
        <v>13</v>
      </c>
      <c r="J1880" s="10">
        <f t="shared" si="29"/>
        <v>5</v>
      </c>
    </row>
    <row r="1881" spans="1:10" x14ac:dyDescent="0.2">
      <c r="A1881" s="6">
        <v>43007</v>
      </c>
      <c r="B1881">
        <v>2006</v>
      </c>
      <c r="C1881">
        <v>2826</v>
      </c>
      <c r="D1881">
        <v>1880</v>
      </c>
      <c r="E1881">
        <v>9300</v>
      </c>
      <c r="F1881" t="s">
        <v>25</v>
      </c>
      <c r="G1881">
        <v>5.5</v>
      </c>
      <c r="H1881" t="s">
        <v>68</v>
      </c>
      <c r="I1881">
        <v>13</v>
      </c>
      <c r="J1881" s="10">
        <f t="shared" si="29"/>
        <v>5.5</v>
      </c>
    </row>
    <row r="1882" spans="1:10" x14ac:dyDescent="0.2">
      <c r="A1882" s="6">
        <v>43005</v>
      </c>
      <c r="B1882">
        <v>2006</v>
      </c>
      <c r="C1882">
        <v>2826</v>
      </c>
      <c r="D1882">
        <v>1881</v>
      </c>
      <c r="E1882">
        <v>7750</v>
      </c>
      <c r="F1882" t="s">
        <v>25</v>
      </c>
      <c r="G1882">
        <v>5</v>
      </c>
      <c r="H1882" t="s">
        <v>68</v>
      </c>
      <c r="I1882">
        <v>13</v>
      </c>
      <c r="J1882" s="10">
        <f t="shared" si="29"/>
        <v>5</v>
      </c>
    </row>
    <row r="1883" spans="1:10" x14ac:dyDescent="0.2">
      <c r="A1883" s="6">
        <v>42927</v>
      </c>
      <c r="B1883">
        <v>2006</v>
      </c>
      <c r="C1883">
        <v>2826</v>
      </c>
      <c r="D1883">
        <v>1882</v>
      </c>
      <c r="E1883">
        <v>9200</v>
      </c>
      <c r="F1883" t="s">
        <v>25</v>
      </c>
      <c r="G1883">
        <v>3</v>
      </c>
      <c r="H1883" t="s">
        <v>68</v>
      </c>
      <c r="I1883">
        <v>13</v>
      </c>
      <c r="J1883" s="10">
        <f t="shared" si="29"/>
        <v>3</v>
      </c>
    </row>
    <row r="1884" spans="1:10" x14ac:dyDescent="0.2">
      <c r="A1884" s="6">
        <v>42846</v>
      </c>
      <c r="B1884">
        <v>2006</v>
      </c>
      <c r="C1884">
        <v>2826</v>
      </c>
      <c r="D1884">
        <v>1883</v>
      </c>
      <c r="E1884">
        <v>6950</v>
      </c>
      <c r="F1884" t="s">
        <v>25</v>
      </c>
      <c r="G1884">
        <v>6</v>
      </c>
      <c r="H1884" t="s">
        <v>68</v>
      </c>
      <c r="I1884">
        <v>13</v>
      </c>
      <c r="J1884" s="10">
        <f t="shared" si="29"/>
        <v>6</v>
      </c>
    </row>
    <row r="1885" spans="1:10" x14ac:dyDescent="0.2">
      <c r="A1885" s="6">
        <v>42830</v>
      </c>
      <c r="B1885">
        <v>2006</v>
      </c>
      <c r="C1885">
        <v>2826</v>
      </c>
      <c r="D1885">
        <v>1884</v>
      </c>
      <c r="E1885">
        <v>8500</v>
      </c>
      <c r="F1885" t="s">
        <v>25</v>
      </c>
      <c r="G1885">
        <v>6</v>
      </c>
      <c r="H1885" t="s">
        <v>68</v>
      </c>
      <c r="I1885">
        <v>13</v>
      </c>
      <c r="J1885" s="10">
        <f t="shared" si="29"/>
        <v>6</v>
      </c>
    </row>
    <row r="1886" spans="1:10" x14ac:dyDescent="0.2">
      <c r="A1886" s="6">
        <v>42817</v>
      </c>
      <c r="B1886">
        <v>2006</v>
      </c>
      <c r="C1886">
        <v>2826</v>
      </c>
      <c r="D1886">
        <v>1885</v>
      </c>
      <c r="E1886">
        <v>7300</v>
      </c>
      <c r="F1886" t="s">
        <v>25</v>
      </c>
      <c r="G1886">
        <v>7</v>
      </c>
      <c r="H1886" t="s">
        <v>68</v>
      </c>
      <c r="I1886">
        <v>13</v>
      </c>
      <c r="J1886" s="10">
        <f t="shared" si="29"/>
        <v>7</v>
      </c>
    </row>
    <row r="1887" spans="1:10" x14ac:dyDescent="0.2">
      <c r="A1887" s="6">
        <v>42797</v>
      </c>
      <c r="B1887">
        <v>2006</v>
      </c>
      <c r="C1887">
        <v>2826</v>
      </c>
      <c r="D1887">
        <v>1886</v>
      </c>
      <c r="E1887">
        <v>6800</v>
      </c>
      <c r="F1887" t="s">
        <v>25</v>
      </c>
      <c r="G1887">
        <v>7</v>
      </c>
      <c r="H1887" t="s">
        <v>68</v>
      </c>
      <c r="I1887">
        <v>13</v>
      </c>
      <c r="J1887" s="10">
        <f t="shared" si="29"/>
        <v>7</v>
      </c>
    </row>
    <row r="1888" spans="1:10" x14ac:dyDescent="0.2">
      <c r="A1888" s="6">
        <v>42649</v>
      </c>
      <c r="B1888">
        <v>2006</v>
      </c>
      <c r="C1888">
        <v>2826</v>
      </c>
      <c r="D1888">
        <v>1887</v>
      </c>
      <c r="E1888">
        <v>6000</v>
      </c>
      <c r="F1888" t="s">
        <v>25</v>
      </c>
      <c r="G1888">
        <v>6</v>
      </c>
      <c r="H1888" t="s">
        <v>68</v>
      </c>
      <c r="I1888">
        <v>13</v>
      </c>
      <c r="J1888" s="10">
        <f t="shared" si="29"/>
        <v>6</v>
      </c>
    </row>
    <row r="1889" spans="1:10" x14ac:dyDescent="0.2">
      <c r="A1889" s="6">
        <v>42646</v>
      </c>
      <c r="B1889">
        <v>2006</v>
      </c>
      <c r="C1889">
        <v>2826</v>
      </c>
      <c r="D1889">
        <v>1888</v>
      </c>
      <c r="E1889">
        <v>6000</v>
      </c>
      <c r="F1889" t="s">
        <v>25</v>
      </c>
      <c r="G1889">
        <v>12</v>
      </c>
      <c r="H1889" t="s">
        <v>68</v>
      </c>
      <c r="I1889">
        <v>13</v>
      </c>
      <c r="J1889" s="10">
        <f t="shared" si="29"/>
        <v>12</v>
      </c>
    </row>
    <row r="1890" spans="1:10" x14ac:dyDescent="0.2">
      <c r="A1890" s="6">
        <v>42577</v>
      </c>
      <c r="B1890">
        <v>2006</v>
      </c>
      <c r="C1890">
        <v>2826</v>
      </c>
      <c r="D1890">
        <v>1889</v>
      </c>
      <c r="E1890">
        <v>6000</v>
      </c>
      <c r="F1890" t="s">
        <v>25</v>
      </c>
      <c r="G1890">
        <v>10</v>
      </c>
      <c r="H1890" t="s">
        <v>68</v>
      </c>
      <c r="I1890">
        <v>13</v>
      </c>
      <c r="J1890" s="10">
        <f t="shared" si="29"/>
        <v>10</v>
      </c>
    </row>
    <row r="1891" spans="1:10" x14ac:dyDescent="0.2">
      <c r="A1891" s="6">
        <v>42535</v>
      </c>
      <c r="B1891">
        <v>2006</v>
      </c>
      <c r="C1891">
        <v>2826</v>
      </c>
      <c r="D1891">
        <v>1890</v>
      </c>
      <c r="E1891">
        <v>6100</v>
      </c>
      <c r="F1891" t="s">
        <v>25</v>
      </c>
      <c r="G1891">
        <v>5</v>
      </c>
      <c r="H1891" t="s">
        <v>68</v>
      </c>
      <c r="I1891">
        <v>13</v>
      </c>
      <c r="J1891" s="10">
        <f t="shared" si="29"/>
        <v>5</v>
      </c>
    </row>
    <row r="1892" spans="1:10" x14ac:dyDescent="0.2">
      <c r="A1892" s="6">
        <v>42517</v>
      </c>
      <c r="B1892">
        <v>2006</v>
      </c>
      <c r="C1892">
        <v>2826</v>
      </c>
      <c r="D1892">
        <v>1891</v>
      </c>
      <c r="E1892">
        <v>6000</v>
      </c>
      <c r="F1892" t="s">
        <v>25</v>
      </c>
      <c r="G1892">
        <v>6</v>
      </c>
      <c r="H1892" t="s">
        <v>68</v>
      </c>
      <c r="I1892">
        <v>13</v>
      </c>
      <c r="J1892" s="10">
        <f t="shared" si="29"/>
        <v>6</v>
      </c>
    </row>
    <row r="1893" spans="1:10" x14ac:dyDescent="0.2">
      <c r="A1893" s="6">
        <v>42447</v>
      </c>
      <c r="B1893">
        <v>2006</v>
      </c>
      <c r="C1893">
        <v>2826</v>
      </c>
      <c r="D1893">
        <v>1892</v>
      </c>
      <c r="E1893">
        <v>6000</v>
      </c>
      <c r="F1893" t="s">
        <v>25</v>
      </c>
      <c r="G1893">
        <v>3</v>
      </c>
      <c r="H1893" t="s">
        <v>68</v>
      </c>
      <c r="I1893">
        <v>13</v>
      </c>
      <c r="J1893" s="10">
        <f t="shared" si="29"/>
        <v>3</v>
      </c>
    </row>
    <row r="1894" spans="1:10" x14ac:dyDescent="0.2">
      <c r="A1894" s="6">
        <v>42423</v>
      </c>
      <c r="B1894">
        <v>2006</v>
      </c>
      <c r="C1894">
        <v>2826</v>
      </c>
      <c r="D1894">
        <v>1893</v>
      </c>
      <c r="E1894">
        <v>6600</v>
      </c>
      <c r="F1894" t="s">
        <v>25</v>
      </c>
      <c r="G1894">
        <v>12</v>
      </c>
      <c r="H1894" t="s">
        <v>68</v>
      </c>
      <c r="I1894">
        <v>13</v>
      </c>
      <c r="J1894" s="10">
        <f t="shared" si="29"/>
        <v>12</v>
      </c>
    </row>
    <row r="1895" spans="1:10" x14ac:dyDescent="0.2">
      <c r="A1895" s="6">
        <v>42417</v>
      </c>
      <c r="B1895">
        <v>2006</v>
      </c>
      <c r="C1895">
        <v>2826</v>
      </c>
      <c r="D1895">
        <v>1894</v>
      </c>
      <c r="E1895">
        <v>6150</v>
      </c>
      <c r="F1895" t="s">
        <v>25</v>
      </c>
      <c r="G1895">
        <v>10</v>
      </c>
      <c r="H1895" t="s">
        <v>68</v>
      </c>
      <c r="I1895">
        <v>13</v>
      </c>
      <c r="J1895" s="10">
        <f t="shared" si="29"/>
        <v>10</v>
      </c>
    </row>
    <row r="1896" spans="1:10" x14ac:dyDescent="0.2">
      <c r="A1896" s="6">
        <v>42410</v>
      </c>
      <c r="B1896">
        <v>2006</v>
      </c>
      <c r="C1896">
        <v>2826</v>
      </c>
      <c r="D1896">
        <v>1895</v>
      </c>
      <c r="E1896">
        <v>6000</v>
      </c>
      <c r="F1896" t="s">
        <v>25</v>
      </c>
      <c r="G1896">
        <v>7</v>
      </c>
      <c r="H1896" t="s">
        <v>68</v>
      </c>
      <c r="I1896">
        <v>13</v>
      </c>
      <c r="J1896" s="10">
        <f t="shared" si="29"/>
        <v>7</v>
      </c>
    </row>
    <row r="1897" spans="1:10" x14ac:dyDescent="0.2">
      <c r="A1897" s="6">
        <v>42401</v>
      </c>
      <c r="B1897">
        <v>2006</v>
      </c>
      <c r="C1897">
        <v>2826</v>
      </c>
      <c r="D1897">
        <v>1896</v>
      </c>
      <c r="E1897">
        <v>6000</v>
      </c>
      <c r="F1897" t="s">
        <v>25</v>
      </c>
      <c r="G1897">
        <v>6</v>
      </c>
      <c r="H1897" t="s">
        <v>68</v>
      </c>
      <c r="I1897">
        <v>13</v>
      </c>
      <c r="J1897" s="10">
        <f t="shared" si="29"/>
        <v>6</v>
      </c>
    </row>
    <row r="1898" spans="1:10" x14ac:dyDescent="0.2">
      <c r="A1898" s="6">
        <v>43503</v>
      </c>
      <c r="B1898">
        <v>2006</v>
      </c>
      <c r="C1898">
        <v>2846</v>
      </c>
      <c r="D1898">
        <v>1897</v>
      </c>
      <c r="E1898">
        <v>8000</v>
      </c>
      <c r="F1898" t="s">
        <v>25</v>
      </c>
      <c r="G1898">
        <v>12</v>
      </c>
      <c r="H1898" t="s">
        <v>68</v>
      </c>
      <c r="I1898">
        <v>13</v>
      </c>
      <c r="J1898" s="10">
        <f t="shared" si="29"/>
        <v>12</v>
      </c>
    </row>
    <row r="1899" spans="1:10" x14ac:dyDescent="0.2">
      <c r="A1899" s="6">
        <v>43355</v>
      </c>
      <c r="B1899">
        <v>2006</v>
      </c>
      <c r="C1899">
        <v>2846</v>
      </c>
      <c r="D1899">
        <v>1898</v>
      </c>
      <c r="E1899">
        <v>11075</v>
      </c>
      <c r="F1899" t="s">
        <v>25</v>
      </c>
      <c r="G1899">
        <v>1</v>
      </c>
      <c r="H1899" t="s">
        <v>68</v>
      </c>
      <c r="I1899">
        <v>13</v>
      </c>
      <c r="J1899" s="10">
        <f t="shared" si="29"/>
        <v>1</v>
      </c>
    </row>
    <row r="1900" spans="1:10" x14ac:dyDescent="0.2">
      <c r="A1900" s="6">
        <v>43221</v>
      </c>
      <c r="B1900">
        <v>2006</v>
      </c>
      <c r="C1900">
        <v>2846</v>
      </c>
      <c r="D1900">
        <v>1899</v>
      </c>
      <c r="E1900">
        <v>11500</v>
      </c>
      <c r="F1900" t="s">
        <v>25</v>
      </c>
      <c r="G1900">
        <v>60</v>
      </c>
      <c r="H1900" t="s">
        <v>26</v>
      </c>
      <c r="I1900">
        <v>13</v>
      </c>
      <c r="J1900" s="10">
        <f t="shared" si="29"/>
        <v>2</v>
      </c>
    </row>
    <row r="1901" spans="1:10" x14ac:dyDescent="0.2">
      <c r="A1901" s="6">
        <v>43322</v>
      </c>
      <c r="B1901">
        <v>2006</v>
      </c>
      <c r="C1901">
        <v>2867</v>
      </c>
      <c r="D1901">
        <v>1900</v>
      </c>
      <c r="E1901">
        <v>10650</v>
      </c>
      <c r="F1901" t="s">
        <v>25</v>
      </c>
      <c r="G1901">
        <v>4</v>
      </c>
      <c r="H1901" t="s">
        <v>68</v>
      </c>
      <c r="I1901">
        <v>13</v>
      </c>
      <c r="J1901" s="10">
        <f t="shared" si="29"/>
        <v>4</v>
      </c>
    </row>
    <row r="1902" spans="1:10" x14ac:dyDescent="0.2">
      <c r="A1902" s="6">
        <v>43059</v>
      </c>
      <c r="B1902">
        <v>2006</v>
      </c>
      <c r="C1902">
        <v>2867</v>
      </c>
      <c r="D1902">
        <v>1901</v>
      </c>
      <c r="E1902">
        <v>8650</v>
      </c>
      <c r="F1902" t="s">
        <v>25</v>
      </c>
      <c r="G1902">
        <v>10</v>
      </c>
      <c r="H1902" t="s">
        <v>68</v>
      </c>
      <c r="I1902">
        <v>13</v>
      </c>
      <c r="J1902" s="10">
        <f t="shared" si="29"/>
        <v>10</v>
      </c>
    </row>
    <row r="1903" spans="1:10" x14ac:dyDescent="0.2">
      <c r="A1903" s="6">
        <v>43054</v>
      </c>
      <c r="B1903">
        <v>2006</v>
      </c>
      <c r="C1903">
        <v>2867</v>
      </c>
      <c r="D1903">
        <v>1902</v>
      </c>
      <c r="E1903">
        <v>9250</v>
      </c>
      <c r="F1903" t="s">
        <v>25</v>
      </c>
      <c r="G1903">
        <v>7</v>
      </c>
      <c r="H1903" t="s">
        <v>68</v>
      </c>
      <c r="I1903">
        <v>13</v>
      </c>
      <c r="J1903" s="10">
        <f t="shared" si="29"/>
        <v>7</v>
      </c>
    </row>
    <row r="1904" spans="1:10" x14ac:dyDescent="0.2">
      <c r="A1904" s="6">
        <v>42731</v>
      </c>
      <c r="B1904">
        <v>2006</v>
      </c>
      <c r="C1904">
        <v>2867</v>
      </c>
      <c r="D1904">
        <v>1903</v>
      </c>
      <c r="E1904">
        <v>5800</v>
      </c>
      <c r="F1904" t="s">
        <v>25</v>
      </c>
      <c r="G1904">
        <v>4</v>
      </c>
      <c r="H1904" t="s">
        <v>68</v>
      </c>
      <c r="I1904">
        <v>13</v>
      </c>
      <c r="J1904" s="10">
        <f t="shared" si="29"/>
        <v>4</v>
      </c>
    </row>
    <row r="1905" spans="1:10" x14ac:dyDescent="0.2">
      <c r="A1905" s="6">
        <v>42655</v>
      </c>
      <c r="B1905">
        <v>2006</v>
      </c>
      <c r="C1905">
        <v>2867</v>
      </c>
      <c r="D1905">
        <v>1904</v>
      </c>
      <c r="E1905">
        <v>6000</v>
      </c>
      <c r="F1905" t="s">
        <v>25</v>
      </c>
      <c r="G1905">
        <v>12</v>
      </c>
      <c r="H1905" t="s">
        <v>68</v>
      </c>
      <c r="I1905">
        <v>13</v>
      </c>
      <c r="J1905" s="10">
        <f t="shared" si="29"/>
        <v>12</v>
      </c>
    </row>
    <row r="1906" spans="1:10" x14ac:dyDescent="0.2">
      <c r="A1906" s="6">
        <v>42578</v>
      </c>
      <c r="B1906">
        <v>2006</v>
      </c>
      <c r="C1906">
        <v>2867</v>
      </c>
      <c r="D1906">
        <v>1905</v>
      </c>
      <c r="E1906">
        <v>6000</v>
      </c>
      <c r="F1906" t="s">
        <v>25</v>
      </c>
      <c r="G1906">
        <v>42</v>
      </c>
      <c r="H1906" t="s">
        <v>26</v>
      </c>
      <c r="I1906">
        <v>13</v>
      </c>
      <c r="J1906" s="10">
        <f t="shared" si="29"/>
        <v>1</v>
      </c>
    </row>
    <row r="1907" spans="1:10" x14ac:dyDescent="0.2">
      <c r="A1907" s="6">
        <v>42444</v>
      </c>
      <c r="B1907">
        <v>2006</v>
      </c>
      <c r="C1907">
        <v>2867</v>
      </c>
      <c r="D1907">
        <v>1906</v>
      </c>
      <c r="E1907">
        <v>6000</v>
      </c>
      <c r="F1907" t="s">
        <v>25</v>
      </c>
      <c r="G1907">
        <v>10</v>
      </c>
      <c r="H1907" t="s">
        <v>68</v>
      </c>
      <c r="I1907">
        <v>13</v>
      </c>
      <c r="J1907" s="10">
        <f t="shared" si="29"/>
        <v>10</v>
      </c>
    </row>
    <row r="1908" spans="1:10" x14ac:dyDescent="0.2">
      <c r="A1908" s="6">
        <v>42403</v>
      </c>
      <c r="B1908">
        <v>2006</v>
      </c>
      <c r="C1908">
        <v>2867</v>
      </c>
      <c r="D1908">
        <v>1907</v>
      </c>
      <c r="E1908">
        <v>6000</v>
      </c>
      <c r="F1908" t="s">
        <v>25</v>
      </c>
      <c r="G1908">
        <v>6</v>
      </c>
      <c r="H1908" t="s">
        <v>68</v>
      </c>
      <c r="I1908">
        <v>13</v>
      </c>
      <c r="J1908" s="10">
        <f t="shared" si="29"/>
        <v>6</v>
      </c>
    </row>
    <row r="1909" spans="1:10" x14ac:dyDescent="0.2">
      <c r="A1909" s="6">
        <v>42371</v>
      </c>
      <c r="B1909">
        <v>2006</v>
      </c>
      <c r="C1909">
        <v>2867</v>
      </c>
      <c r="D1909">
        <v>1908</v>
      </c>
      <c r="E1909">
        <v>6100</v>
      </c>
      <c r="F1909" t="s">
        <v>25</v>
      </c>
      <c r="G1909">
        <v>4</v>
      </c>
      <c r="H1909" t="s">
        <v>68</v>
      </c>
      <c r="I1909">
        <v>13</v>
      </c>
      <c r="J1909" s="10">
        <f t="shared" si="29"/>
        <v>4</v>
      </c>
    </row>
    <row r="1910" spans="1:10" x14ac:dyDescent="0.2">
      <c r="A1910" s="6">
        <v>43549</v>
      </c>
      <c r="B1910">
        <v>2008</v>
      </c>
      <c r="C1910">
        <v>2872</v>
      </c>
      <c r="D1910">
        <v>1909</v>
      </c>
      <c r="E1910">
        <v>9500</v>
      </c>
      <c r="F1910" t="s">
        <v>25</v>
      </c>
      <c r="G1910">
        <v>5</v>
      </c>
      <c r="H1910" t="s">
        <v>68</v>
      </c>
      <c r="I1910">
        <v>11</v>
      </c>
      <c r="J1910" s="10">
        <f t="shared" si="29"/>
        <v>5</v>
      </c>
    </row>
    <row r="1911" spans="1:10" x14ac:dyDescent="0.2">
      <c r="A1911" s="6">
        <v>43509</v>
      </c>
      <c r="B1911">
        <v>2007</v>
      </c>
      <c r="C1911">
        <v>2872</v>
      </c>
      <c r="D1911">
        <v>1910</v>
      </c>
      <c r="E1911">
        <v>9100</v>
      </c>
      <c r="F1911" t="s">
        <v>25</v>
      </c>
      <c r="G1911">
        <v>3</v>
      </c>
      <c r="H1911" t="s">
        <v>68</v>
      </c>
      <c r="I1911">
        <v>12</v>
      </c>
      <c r="J1911" s="10">
        <f t="shared" si="29"/>
        <v>3</v>
      </c>
    </row>
    <row r="1912" spans="1:10" x14ac:dyDescent="0.2">
      <c r="A1912" s="6">
        <v>43469</v>
      </c>
      <c r="B1912">
        <v>2008</v>
      </c>
      <c r="C1912">
        <v>2872</v>
      </c>
      <c r="D1912">
        <v>1911</v>
      </c>
      <c r="E1912">
        <v>13000</v>
      </c>
      <c r="F1912" t="s">
        <v>25</v>
      </c>
      <c r="G1912">
        <v>6</v>
      </c>
      <c r="H1912" t="s">
        <v>68</v>
      </c>
      <c r="I1912">
        <v>11</v>
      </c>
      <c r="J1912" s="10">
        <f t="shared" si="29"/>
        <v>6</v>
      </c>
    </row>
    <row r="1913" spans="1:10" x14ac:dyDescent="0.2">
      <c r="A1913" s="6">
        <v>43468</v>
      </c>
      <c r="B1913">
        <v>2009</v>
      </c>
      <c r="C1913">
        <v>2872</v>
      </c>
      <c r="D1913">
        <v>1912</v>
      </c>
      <c r="E1913">
        <v>13000</v>
      </c>
      <c r="F1913" t="s">
        <v>25</v>
      </c>
      <c r="G1913">
        <v>6</v>
      </c>
      <c r="H1913" t="s">
        <v>68</v>
      </c>
      <c r="I1913">
        <v>10</v>
      </c>
      <c r="J1913" s="10">
        <f t="shared" si="29"/>
        <v>6</v>
      </c>
    </row>
    <row r="1914" spans="1:10" x14ac:dyDescent="0.2">
      <c r="A1914" s="6">
        <v>43419</v>
      </c>
      <c r="B1914">
        <v>2008</v>
      </c>
      <c r="C1914">
        <v>2872</v>
      </c>
      <c r="D1914">
        <v>1913</v>
      </c>
      <c r="E1914">
        <v>13000</v>
      </c>
      <c r="F1914" t="s">
        <v>25</v>
      </c>
      <c r="G1914">
        <v>12</v>
      </c>
      <c r="H1914" t="s">
        <v>68</v>
      </c>
      <c r="I1914">
        <v>11</v>
      </c>
      <c r="J1914" s="10">
        <f t="shared" si="29"/>
        <v>12</v>
      </c>
    </row>
    <row r="1915" spans="1:10" x14ac:dyDescent="0.2">
      <c r="A1915" s="6">
        <v>43398</v>
      </c>
      <c r="B1915">
        <v>2008</v>
      </c>
      <c r="C1915">
        <v>2872</v>
      </c>
      <c r="D1915">
        <v>1914</v>
      </c>
      <c r="E1915">
        <v>10300</v>
      </c>
      <c r="F1915" t="s">
        <v>25</v>
      </c>
      <c r="G1915">
        <v>6</v>
      </c>
      <c r="H1915" t="s">
        <v>68</v>
      </c>
      <c r="I1915">
        <v>11</v>
      </c>
      <c r="J1915" s="10">
        <f t="shared" si="29"/>
        <v>6</v>
      </c>
    </row>
    <row r="1916" spans="1:10" x14ac:dyDescent="0.2">
      <c r="A1916" s="6">
        <v>43391</v>
      </c>
      <c r="B1916">
        <v>2008</v>
      </c>
      <c r="C1916">
        <v>2872</v>
      </c>
      <c r="D1916">
        <v>1915</v>
      </c>
      <c r="E1916">
        <v>11000</v>
      </c>
      <c r="F1916" t="s">
        <v>25</v>
      </c>
      <c r="G1916">
        <v>12</v>
      </c>
      <c r="H1916" t="s">
        <v>68</v>
      </c>
      <c r="I1916">
        <v>11</v>
      </c>
      <c r="J1916" s="10">
        <f t="shared" si="29"/>
        <v>12</v>
      </c>
    </row>
    <row r="1917" spans="1:10" x14ac:dyDescent="0.2">
      <c r="A1917" s="6">
        <v>43391</v>
      </c>
      <c r="B1917">
        <v>2010</v>
      </c>
      <c r="C1917">
        <v>2872</v>
      </c>
      <c r="D1917">
        <v>1916</v>
      </c>
      <c r="E1917">
        <v>13350</v>
      </c>
      <c r="F1917" t="s">
        <v>25</v>
      </c>
      <c r="G1917">
        <v>13</v>
      </c>
      <c r="H1917" t="s">
        <v>68</v>
      </c>
      <c r="I1917">
        <v>9</v>
      </c>
      <c r="J1917" s="10">
        <f t="shared" si="29"/>
        <v>13</v>
      </c>
    </row>
    <row r="1918" spans="1:10" x14ac:dyDescent="0.2">
      <c r="A1918" s="6">
        <v>43391</v>
      </c>
      <c r="B1918">
        <v>2010</v>
      </c>
      <c r="C1918">
        <v>2872</v>
      </c>
      <c r="D1918">
        <v>1917</v>
      </c>
      <c r="E1918">
        <v>13350</v>
      </c>
      <c r="F1918" t="s">
        <v>25</v>
      </c>
      <c r="G1918">
        <v>13</v>
      </c>
      <c r="H1918" t="s">
        <v>68</v>
      </c>
      <c r="I1918">
        <v>9</v>
      </c>
      <c r="J1918" s="10">
        <f t="shared" si="29"/>
        <v>13</v>
      </c>
    </row>
    <row r="1919" spans="1:10" x14ac:dyDescent="0.2">
      <c r="A1919" s="6">
        <v>43383</v>
      </c>
      <c r="B1919">
        <v>2007</v>
      </c>
      <c r="C1919">
        <v>2872</v>
      </c>
      <c r="D1919">
        <v>1918</v>
      </c>
      <c r="E1919">
        <v>11450</v>
      </c>
      <c r="F1919" t="s">
        <v>25</v>
      </c>
      <c r="G1919">
        <v>6</v>
      </c>
      <c r="H1919" t="s">
        <v>68</v>
      </c>
      <c r="I1919">
        <v>12</v>
      </c>
      <c r="J1919" s="10">
        <f t="shared" si="29"/>
        <v>6</v>
      </c>
    </row>
    <row r="1920" spans="1:10" x14ac:dyDescent="0.2">
      <c r="A1920" s="6">
        <v>43376</v>
      </c>
      <c r="B1920">
        <v>2008</v>
      </c>
      <c r="C1920">
        <v>2872</v>
      </c>
      <c r="D1920">
        <v>1919</v>
      </c>
      <c r="E1920">
        <v>11500</v>
      </c>
      <c r="F1920" t="s">
        <v>25</v>
      </c>
      <c r="G1920">
        <v>6</v>
      </c>
      <c r="H1920" t="s">
        <v>68</v>
      </c>
      <c r="I1920">
        <v>11</v>
      </c>
      <c r="J1920" s="10">
        <f t="shared" si="29"/>
        <v>6</v>
      </c>
    </row>
    <row r="1921" spans="1:10" x14ac:dyDescent="0.2">
      <c r="A1921" s="6">
        <v>43290</v>
      </c>
      <c r="B1921">
        <v>2008</v>
      </c>
      <c r="C1921">
        <v>2872</v>
      </c>
      <c r="D1921">
        <v>1920</v>
      </c>
      <c r="E1921">
        <v>12000</v>
      </c>
      <c r="F1921" t="s">
        <v>25</v>
      </c>
      <c r="G1921">
        <v>5</v>
      </c>
      <c r="H1921" t="s">
        <v>68</v>
      </c>
      <c r="I1921">
        <v>11</v>
      </c>
      <c r="J1921" s="10">
        <f t="shared" si="29"/>
        <v>5</v>
      </c>
    </row>
    <row r="1922" spans="1:10" x14ac:dyDescent="0.2">
      <c r="A1922" s="6">
        <v>43225</v>
      </c>
      <c r="B1922">
        <v>2007</v>
      </c>
      <c r="C1922">
        <v>2872</v>
      </c>
      <c r="D1922">
        <v>1921</v>
      </c>
      <c r="E1922">
        <v>11950</v>
      </c>
      <c r="F1922" t="s">
        <v>25</v>
      </c>
      <c r="G1922">
        <v>6</v>
      </c>
      <c r="H1922" t="s">
        <v>68</v>
      </c>
      <c r="I1922">
        <v>12</v>
      </c>
      <c r="J1922" s="10">
        <f t="shared" ref="J1922:J1933" si="30">IF(H1922="days",ROUND(G1922/30,0),IF(H1922="years",G1922*12,G1922))</f>
        <v>6</v>
      </c>
    </row>
    <row r="1923" spans="1:10" x14ac:dyDescent="0.2">
      <c r="A1923" s="6">
        <v>43130</v>
      </c>
      <c r="B1923">
        <v>2008</v>
      </c>
      <c r="C1923">
        <v>2872</v>
      </c>
      <c r="D1923">
        <v>1922</v>
      </c>
      <c r="E1923">
        <v>9000</v>
      </c>
      <c r="F1923" t="s">
        <v>25</v>
      </c>
      <c r="G1923">
        <v>10</v>
      </c>
      <c r="H1923" t="s">
        <v>68</v>
      </c>
      <c r="I1923">
        <v>11</v>
      </c>
      <c r="J1923" s="10">
        <f t="shared" si="30"/>
        <v>10</v>
      </c>
    </row>
    <row r="1924" spans="1:10" x14ac:dyDescent="0.2">
      <c r="A1924" s="6">
        <v>42948</v>
      </c>
      <c r="B1924">
        <v>2008</v>
      </c>
      <c r="C1924">
        <v>2872</v>
      </c>
      <c r="D1924">
        <v>1923</v>
      </c>
      <c r="E1924">
        <v>6800</v>
      </c>
      <c r="F1924" t="s">
        <v>25</v>
      </c>
      <c r="G1924">
        <v>3</v>
      </c>
      <c r="H1924" t="s">
        <v>68</v>
      </c>
      <c r="I1924">
        <v>11</v>
      </c>
      <c r="J1924" s="10">
        <f t="shared" si="30"/>
        <v>3</v>
      </c>
    </row>
    <row r="1925" spans="1:10" x14ac:dyDescent="0.2">
      <c r="A1925" s="6">
        <v>42921</v>
      </c>
      <c r="B1925">
        <v>2007</v>
      </c>
      <c r="C1925">
        <v>2872</v>
      </c>
      <c r="D1925">
        <v>1924</v>
      </c>
      <c r="E1925">
        <v>8950</v>
      </c>
      <c r="F1925" t="s">
        <v>25</v>
      </c>
      <c r="G1925">
        <v>9</v>
      </c>
      <c r="H1925" t="s">
        <v>68</v>
      </c>
      <c r="I1925">
        <v>12</v>
      </c>
      <c r="J1925" s="10">
        <f t="shared" si="30"/>
        <v>9</v>
      </c>
    </row>
    <row r="1926" spans="1:10" x14ac:dyDescent="0.2">
      <c r="A1926" s="6">
        <v>42829</v>
      </c>
      <c r="B1926">
        <v>2010</v>
      </c>
      <c r="C1926">
        <v>2872</v>
      </c>
      <c r="D1926">
        <v>1925</v>
      </c>
      <c r="E1926">
        <v>8750</v>
      </c>
      <c r="F1926" t="s">
        <v>25</v>
      </c>
      <c r="G1926">
        <v>4</v>
      </c>
      <c r="H1926" t="s">
        <v>68</v>
      </c>
      <c r="I1926">
        <v>9</v>
      </c>
      <c r="J1926" s="10">
        <f t="shared" si="30"/>
        <v>4</v>
      </c>
    </row>
    <row r="1927" spans="1:10" x14ac:dyDescent="0.2">
      <c r="A1927" s="6">
        <v>42804</v>
      </c>
      <c r="B1927">
        <v>2008</v>
      </c>
      <c r="C1927">
        <v>2872</v>
      </c>
      <c r="D1927">
        <v>1926</v>
      </c>
      <c r="E1927">
        <v>8475</v>
      </c>
      <c r="F1927" t="s">
        <v>25</v>
      </c>
      <c r="G1927">
        <v>40</v>
      </c>
      <c r="H1927" t="s">
        <v>26</v>
      </c>
      <c r="I1927">
        <v>11</v>
      </c>
      <c r="J1927" s="10">
        <f t="shared" si="30"/>
        <v>1</v>
      </c>
    </row>
    <row r="1928" spans="1:10" x14ac:dyDescent="0.2">
      <c r="A1928" s="6">
        <v>42559</v>
      </c>
      <c r="B1928">
        <v>2010</v>
      </c>
      <c r="C1928">
        <v>2872</v>
      </c>
      <c r="D1928">
        <v>1927</v>
      </c>
      <c r="E1928">
        <v>6500</v>
      </c>
      <c r="F1928" t="s">
        <v>25</v>
      </c>
      <c r="G1928">
        <v>6</v>
      </c>
      <c r="H1928" t="s">
        <v>68</v>
      </c>
      <c r="I1928">
        <v>9</v>
      </c>
      <c r="J1928" s="10">
        <f t="shared" si="30"/>
        <v>6</v>
      </c>
    </row>
    <row r="1929" spans="1:10" x14ac:dyDescent="0.2">
      <c r="A1929" s="6">
        <v>42552</v>
      </c>
      <c r="B1929">
        <v>2010</v>
      </c>
      <c r="C1929">
        <v>2872</v>
      </c>
      <c r="D1929">
        <v>1928</v>
      </c>
      <c r="E1929">
        <v>6500</v>
      </c>
      <c r="F1929" t="s">
        <v>25</v>
      </c>
      <c r="G1929">
        <v>7</v>
      </c>
      <c r="H1929" t="s">
        <v>68</v>
      </c>
      <c r="I1929">
        <v>9</v>
      </c>
      <c r="J1929" s="10">
        <f t="shared" si="30"/>
        <v>7</v>
      </c>
    </row>
    <row r="1930" spans="1:10" x14ac:dyDescent="0.2">
      <c r="A1930" s="6">
        <v>42475</v>
      </c>
      <c r="B1930">
        <v>2008</v>
      </c>
      <c r="C1930">
        <v>2872</v>
      </c>
      <c r="D1930">
        <v>1929</v>
      </c>
      <c r="E1930">
        <v>7000</v>
      </c>
      <c r="F1930" t="s">
        <v>25</v>
      </c>
      <c r="G1930">
        <v>12</v>
      </c>
      <c r="H1930" t="s">
        <v>68</v>
      </c>
      <c r="I1930">
        <v>11</v>
      </c>
      <c r="J1930" s="10">
        <f t="shared" si="30"/>
        <v>12</v>
      </c>
    </row>
    <row r="1931" spans="1:10" x14ac:dyDescent="0.2">
      <c r="A1931" s="6">
        <v>42436</v>
      </c>
      <c r="B1931">
        <v>2010</v>
      </c>
      <c r="C1931">
        <v>2872</v>
      </c>
      <c r="D1931">
        <v>1930</v>
      </c>
      <c r="E1931">
        <v>6350</v>
      </c>
      <c r="F1931" t="s">
        <v>25</v>
      </c>
      <c r="G1931">
        <v>6</v>
      </c>
      <c r="H1931" t="s">
        <v>68</v>
      </c>
      <c r="I1931">
        <v>9</v>
      </c>
      <c r="J1931" s="10">
        <f t="shared" si="30"/>
        <v>6</v>
      </c>
    </row>
    <row r="1932" spans="1:10" x14ac:dyDescent="0.2">
      <c r="A1932" s="6">
        <v>42436</v>
      </c>
      <c r="B1932">
        <v>2008</v>
      </c>
      <c r="C1932">
        <v>2872</v>
      </c>
      <c r="D1932">
        <v>1931</v>
      </c>
      <c r="E1932">
        <v>6500</v>
      </c>
      <c r="F1932" t="s">
        <v>25</v>
      </c>
      <c r="G1932">
        <v>6</v>
      </c>
      <c r="H1932" t="s">
        <v>68</v>
      </c>
      <c r="I1932">
        <v>11</v>
      </c>
      <c r="J1932" s="10">
        <f t="shared" si="30"/>
        <v>6</v>
      </c>
    </row>
    <row r="1933" spans="1:10" x14ac:dyDescent="0.2">
      <c r="A1933" s="6">
        <v>42405</v>
      </c>
      <c r="B1933">
        <v>2007</v>
      </c>
      <c r="C1933">
        <v>2872</v>
      </c>
      <c r="D1933">
        <v>1932</v>
      </c>
      <c r="E1933">
        <v>6150</v>
      </c>
      <c r="F1933" t="s">
        <v>25</v>
      </c>
      <c r="G1933">
        <v>6</v>
      </c>
      <c r="H1933" t="s">
        <v>68</v>
      </c>
      <c r="I1933">
        <v>12</v>
      </c>
      <c r="J1933" s="10">
        <f t="shared" si="30"/>
        <v>6</v>
      </c>
    </row>
  </sheetData>
  <autoFilter ref="A1:J1933">
    <sortState ref="A2:J1933">
      <sortCondition ref="C1:C1933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931"/>
  <sheetViews>
    <sheetView topLeftCell="A919" workbookViewId="0">
      <selection activeCell="J694" sqref="J694"/>
    </sheetView>
  </sheetViews>
  <sheetFormatPr baseColWidth="10" defaultColWidth="11.5" defaultRowHeight="15" x14ac:dyDescent="0.2"/>
  <cols>
    <col min="1" max="2" width="9.6640625" bestFit="1" customWidth="1"/>
    <col min="3" max="3" width="9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7.6640625" bestFit="1" customWidth="1"/>
    <col min="8" max="8" width="15.1640625" bestFit="1" customWidth="1"/>
    <col min="9" max="9" width="8.6640625" bestFit="1" customWidth="1"/>
    <col min="10" max="10" width="20.33203125" bestFit="1" customWidth="1"/>
  </cols>
  <sheetData>
    <row r="1" spans="1:10" x14ac:dyDescent="0.2">
      <c r="A1" s="11" t="s">
        <v>17</v>
      </c>
      <c r="B1" s="11" t="s">
        <v>18</v>
      </c>
      <c r="C1" s="11" t="s">
        <v>19</v>
      </c>
      <c r="D1" s="11" t="s">
        <v>313</v>
      </c>
      <c r="E1" s="11" t="s">
        <v>20</v>
      </c>
      <c r="F1" s="11" t="s">
        <v>21</v>
      </c>
      <c r="G1" s="11" t="s">
        <v>22</v>
      </c>
      <c r="H1" s="11" t="s">
        <v>23</v>
      </c>
      <c r="I1" s="11" t="s">
        <v>24</v>
      </c>
      <c r="J1" s="11" t="s">
        <v>314</v>
      </c>
    </row>
    <row r="2" spans="1:10" x14ac:dyDescent="0.2">
      <c r="A2" s="6">
        <v>42704</v>
      </c>
      <c r="B2">
        <v>2000</v>
      </c>
      <c r="C2">
        <v>1005</v>
      </c>
      <c r="D2">
        <v>1</v>
      </c>
      <c r="E2">
        <v>6500</v>
      </c>
      <c r="F2" t="s">
        <v>25</v>
      </c>
      <c r="G2">
        <v>12</v>
      </c>
      <c r="H2" t="s">
        <v>68</v>
      </c>
      <c r="I2">
        <v>19</v>
      </c>
      <c r="J2" s="10">
        <f t="shared" ref="J2:J65" si="0">IF(H2="days",ROUND(G2/30,0),IF(H2="years",G2*12,G2))</f>
        <v>12</v>
      </c>
    </row>
    <row r="3" spans="1:10" x14ac:dyDescent="0.2">
      <c r="A3" s="6">
        <v>42529</v>
      </c>
      <c r="B3">
        <v>2000</v>
      </c>
      <c r="C3">
        <v>1005</v>
      </c>
      <c r="D3">
        <v>2</v>
      </c>
      <c r="E3">
        <v>6250</v>
      </c>
      <c r="F3" t="s">
        <v>25</v>
      </c>
      <c r="G3">
        <v>9</v>
      </c>
      <c r="H3" t="s">
        <v>68</v>
      </c>
      <c r="I3">
        <v>19</v>
      </c>
      <c r="J3" s="10">
        <f t="shared" si="0"/>
        <v>9</v>
      </c>
    </row>
    <row r="4" spans="1:10" x14ac:dyDescent="0.2">
      <c r="A4" s="6">
        <v>43385</v>
      </c>
      <c r="B4">
        <v>2005</v>
      </c>
      <c r="C4">
        <v>1008</v>
      </c>
      <c r="D4">
        <v>3</v>
      </c>
      <c r="E4">
        <v>6400</v>
      </c>
      <c r="F4" t="s">
        <v>25</v>
      </c>
      <c r="G4">
        <v>6</v>
      </c>
      <c r="H4" t="s">
        <v>68</v>
      </c>
      <c r="I4">
        <v>14</v>
      </c>
      <c r="J4" s="10">
        <f t="shared" si="0"/>
        <v>6</v>
      </c>
    </row>
    <row r="5" spans="1:10" x14ac:dyDescent="0.2">
      <c r="A5" s="6">
        <v>43070</v>
      </c>
      <c r="B5">
        <v>2005</v>
      </c>
      <c r="C5">
        <v>1008</v>
      </c>
      <c r="D5">
        <v>4</v>
      </c>
      <c r="E5">
        <v>6950</v>
      </c>
      <c r="F5" t="s">
        <v>25</v>
      </c>
      <c r="G5">
        <v>3</v>
      </c>
      <c r="H5" t="s">
        <v>68</v>
      </c>
      <c r="I5">
        <v>14</v>
      </c>
      <c r="J5" s="10">
        <f t="shared" si="0"/>
        <v>3</v>
      </c>
    </row>
    <row r="6" spans="1:10" x14ac:dyDescent="0.2">
      <c r="A6" s="6">
        <v>43070</v>
      </c>
      <c r="B6">
        <v>2005</v>
      </c>
      <c r="C6">
        <v>1008</v>
      </c>
      <c r="D6">
        <v>5</v>
      </c>
      <c r="E6">
        <v>6950</v>
      </c>
      <c r="F6" t="s">
        <v>25</v>
      </c>
      <c r="G6">
        <v>3</v>
      </c>
      <c r="H6" t="s">
        <v>68</v>
      </c>
      <c r="I6">
        <v>14</v>
      </c>
      <c r="J6" s="10">
        <f t="shared" si="0"/>
        <v>3</v>
      </c>
    </row>
    <row r="7" spans="1:10" x14ac:dyDescent="0.2">
      <c r="A7" s="6">
        <v>42632</v>
      </c>
      <c r="B7">
        <v>2005</v>
      </c>
      <c r="C7">
        <v>1008</v>
      </c>
      <c r="D7">
        <v>6</v>
      </c>
      <c r="E7">
        <v>6750</v>
      </c>
      <c r="F7" t="s">
        <v>25</v>
      </c>
      <c r="G7">
        <v>12</v>
      </c>
      <c r="H7" t="s">
        <v>68</v>
      </c>
      <c r="I7">
        <v>14</v>
      </c>
      <c r="J7" s="10">
        <f t="shared" si="0"/>
        <v>12</v>
      </c>
    </row>
    <row r="8" spans="1:10" x14ac:dyDescent="0.2">
      <c r="A8" s="6">
        <v>42600</v>
      </c>
      <c r="B8">
        <v>2004</v>
      </c>
      <c r="C8">
        <v>1008</v>
      </c>
      <c r="D8">
        <v>7</v>
      </c>
      <c r="E8">
        <v>6550</v>
      </c>
      <c r="F8" t="s">
        <v>25</v>
      </c>
      <c r="G8">
        <v>11</v>
      </c>
      <c r="H8" t="s">
        <v>68</v>
      </c>
      <c r="I8">
        <v>15</v>
      </c>
      <c r="J8" s="10">
        <f t="shared" si="0"/>
        <v>11</v>
      </c>
    </row>
    <row r="9" spans="1:10" x14ac:dyDescent="0.2">
      <c r="A9" s="6">
        <v>42472</v>
      </c>
      <c r="B9">
        <v>2005</v>
      </c>
      <c r="C9">
        <v>1008</v>
      </c>
      <c r="D9">
        <v>8</v>
      </c>
      <c r="E9">
        <v>8400</v>
      </c>
      <c r="F9" t="s">
        <v>25</v>
      </c>
      <c r="G9">
        <v>8</v>
      </c>
      <c r="H9" t="s">
        <v>68</v>
      </c>
      <c r="I9">
        <v>14</v>
      </c>
      <c r="J9" s="10">
        <f t="shared" si="0"/>
        <v>8</v>
      </c>
    </row>
    <row r="10" spans="1:10" x14ac:dyDescent="0.2">
      <c r="A10" s="6">
        <v>42948</v>
      </c>
      <c r="B10">
        <v>2000</v>
      </c>
      <c r="C10">
        <v>1025</v>
      </c>
      <c r="D10">
        <v>9</v>
      </c>
      <c r="E10">
        <v>6900</v>
      </c>
      <c r="F10" t="s">
        <v>25</v>
      </c>
      <c r="G10">
        <v>4</v>
      </c>
      <c r="H10" t="s">
        <v>68</v>
      </c>
      <c r="I10">
        <v>19</v>
      </c>
      <c r="J10" s="10">
        <f t="shared" si="0"/>
        <v>4</v>
      </c>
    </row>
    <row r="11" spans="1:10" x14ac:dyDescent="0.2">
      <c r="A11" s="6">
        <v>42989</v>
      </c>
      <c r="B11">
        <v>2005</v>
      </c>
      <c r="C11">
        <v>1050</v>
      </c>
      <c r="D11">
        <v>10</v>
      </c>
      <c r="E11">
        <v>6500</v>
      </c>
      <c r="F11" t="s">
        <v>25</v>
      </c>
      <c r="G11">
        <v>7</v>
      </c>
      <c r="H11" t="s">
        <v>68</v>
      </c>
      <c r="I11">
        <v>14</v>
      </c>
      <c r="J11" s="10">
        <f t="shared" si="0"/>
        <v>7</v>
      </c>
    </row>
    <row r="12" spans="1:10" x14ac:dyDescent="0.2">
      <c r="A12" s="6">
        <v>42592</v>
      </c>
      <c r="B12">
        <v>2005</v>
      </c>
      <c r="C12">
        <v>1050</v>
      </c>
      <c r="D12">
        <v>11</v>
      </c>
      <c r="E12">
        <v>6950</v>
      </c>
      <c r="F12" t="s">
        <v>25</v>
      </c>
      <c r="G12">
        <v>5</v>
      </c>
      <c r="H12" t="s">
        <v>68</v>
      </c>
      <c r="I12">
        <v>14</v>
      </c>
      <c r="J12" s="10">
        <f t="shared" si="0"/>
        <v>5</v>
      </c>
    </row>
    <row r="13" spans="1:10" x14ac:dyDescent="0.2">
      <c r="A13" s="6">
        <v>43553</v>
      </c>
      <c r="B13">
        <v>2000</v>
      </c>
      <c r="C13">
        <v>1060</v>
      </c>
      <c r="D13">
        <v>12</v>
      </c>
      <c r="E13">
        <v>6500</v>
      </c>
      <c r="F13" t="s">
        <v>25</v>
      </c>
      <c r="G13">
        <v>4</v>
      </c>
      <c r="H13" t="s">
        <v>68</v>
      </c>
      <c r="I13">
        <v>19</v>
      </c>
      <c r="J13" s="10">
        <f t="shared" si="0"/>
        <v>4</v>
      </c>
    </row>
    <row r="14" spans="1:10" x14ac:dyDescent="0.2">
      <c r="A14" s="6">
        <v>43388</v>
      </c>
      <c r="B14">
        <v>2000</v>
      </c>
      <c r="C14">
        <v>1060</v>
      </c>
      <c r="D14">
        <v>13</v>
      </c>
      <c r="E14">
        <v>7200</v>
      </c>
      <c r="F14" t="s">
        <v>25</v>
      </c>
      <c r="G14">
        <v>6</v>
      </c>
      <c r="H14" t="s">
        <v>68</v>
      </c>
      <c r="I14">
        <v>19</v>
      </c>
      <c r="J14" s="10">
        <f t="shared" si="0"/>
        <v>6</v>
      </c>
    </row>
    <row r="15" spans="1:10" x14ac:dyDescent="0.2">
      <c r="A15" s="6">
        <v>42782</v>
      </c>
      <c r="B15">
        <v>2000</v>
      </c>
      <c r="C15">
        <v>1060</v>
      </c>
      <c r="D15">
        <v>14</v>
      </c>
      <c r="E15">
        <v>6500</v>
      </c>
      <c r="F15" t="s">
        <v>25</v>
      </c>
      <c r="G15">
        <v>6</v>
      </c>
      <c r="H15" t="s">
        <v>68</v>
      </c>
      <c r="I15">
        <v>19</v>
      </c>
      <c r="J15" s="10">
        <f t="shared" si="0"/>
        <v>6</v>
      </c>
    </row>
    <row r="16" spans="1:10" x14ac:dyDescent="0.2">
      <c r="A16" s="6">
        <v>42440</v>
      </c>
      <c r="B16">
        <v>2000</v>
      </c>
      <c r="C16">
        <v>1060</v>
      </c>
      <c r="D16">
        <v>15</v>
      </c>
      <c r="E16">
        <v>7000</v>
      </c>
      <c r="F16" t="s">
        <v>25</v>
      </c>
      <c r="G16">
        <v>12</v>
      </c>
      <c r="H16" t="s">
        <v>68</v>
      </c>
      <c r="I16">
        <v>19</v>
      </c>
      <c r="J16" s="10">
        <f t="shared" si="0"/>
        <v>12</v>
      </c>
    </row>
    <row r="17" spans="1:10" x14ac:dyDescent="0.2">
      <c r="A17" s="6">
        <v>43613</v>
      </c>
      <c r="B17">
        <v>2002</v>
      </c>
      <c r="C17">
        <v>1078</v>
      </c>
      <c r="D17">
        <v>16</v>
      </c>
      <c r="E17">
        <v>6500</v>
      </c>
      <c r="F17" t="s">
        <v>25</v>
      </c>
      <c r="G17">
        <v>6</v>
      </c>
      <c r="H17" t="s">
        <v>68</v>
      </c>
      <c r="I17">
        <v>17</v>
      </c>
      <c r="J17" s="10">
        <f t="shared" si="0"/>
        <v>6</v>
      </c>
    </row>
    <row r="18" spans="1:10" x14ac:dyDescent="0.2">
      <c r="A18" s="6">
        <v>43549</v>
      </c>
      <c r="B18">
        <v>2002</v>
      </c>
      <c r="C18">
        <v>1078</v>
      </c>
      <c r="D18">
        <v>17</v>
      </c>
      <c r="E18">
        <v>6000</v>
      </c>
      <c r="F18" t="s">
        <v>25</v>
      </c>
      <c r="G18">
        <v>6</v>
      </c>
      <c r="H18" t="s">
        <v>68</v>
      </c>
      <c r="I18">
        <v>17</v>
      </c>
      <c r="J18" s="10">
        <f t="shared" si="0"/>
        <v>6</v>
      </c>
    </row>
    <row r="19" spans="1:10" x14ac:dyDescent="0.2">
      <c r="A19" s="6">
        <v>43444</v>
      </c>
      <c r="B19">
        <v>2002</v>
      </c>
      <c r="C19">
        <v>1078</v>
      </c>
      <c r="D19">
        <v>18</v>
      </c>
      <c r="E19">
        <v>3850</v>
      </c>
      <c r="F19" t="s">
        <v>25</v>
      </c>
      <c r="G19">
        <v>4</v>
      </c>
      <c r="H19" t="s">
        <v>68</v>
      </c>
      <c r="I19">
        <v>17</v>
      </c>
      <c r="J19" s="10">
        <f t="shared" si="0"/>
        <v>4</v>
      </c>
    </row>
    <row r="20" spans="1:10" x14ac:dyDescent="0.2">
      <c r="A20" s="6">
        <v>43200</v>
      </c>
      <c r="B20">
        <v>2002</v>
      </c>
      <c r="C20">
        <v>1078</v>
      </c>
      <c r="D20">
        <v>19</v>
      </c>
      <c r="E20">
        <v>9500</v>
      </c>
      <c r="F20" t="s">
        <v>25</v>
      </c>
      <c r="G20">
        <v>6</v>
      </c>
      <c r="H20" t="s">
        <v>68</v>
      </c>
      <c r="I20">
        <v>17</v>
      </c>
      <c r="J20" s="10">
        <f t="shared" si="0"/>
        <v>6</v>
      </c>
    </row>
    <row r="21" spans="1:10" x14ac:dyDescent="0.2">
      <c r="A21" s="6">
        <v>43158</v>
      </c>
      <c r="B21">
        <v>2002</v>
      </c>
      <c r="C21">
        <v>1078</v>
      </c>
      <c r="D21">
        <v>20</v>
      </c>
      <c r="E21">
        <v>8600</v>
      </c>
      <c r="F21" t="s">
        <v>25</v>
      </c>
      <c r="G21">
        <v>4</v>
      </c>
      <c r="H21" t="s">
        <v>68</v>
      </c>
      <c r="I21">
        <v>17</v>
      </c>
      <c r="J21" s="10">
        <f t="shared" si="0"/>
        <v>4</v>
      </c>
    </row>
    <row r="22" spans="1:10" x14ac:dyDescent="0.2">
      <c r="A22" s="6">
        <v>43112</v>
      </c>
      <c r="B22">
        <v>2002</v>
      </c>
      <c r="C22">
        <v>1078</v>
      </c>
      <c r="D22">
        <v>21</v>
      </c>
      <c r="E22">
        <v>7500</v>
      </c>
      <c r="F22" t="s">
        <v>25</v>
      </c>
      <c r="G22">
        <v>2</v>
      </c>
      <c r="H22" t="s">
        <v>68</v>
      </c>
      <c r="I22">
        <v>17</v>
      </c>
      <c r="J22" s="10">
        <f t="shared" si="0"/>
        <v>2</v>
      </c>
    </row>
    <row r="23" spans="1:10" x14ac:dyDescent="0.2">
      <c r="A23" s="6">
        <v>43109</v>
      </c>
      <c r="B23">
        <v>2001</v>
      </c>
      <c r="C23">
        <v>1078</v>
      </c>
      <c r="D23">
        <v>22</v>
      </c>
      <c r="E23">
        <v>6500</v>
      </c>
      <c r="F23" t="s">
        <v>25</v>
      </c>
      <c r="G23">
        <v>16</v>
      </c>
      <c r="H23" t="s">
        <v>68</v>
      </c>
      <c r="I23">
        <v>18</v>
      </c>
      <c r="J23" s="10">
        <f t="shared" si="0"/>
        <v>16</v>
      </c>
    </row>
    <row r="24" spans="1:10" x14ac:dyDescent="0.2">
      <c r="A24" s="6">
        <v>43070</v>
      </c>
      <c r="B24">
        <v>2002</v>
      </c>
      <c r="C24">
        <v>1078</v>
      </c>
      <c r="D24">
        <v>23</v>
      </c>
      <c r="E24">
        <v>6750</v>
      </c>
      <c r="F24" t="s">
        <v>25</v>
      </c>
      <c r="G24">
        <v>7</v>
      </c>
      <c r="H24" t="s">
        <v>68</v>
      </c>
      <c r="I24">
        <v>17</v>
      </c>
      <c r="J24" s="10">
        <f t="shared" si="0"/>
        <v>7</v>
      </c>
    </row>
    <row r="25" spans="1:10" x14ac:dyDescent="0.2">
      <c r="A25" s="6">
        <v>43034</v>
      </c>
      <c r="B25">
        <v>2001</v>
      </c>
      <c r="C25">
        <v>1078</v>
      </c>
      <c r="D25">
        <v>24</v>
      </c>
      <c r="E25">
        <v>7500</v>
      </c>
      <c r="F25" t="s">
        <v>25</v>
      </c>
      <c r="G25">
        <v>40</v>
      </c>
      <c r="H25" t="s">
        <v>26</v>
      </c>
      <c r="I25">
        <v>18</v>
      </c>
      <c r="J25" s="10">
        <f t="shared" si="0"/>
        <v>1</v>
      </c>
    </row>
    <row r="26" spans="1:10" x14ac:dyDescent="0.2">
      <c r="A26" s="6">
        <v>43025</v>
      </c>
      <c r="B26">
        <v>2001</v>
      </c>
      <c r="C26">
        <v>1078</v>
      </c>
      <c r="D26">
        <v>25</v>
      </c>
      <c r="E26">
        <v>6950</v>
      </c>
      <c r="F26" t="s">
        <v>25</v>
      </c>
      <c r="G26">
        <v>75</v>
      </c>
      <c r="H26" t="s">
        <v>26</v>
      </c>
      <c r="I26">
        <v>18</v>
      </c>
      <c r="J26" s="10">
        <f t="shared" si="0"/>
        <v>3</v>
      </c>
    </row>
    <row r="27" spans="1:10" x14ac:dyDescent="0.2">
      <c r="A27" s="6">
        <v>43013</v>
      </c>
      <c r="B27">
        <v>2002</v>
      </c>
      <c r="C27">
        <v>1078</v>
      </c>
      <c r="D27">
        <v>26</v>
      </c>
      <c r="E27">
        <v>7400</v>
      </c>
      <c r="F27" t="s">
        <v>25</v>
      </c>
      <c r="G27">
        <v>5</v>
      </c>
      <c r="H27" t="s">
        <v>68</v>
      </c>
      <c r="I27">
        <v>17</v>
      </c>
      <c r="J27" s="10">
        <f t="shared" si="0"/>
        <v>5</v>
      </c>
    </row>
    <row r="28" spans="1:10" x14ac:dyDescent="0.2">
      <c r="A28" s="6">
        <v>42991</v>
      </c>
      <c r="B28">
        <v>2001</v>
      </c>
      <c r="C28">
        <v>1078</v>
      </c>
      <c r="D28">
        <v>27</v>
      </c>
      <c r="E28">
        <v>7000</v>
      </c>
      <c r="F28" t="s">
        <v>25</v>
      </c>
      <c r="G28">
        <v>1.5</v>
      </c>
      <c r="H28" t="s">
        <v>68</v>
      </c>
      <c r="I28">
        <v>18</v>
      </c>
      <c r="J28" s="10">
        <f t="shared" si="0"/>
        <v>1.5</v>
      </c>
    </row>
    <row r="29" spans="1:10" x14ac:dyDescent="0.2">
      <c r="A29" s="6">
        <v>42941</v>
      </c>
      <c r="B29">
        <v>2001</v>
      </c>
      <c r="C29">
        <v>1078</v>
      </c>
      <c r="D29">
        <v>28</v>
      </c>
      <c r="E29">
        <v>6800</v>
      </c>
      <c r="F29" t="s">
        <v>25</v>
      </c>
      <c r="G29">
        <v>90</v>
      </c>
      <c r="H29" t="s">
        <v>26</v>
      </c>
      <c r="I29">
        <v>18</v>
      </c>
      <c r="J29" s="10">
        <f t="shared" si="0"/>
        <v>3</v>
      </c>
    </row>
    <row r="30" spans="1:10" x14ac:dyDescent="0.2">
      <c r="A30" s="6">
        <v>42936</v>
      </c>
      <c r="B30">
        <v>2002</v>
      </c>
      <c r="C30">
        <v>1078</v>
      </c>
      <c r="D30">
        <v>29</v>
      </c>
      <c r="E30">
        <v>6750</v>
      </c>
      <c r="F30" t="s">
        <v>25</v>
      </c>
      <c r="G30">
        <v>2</v>
      </c>
      <c r="H30" t="s">
        <v>68</v>
      </c>
      <c r="I30">
        <v>17</v>
      </c>
      <c r="J30" s="10">
        <f t="shared" si="0"/>
        <v>2</v>
      </c>
    </row>
    <row r="31" spans="1:10" x14ac:dyDescent="0.2">
      <c r="A31" s="6">
        <v>42891</v>
      </c>
      <c r="B31">
        <v>2002</v>
      </c>
      <c r="C31">
        <v>1078</v>
      </c>
      <c r="D31">
        <v>30</v>
      </c>
      <c r="E31">
        <v>7100</v>
      </c>
      <c r="F31" t="s">
        <v>25</v>
      </c>
      <c r="G31">
        <v>4</v>
      </c>
      <c r="H31" t="s">
        <v>68</v>
      </c>
      <c r="I31">
        <v>17</v>
      </c>
      <c r="J31" s="10">
        <f t="shared" si="0"/>
        <v>4</v>
      </c>
    </row>
    <row r="32" spans="1:10" x14ac:dyDescent="0.2">
      <c r="A32" s="6">
        <v>42849</v>
      </c>
      <c r="B32">
        <v>2002</v>
      </c>
      <c r="C32">
        <v>1078</v>
      </c>
      <c r="D32">
        <v>31</v>
      </c>
      <c r="E32">
        <v>6950</v>
      </c>
      <c r="F32" t="s">
        <v>25</v>
      </c>
      <c r="G32">
        <v>6</v>
      </c>
      <c r="H32" t="s">
        <v>68</v>
      </c>
      <c r="I32">
        <v>17</v>
      </c>
      <c r="J32" s="10">
        <f t="shared" si="0"/>
        <v>6</v>
      </c>
    </row>
    <row r="33" spans="1:10" x14ac:dyDescent="0.2">
      <c r="A33" s="6">
        <v>42835</v>
      </c>
      <c r="B33">
        <v>2001</v>
      </c>
      <c r="C33">
        <v>1078</v>
      </c>
      <c r="D33">
        <v>32</v>
      </c>
      <c r="E33">
        <v>6500</v>
      </c>
      <c r="F33" t="s">
        <v>25</v>
      </c>
      <c r="G33">
        <v>3</v>
      </c>
      <c r="H33" t="s">
        <v>68</v>
      </c>
      <c r="I33">
        <v>18</v>
      </c>
      <c r="J33" s="10">
        <f t="shared" si="0"/>
        <v>3</v>
      </c>
    </row>
    <row r="34" spans="1:10" x14ac:dyDescent="0.2">
      <c r="A34" s="6">
        <v>42817</v>
      </c>
      <c r="B34">
        <v>2001</v>
      </c>
      <c r="C34">
        <v>1078</v>
      </c>
      <c r="D34">
        <v>33</v>
      </c>
      <c r="E34">
        <v>6950</v>
      </c>
      <c r="F34" t="s">
        <v>25</v>
      </c>
      <c r="G34">
        <v>5</v>
      </c>
      <c r="H34" t="s">
        <v>68</v>
      </c>
      <c r="I34">
        <v>18</v>
      </c>
      <c r="J34" s="10">
        <f t="shared" si="0"/>
        <v>5</v>
      </c>
    </row>
    <row r="35" spans="1:10" x14ac:dyDescent="0.2">
      <c r="A35" s="6">
        <v>42717</v>
      </c>
      <c r="B35">
        <v>2002</v>
      </c>
      <c r="C35">
        <v>1078</v>
      </c>
      <c r="D35">
        <v>34</v>
      </c>
      <c r="E35">
        <v>5700</v>
      </c>
      <c r="F35" t="s">
        <v>25</v>
      </c>
      <c r="G35">
        <v>56</v>
      </c>
      <c r="H35" t="s">
        <v>26</v>
      </c>
      <c r="I35">
        <v>17</v>
      </c>
      <c r="J35" s="10">
        <f t="shared" si="0"/>
        <v>2</v>
      </c>
    </row>
    <row r="36" spans="1:10" x14ac:dyDescent="0.2">
      <c r="A36" s="6">
        <v>42612</v>
      </c>
      <c r="B36">
        <v>2001</v>
      </c>
      <c r="C36">
        <v>1078</v>
      </c>
      <c r="D36">
        <v>35</v>
      </c>
      <c r="E36">
        <v>6600</v>
      </c>
      <c r="F36" t="s">
        <v>25</v>
      </c>
      <c r="G36">
        <v>90</v>
      </c>
      <c r="H36" t="s">
        <v>26</v>
      </c>
      <c r="I36">
        <v>18</v>
      </c>
      <c r="J36" s="10">
        <f t="shared" si="0"/>
        <v>3</v>
      </c>
    </row>
    <row r="37" spans="1:10" x14ac:dyDescent="0.2">
      <c r="A37" s="6">
        <v>42584</v>
      </c>
      <c r="B37">
        <v>2002</v>
      </c>
      <c r="C37">
        <v>1078</v>
      </c>
      <c r="D37">
        <v>36</v>
      </c>
      <c r="E37">
        <v>6750</v>
      </c>
      <c r="F37" t="s">
        <v>25</v>
      </c>
      <c r="G37">
        <v>4</v>
      </c>
      <c r="H37" t="s">
        <v>68</v>
      </c>
      <c r="I37">
        <v>17</v>
      </c>
      <c r="J37" s="10">
        <f t="shared" si="0"/>
        <v>4</v>
      </c>
    </row>
    <row r="38" spans="1:10" x14ac:dyDescent="0.2">
      <c r="A38" s="6">
        <v>42521</v>
      </c>
      <c r="B38">
        <v>2002</v>
      </c>
      <c r="C38">
        <v>1078</v>
      </c>
      <c r="D38">
        <v>37</v>
      </c>
      <c r="E38">
        <v>6575</v>
      </c>
      <c r="F38" t="s">
        <v>25</v>
      </c>
      <c r="G38">
        <v>8</v>
      </c>
      <c r="H38" t="s">
        <v>68</v>
      </c>
      <c r="I38">
        <v>17</v>
      </c>
      <c r="J38" s="10">
        <f t="shared" si="0"/>
        <v>8</v>
      </c>
    </row>
    <row r="39" spans="1:10" x14ac:dyDescent="0.2">
      <c r="A39" s="6">
        <v>42475</v>
      </c>
      <c r="B39">
        <v>2001</v>
      </c>
      <c r="C39">
        <v>1078</v>
      </c>
      <c r="D39">
        <v>38</v>
      </c>
      <c r="E39">
        <v>6450</v>
      </c>
      <c r="F39" t="s">
        <v>25</v>
      </c>
      <c r="G39">
        <v>4</v>
      </c>
      <c r="H39" t="s">
        <v>68</v>
      </c>
      <c r="I39">
        <v>18</v>
      </c>
      <c r="J39" s="10">
        <f t="shared" si="0"/>
        <v>4</v>
      </c>
    </row>
    <row r="40" spans="1:10" x14ac:dyDescent="0.2">
      <c r="A40" s="6">
        <v>42425</v>
      </c>
      <c r="B40">
        <v>2002</v>
      </c>
      <c r="C40">
        <v>1078</v>
      </c>
      <c r="D40">
        <v>39</v>
      </c>
      <c r="E40">
        <v>7000</v>
      </c>
      <c r="F40" t="s">
        <v>25</v>
      </c>
      <c r="G40">
        <v>4</v>
      </c>
      <c r="H40" t="s">
        <v>68</v>
      </c>
      <c r="I40">
        <v>17</v>
      </c>
      <c r="J40" s="10">
        <f t="shared" si="0"/>
        <v>4</v>
      </c>
    </row>
    <row r="41" spans="1:10" x14ac:dyDescent="0.2">
      <c r="A41" s="6">
        <v>42383</v>
      </c>
      <c r="B41">
        <v>2002</v>
      </c>
      <c r="C41">
        <v>1078</v>
      </c>
      <c r="D41">
        <v>40</v>
      </c>
      <c r="E41">
        <v>6600</v>
      </c>
      <c r="F41" t="s">
        <v>25</v>
      </c>
      <c r="G41">
        <v>4</v>
      </c>
      <c r="H41" t="s">
        <v>68</v>
      </c>
      <c r="I41">
        <v>17</v>
      </c>
      <c r="J41" s="10">
        <f t="shared" si="0"/>
        <v>4</v>
      </c>
    </row>
    <row r="42" spans="1:10" x14ac:dyDescent="0.2">
      <c r="A42" s="6">
        <v>43585</v>
      </c>
      <c r="B42">
        <v>2005</v>
      </c>
      <c r="C42">
        <v>1080</v>
      </c>
      <c r="D42">
        <v>41</v>
      </c>
      <c r="E42">
        <v>6300</v>
      </c>
      <c r="F42" t="s">
        <v>25</v>
      </c>
      <c r="G42">
        <v>12</v>
      </c>
      <c r="H42" t="s">
        <v>68</v>
      </c>
      <c r="I42">
        <v>14</v>
      </c>
      <c r="J42" s="10">
        <f t="shared" si="0"/>
        <v>12</v>
      </c>
    </row>
    <row r="43" spans="1:10" x14ac:dyDescent="0.2">
      <c r="A43" s="6">
        <v>42948</v>
      </c>
      <c r="B43">
        <v>2005</v>
      </c>
      <c r="C43">
        <v>1080</v>
      </c>
      <c r="D43">
        <v>42</v>
      </c>
      <c r="E43">
        <v>6100</v>
      </c>
      <c r="F43" t="s">
        <v>25</v>
      </c>
      <c r="G43">
        <v>12</v>
      </c>
      <c r="H43" t="s">
        <v>68</v>
      </c>
      <c r="I43">
        <v>14</v>
      </c>
      <c r="J43" s="10">
        <f t="shared" si="0"/>
        <v>12</v>
      </c>
    </row>
    <row r="44" spans="1:10" x14ac:dyDescent="0.2">
      <c r="A44" s="6">
        <v>42906</v>
      </c>
      <c r="B44">
        <v>2005</v>
      </c>
      <c r="C44">
        <v>1080</v>
      </c>
      <c r="D44">
        <v>43</v>
      </c>
      <c r="E44">
        <v>5200</v>
      </c>
      <c r="F44" t="s">
        <v>25</v>
      </c>
      <c r="G44">
        <v>70</v>
      </c>
      <c r="H44" t="s">
        <v>26</v>
      </c>
      <c r="I44">
        <v>14</v>
      </c>
      <c r="J44" s="10">
        <f t="shared" si="0"/>
        <v>2</v>
      </c>
    </row>
    <row r="45" spans="1:10" x14ac:dyDescent="0.2">
      <c r="A45" s="6">
        <v>42499</v>
      </c>
      <c r="B45">
        <v>2005</v>
      </c>
      <c r="C45">
        <v>1080</v>
      </c>
      <c r="D45">
        <v>44</v>
      </c>
      <c r="E45">
        <v>7650</v>
      </c>
      <c r="F45" t="s">
        <v>25</v>
      </c>
      <c r="G45">
        <v>12</v>
      </c>
      <c r="H45" t="s">
        <v>68</v>
      </c>
      <c r="I45">
        <v>14</v>
      </c>
      <c r="J45" s="10">
        <f t="shared" si="0"/>
        <v>12</v>
      </c>
    </row>
    <row r="46" spans="1:10" x14ac:dyDescent="0.2">
      <c r="A46" s="6">
        <v>42409</v>
      </c>
      <c r="B46">
        <v>2005</v>
      </c>
      <c r="C46">
        <v>1080</v>
      </c>
      <c r="D46">
        <v>45</v>
      </c>
      <c r="E46">
        <v>6100</v>
      </c>
      <c r="F46" t="s">
        <v>25</v>
      </c>
      <c r="G46">
        <v>3</v>
      </c>
      <c r="H46" t="s">
        <v>68</v>
      </c>
      <c r="I46">
        <v>14</v>
      </c>
      <c r="J46" s="10">
        <f t="shared" si="0"/>
        <v>3</v>
      </c>
    </row>
    <row r="47" spans="1:10" x14ac:dyDescent="0.2">
      <c r="A47" s="6">
        <v>43361</v>
      </c>
      <c r="B47">
        <v>2004</v>
      </c>
      <c r="C47">
        <v>1083</v>
      </c>
      <c r="D47">
        <v>46</v>
      </c>
      <c r="E47">
        <v>6900</v>
      </c>
      <c r="F47" t="s">
        <v>25</v>
      </c>
      <c r="G47">
        <v>6</v>
      </c>
      <c r="H47" t="s">
        <v>68</v>
      </c>
      <c r="I47">
        <v>15</v>
      </c>
      <c r="J47" s="10">
        <f t="shared" si="0"/>
        <v>6</v>
      </c>
    </row>
    <row r="48" spans="1:10" x14ac:dyDescent="0.2">
      <c r="A48" s="6">
        <v>43158</v>
      </c>
      <c r="B48">
        <v>2004</v>
      </c>
      <c r="C48">
        <v>1083</v>
      </c>
      <c r="D48">
        <v>47</v>
      </c>
      <c r="E48">
        <v>8600</v>
      </c>
      <c r="F48" t="s">
        <v>25</v>
      </c>
      <c r="G48">
        <v>6</v>
      </c>
      <c r="H48" t="s">
        <v>68</v>
      </c>
      <c r="I48">
        <v>15</v>
      </c>
      <c r="J48" s="10">
        <f t="shared" si="0"/>
        <v>6</v>
      </c>
    </row>
    <row r="49" spans="1:10" x14ac:dyDescent="0.2">
      <c r="A49" s="6">
        <v>42761</v>
      </c>
      <c r="B49">
        <v>2004</v>
      </c>
      <c r="C49">
        <v>1083</v>
      </c>
      <c r="D49">
        <v>48</v>
      </c>
      <c r="E49">
        <v>6600</v>
      </c>
      <c r="F49" t="s">
        <v>25</v>
      </c>
      <c r="G49">
        <v>7</v>
      </c>
      <c r="H49" t="s">
        <v>68</v>
      </c>
      <c r="I49">
        <v>15</v>
      </c>
      <c r="J49" s="10">
        <f t="shared" si="0"/>
        <v>7</v>
      </c>
    </row>
    <row r="50" spans="1:10" x14ac:dyDescent="0.2">
      <c r="A50" s="6">
        <v>42549</v>
      </c>
      <c r="B50">
        <v>2004</v>
      </c>
      <c r="C50">
        <v>1083</v>
      </c>
      <c r="D50">
        <v>49</v>
      </c>
      <c r="E50">
        <v>7725</v>
      </c>
      <c r="F50" t="s">
        <v>25</v>
      </c>
      <c r="G50">
        <v>8</v>
      </c>
      <c r="H50" t="s">
        <v>68</v>
      </c>
      <c r="I50">
        <v>15</v>
      </c>
      <c r="J50" s="10">
        <f t="shared" si="0"/>
        <v>8</v>
      </c>
    </row>
    <row r="51" spans="1:10" x14ac:dyDescent="0.2">
      <c r="A51" s="6">
        <v>43635</v>
      </c>
      <c r="B51">
        <v>2004</v>
      </c>
      <c r="C51">
        <v>1096</v>
      </c>
      <c r="D51">
        <v>50</v>
      </c>
      <c r="E51">
        <v>6800</v>
      </c>
      <c r="F51" t="s">
        <v>25</v>
      </c>
      <c r="G51">
        <v>5</v>
      </c>
      <c r="H51" t="s">
        <v>68</v>
      </c>
      <c r="I51">
        <v>15</v>
      </c>
      <c r="J51" s="10">
        <f t="shared" si="0"/>
        <v>5</v>
      </c>
    </row>
    <row r="52" spans="1:10" x14ac:dyDescent="0.2">
      <c r="A52" s="6">
        <v>43586</v>
      </c>
      <c r="B52">
        <v>2003</v>
      </c>
      <c r="C52">
        <v>1096</v>
      </c>
      <c r="D52">
        <v>51</v>
      </c>
      <c r="E52">
        <v>7000</v>
      </c>
      <c r="F52" t="s">
        <v>25</v>
      </c>
      <c r="G52">
        <v>5</v>
      </c>
      <c r="H52" t="s">
        <v>68</v>
      </c>
      <c r="I52">
        <v>16</v>
      </c>
      <c r="J52" s="10">
        <f t="shared" si="0"/>
        <v>5</v>
      </c>
    </row>
    <row r="53" spans="1:10" x14ac:dyDescent="0.2">
      <c r="A53" s="6">
        <v>43361</v>
      </c>
      <c r="B53">
        <v>2003</v>
      </c>
      <c r="C53">
        <v>1096</v>
      </c>
      <c r="D53">
        <v>52</v>
      </c>
      <c r="E53">
        <v>7450</v>
      </c>
      <c r="F53" t="s">
        <v>25</v>
      </c>
      <c r="G53">
        <v>4</v>
      </c>
      <c r="H53" t="s">
        <v>68</v>
      </c>
      <c r="I53">
        <v>16</v>
      </c>
      <c r="J53" s="10">
        <f t="shared" si="0"/>
        <v>4</v>
      </c>
    </row>
    <row r="54" spans="1:10" x14ac:dyDescent="0.2">
      <c r="A54" s="6">
        <v>43341</v>
      </c>
      <c r="B54">
        <v>2004</v>
      </c>
      <c r="C54">
        <v>1096</v>
      </c>
      <c r="D54">
        <v>53</v>
      </c>
      <c r="E54">
        <v>7750</v>
      </c>
      <c r="F54" t="s">
        <v>25</v>
      </c>
      <c r="G54">
        <v>6</v>
      </c>
      <c r="H54" t="s">
        <v>68</v>
      </c>
      <c r="I54">
        <v>15</v>
      </c>
      <c r="J54" s="10">
        <f t="shared" si="0"/>
        <v>6</v>
      </c>
    </row>
    <row r="55" spans="1:10" x14ac:dyDescent="0.2">
      <c r="A55" s="6">
        <v>43166</v>
      </c>
      <c r="B55">
        <v>2003</v>
      </c>
      <c r="C55">
        <v>1096</v>
      </c>
      <c r="D55">
        <v>54</v>
      </c>
      <c r="E55">
        <v>7500</v>
      </c>
      <c r="F55" t="s">
        <v>25</v>
      </c>
      <c r="G55">
        <v>12</v>
      </c>
      <c r="H55" t="s">
        <v>68</v>
      </c>
      <c r="I55">
        <v>16</v>
      </c>
      <c r="J55" s="10">
        <f t="shared" si="0"/>
        <v>12</v>
      </c>
    </row>
    <row r="56" spans="1:10" x14ac:dyDescent="0.2">
      <c r="A56" s="6">
        <v>43052</v>
      </c>
      <c r="B56">
        <v>2004</v>
      </c>
      <c r="C56">
        <v>1096</v>
      </c>
      <c r="D56">
        <v>55</v>
      </c>
      <c r="E56">
        <v>7450</v>
      </c>
      <c r="F56" t="s">
        <v>25</v>
      </c>
      <c r="G56">
        <v>4</v>
      </c>
      <c r="H56" t="s">
        <v>68</v>
      </c>
      <c r="I56">
        <v>15</v>
      </c>
      <c r="J56" s="10">
        <f t="shared" si="0"/>
        <v>4</v>
      </c>
    </row>
    <row r="57" spans="1:10" x14ac:dyDescent="0.2">
      <c r="A57" s="6">
        <v>42906</v>
      </c>
      <c r="B57">
        <v>2004</v>
      </c>
      <c r="C57">
        <v>1096</v>
      </c>
      <c r="D57">
        <v>56</v>
      </c>
      <c r="E57">
        <v>7195</v>
      </c>
      <c r="F57" t="s">
        <v>25</v>
      </c>
      <c r="G57">
        <v>5</v>
      </c>
      <c r="H57" t="s">
        <v>68</v>
      </c>
      <c r="I57">
        <v>15</v>
      </c>
      <c r="J57" s="10">
        <f t="shared" si="0"/>
        <v>5</v>
      </c>
    </row>
    <row r="58" spans="1:10" x14ac:dyDescent="0.2">
      <c r="A58" s="6">
        <v>42871</v>
      </c>
      <c r="B58">
        <v>2004</v>
      </c>
      <c r="C58">
        <v>1096</v>
      </c>
      <c r="D58">
        <v>57</v>
      </c>
      <c r="E58">
        <v>7000</v>
      </c>
      <c r="F58" t="s">
        <v>25</v>
      </c>
      <c r="G58">
        <v>2</v>
      </c>
      <c r="H58" t="s">
        <v>68</v>
      </c>
      <c r="I58">
        <v>15</v>
      </c>
      <c r="J58" s="10">
        <f t="shared" si="0"/>
        <v>2</v>
      </c>
    </row>
    <row r="59" spans="1:10" x14ac:dyDescent="0.2">
      <c r="A59" s="6">
        <v>42789</v>
      </c>
      <c r="B59">
        <v>2003</v>
      </c>
      <c r="C59">
        <v>1096</v>
      </c>
      <c r="D59">
        <v>58</v>
      </c>
      <c r="E59">
        <v>6000</v>
      </c>
      <c r="F59" t="s">
        <v>25</v>
      </c>
      <c r="G59">
        <v>12</v>
      </c>
      <c r="H59" t="s">
        <v>68</v>
      </c>
      <c r="I59">
        <v>16</v>
      </c>
      <c r="J59" s="10">
        <f t="shared" si="0"/>
        <v>12</v>
      </c>
    </row>
    <row r="60" spans="1:10" x14ac:dyDescent="0.2">
      <c r="A60" s="6">
        <v>42639</v>
      </c>
      <c r="B60">
        <v>2003</v>
      </c>
      <c r="C60">
        <v>1096</v>
      </c>
      <c r="D60">
        <v>59</v>
      </c>
      <c r="E60">
        <v>6850</v>
      </c>
      <c r="F60" t="s">
        <v>25</v>
      </c>
      <c r="G60">
        <v>3</v>
      </c>
      <c r="H60" t="s">
        <v>68</v>
      </c>
      <c r="I60">
        <v>16</v>
      </c>
      <c r="J60" s="10">
        <f t="shared" si="0"/>
        <v>3</v>
      </c>
    </row>
    <row r="61" spans="1:10" x14ac:dyDescent="0.2">
      <c r="A61" s="6">
        <v>42522</v>
      </c>
      <c r="B61">
        <v>2003</v>
      </c>
      <c r="C61">
        <v>1096</v>
      </c>
      <c r="D61">
        <v>60</v>
      </c>
      <c r="E61">
        <v>7000</v>
      </c>
      <c r="F61" t="s">
        <v>25</v>
      </c>
      <c r="G61">
        <v>8</v>
      </c>
      <c r="H61" t="s">
        <v>68</v>
      </c>
      <c r="I61">
        <v>16</v>
      </c>
      <c r="J61" s="10">
        <f t="shared" si="0"/>
        <v>8</v>
      </c>
    </row>
    <row r="62" spans="1:10" x14ac:dyDescent="0.2">
      <c r="A62" s="6">
        <v>42437</v>
      </c>
      <c r="B62">
        <v>2004</v>
      </c>
      <c r="C62">
        <v>1096</v>
      </c>
      <c r="D62">
        <v>61</v>
      </c>
      <c r="E62">
        <v>8000</v>
      </c>
      <c r="F62" t="s">
        <v>25</v>
      </c>
      <c r="G62">
        <v>10</v>
      </c>
      <c r="H62" t="s">
        <v>68</v>
      </c>
      <c r="I62">
        <v>15</v>
      </c>
      <c r="J62" s="10">
        <f t="shared" si="0"/>
        <v>10</v>
      </c>
    </row>
    <row r="63" spans="1:10" x14ac:dyDescent="0.2">
      <c r="A63" s="6">
        <v>43593</v>
      </c>
      <c r="B63">
        <v>2005</v>
      </c>
      <c r="C63">
        <v>1100</v>
      </c>
      <c r="D63">
        <v>62</v>
      </c>
      <c r="E63">
        <v>6150</v>
      </c>
      <c r="F63" t="s">
        <v>25</v>
      </c>
      <c r="G63">
        <v>60</v>
      </c>
      <c r="H63" t="s">
        <v>26</v>
      </c>
      <c r="I63">
        <v>14</v>
      </c>
      <c r="J63" s="10">
        <f t="shared" si="0"/>
        <v>2</v>
      </c>
    </row>
    <row r="64" spans="1:10" x14ac:dyDescent="0.2">
      <c r="A64" s="6">
        <v>43214</v>
      </c>
      <c r="B64">
        <v>2003</v>
      </c>
      <c r="C64">
        <v>1100</v>
      </c>
      <c r="D64">
        <v>63</v>
      </c>
      <c r="E64">
        <v>8000</v>
      </c>
      <c r="F64" t="s">
        <v>25</v>
      </c>
      <c r="G64">
        <v>5</v>
      </c>
      <c r="H64" t="s">
        <v>68</v>
      </c>
      <c r="I64">
        <v>16</v>
      </c>
      <c r="J64" s="10">
        <f t="shared" si="0"/>
        <v>5</v>
      </c>
    </row>
    <row r="65" spans="1:10" x14ac:dyDescent="0.2">
      <c r="A65" s="6">
        <v>42710</v>
      </c>
      <c r="B65">
        <v>2003</v>
      </c>
      <c r="C65">
        <v>1100</v>
      </c>
      <c r="D65">
        <v>64</v>
      </c>
      <c r="E65">
        <v>6500</v>
      </c>
      <c r="F65" t="s">
        <v>25</v>
      </c>
      <c r="G65">
        <v>120</v>
      </c>
      <c r="H65" t="s">
        <v>26</v>
      </c>
      <c r="I65">
        <v>16</v>
      </c>
      <c r="J65" s="10">
        <f t="shared" si="0"/>
        <v>4</v>
      </c>
    </row>
    <row r="66" spans="1:10" x14ac:dyDescent="0.2">
      <c r="A66" s="6">
        <v>43636</v>
      </c>
      <c r="B66">
        <v>2002</v>
      </c>
      <c r="C66">
        <v>1102</v>
      </c>
      <c r="D66">
        <v>65</v>
      </c>
      <c r="E66">
        <v>5500</v>
      </c>
      <c r="F66" t="s">
        <v>25</v>
      </c>
      <c r="G66">
        <v>4</v>
      </c>
      <c r="H66" t="s">
        <v>68</v>
      </c>
      <c r="I66">
        <v>17</v>
      </c>
      <c r="J66" s="10">
        <f t="shared" ref="J66:J129" si="1">IF(H66="days",ROUND(G66/30,0),IF(H66="years",G66*12,G66))</f>
        <v>4</v>
      </c>
    </row>
    <row r="67" spans="1:10" x14ac:dyDescent="0.2">
      <c r="A67" s="6">
        <v>42948</v>
      </c>
      <c r="B67">
        <v>2002</v>
      </c>
      <c r="C67">
        <v>1102</v>
      </c>
      <c r="D67">
        <v>66</v>
      </c>
      <c r="E67">
        <v>6000</v>
      </c>
      <c r="F67" t="s">
        <v>25</v>
      </c>
      <c r="G67">
        <v>6</v>
      </c>
      <c r="H67" t="s">
        <v>68</v>
      </c>
      <c r="I67">
        <v>17</v>
      </c>
      <c r="J67" s="10">
        <f t="shared" si="1"/>
        <v>6</v>
      </c>
    </row>
    <row r="68" spans="1:10" x14ac:dyDescent="0.2">
      <c r="A68" s="6">
        <v>43593</v>
      </c>
      <c r="B68">
        <v>2003</v>
      </c>
      <c r="C68">
        <v>1118</v>
      </c>
      <c r="D68">
        <v>67</v>
      </c>
      <c r="E68">
        <v>7100</v>
      </c>
      <c r="F68" t="s">
        <v>25</v>
      </c>
      <c r="G68">
        <v>2</v>
      </c>
      <c r="H68" t="s">
        <v>68</v>
      </c>
      <c r="I68">
        <v>16</v>
      </c>
      <c r="J68" s="10">
        <f t="shared" si="1"/>
        <v>2</v>
      </c>
    </row>
    <row r="69" spans="1:10" x14ac:dyDescent="0.2">
      <c r="A69" s="6">
        <v>43563</v>
      </c>
      <c r="B69">
        <v>2005</v>
      </c>
      <c r="C69">
        <v>1118</v>
      </c>
      <c r="D69">
        <v>68</v>
      </c>
      <c r="E69">
        <v>6800</v>
      </c>
      <c r="F69" t="s">
        <v>25</v>
      </c>
      <c r="G69">
        <v>2</v>
      </c>
      <c r="H69" t="s">
        <v>69</v>
      </c>
      <c r="I69">
        <v>14</v>
      </c>
      <c r="J69" s="10">
        <f t="shared" si="1"/>
        <v>24</v>
      </c>
    </row>
    <row r="70" spans="1:10" x14ac:dyDescent="0.2">
      <c r="A70" s="6">
        <v>43458</v>
      </c>
      <c r="B70">
        <v>2005</v>
      </c>
      <c r="C70">
        <v>1118</v>
      </c>
      <c r="D70">
        <v>69</v>
      </c>
      <c r="E70">
        <v>6150</v>
      </c>
      <c r="F70" t="s">
        <v>25</v>
      </c>
      <c r="G70">
        <v>5</v>
      </c>
      <c r="H70" t="s">
        <v>68</v>
      </c>
      <c r="I70">
        <v>14</v>
      </c>
      <c r="J70" s="10">
        <f t="shared" si="1"/>
        <v>5</v>
      </c>
    </row>
    <row r="71" spans="1:10" x14ac:dyDescent="0.2">
      <c r="A71" s="6">
        <v>43446</v>
      </c>
      <c r="B71">
        <v>2005</v>
      </c>
      <c r="C71">
        <v>1118</v>
      </c>
      <c r="D71">
        <v>70</v>
      </c>
      <c r="E71">
        <v>7000</v>
      </c>
      <c r="F71" t="s">
        <v>25</v>
      </c>
      <c r="G71">
        <v>8</v>
      </c>
      <c r="H71" t="s">
        <v>68</v>
      </c>
      <c r="I71">
        <v>14</v>
      </c>
      <c r="J71" s="10">
        <f t="shared" si="1"/>
        <v>8</v>
      </c>
    </row>
    <row r="72" spans="1:10" x14ac:dyDescent="0.2">
      <c r="A72" s="6">
        <v>43391</v>
      </c>
      <c r="B72">
        <v>2005</v>
      </c>
      <c r="C72">
        <v>1118</v>
      </c>
      <c r="D72">
        <v>71</v>
      </c>
      <c r="E72">
        <v>7500</v>
      </c>
      <c r="F72" t="s">
        <v>25</v>
      </c>
      <c r="G72">
        <v>30</v>
      </c>
      <c r="H72" t="s">
        <v>26</v>
      </c>
      <c r="I72">
        <v>14</v>
      </c>
      <c r="J72" s="10">
        <f t="shared" si="1"/>
        <v>1</v>
      </c>
    </row>
    <row r="73" spans="1:10" x14ac:dyDescent="0.2">
      <c r="A73" s="6">
        <v>43370</v>
      </c>
      <c r="B73">
        <v>2005</v>
      </c>
      <c r="C73">
        <v>1118</v>
      </c>
      <c r="D73">
        <v>72</v>
      </c>
      <c r="E73">
        <v>6750</v>
      </c>
      <c r="F73" t="s">
        <v>25</v>
      </c>
      <c r="G73">
        <v>7</v>
      </c>
      <c r="H73" t="s">
        <v>68</v>
      </c>
      <c r="I73">
        <v>14</v>
      </c>
      <c r="J73" s="10">
        <f t="shared" si="1"/>
        <v>7</v>
      </c>
    </row>
    <row r="74" spans="1:10" x14ac:dyDescent="0.2">
      <c r="A74" s="6">
        <v>43266</v>
      </c>
      <c r="B74">
        <v>2005</v>
      </c>
      <c r="C74">
        <v>1118</v>
      </c>
      <c r="D74">
        <v>73</v>
      </c>
      <c r="E74">
        <v>8000</v>
      </c>
      <c r="F74" t="s">
        <v>25</v>
      </c>
      <c r="G74">
        <v>5</v>
      </c>
      <c r="H74" t="s">
        <v>68</v>
      </c>
      <c r="I74">
        <v>14</v>
      </c>
      <c r="J74" s="10">
        <f t="shared" si="1"/>
        <v>5</v>
      </c>
    </row>
    <row r="75" spans="1:10" x14ac:dyDescent="0.2">
      <c r="A75" s="6">
        <v>43234</v>
      </c>
      <c r="B75">
        <v>2005</v>
      </c>
      <c r="C75">
        <v>1118</v>
      </c>
      <c r="D75">
        <v>74</v>
      </c>
      <c r="E75">
        <v>8000</v>
      </c>
      <c r="F75" t="s">
        <v>25</v>
      </c>
      <c r="G75">
        <v>6</v>
      </c>
      <c r="H75" t="s">
        <v>68</v>
      </c>
      <c r="I75">
        <v>14</v>
      </c>
      <c r="J75" s="10">
        <f t="shared" si="1"/>
        <v>6</v>
      </c>
    </row>
    <row r="76" spans="1:10" x14ac:dyDescent="0.2">
      <c r="A76" s="6">
        <v>43227</v>
      </c>
      <c r="B76">
        <v>2005</v>
      </c>
      <c r="C76">
        <v>1118</v>
      </c>
      <c r="D76">
        <v>75</v>
      </c>
      <c r="E76">
        <v>8500</v>
      </c>
      <c r="F76" t="s">
        <v>25</v>
      </c>
      <c r="G76">
        <v>45</v>
      </c>
      <c r="H76" t="s">
        <v>26</v>
      </c>
      <c r="I76">
        <v>14</v>
      </c>
      <c r="J76" s="10">
        <f t="shared" si="1"/>
        <v>2</v>
      </c>
    </row>
    <row r="77" spans="1:10" x14ac:dyDescent="0.2">
      <c r="A77" s="6">
        <v>43188</v>
      </c>
      <c r="B77">
        <v>2005</v>
      </c>
      <c r="C77">
        <v>1118</v>
      </c>
      <c r="D77">
        <v>76</v>
      </c>
      <c r="E77">
        <v>8400</v>
      </c>
      <c r="F77" t="s">
        <v>25</v>
      </c>
      <c r="G77">
        <v>6</v>
      </c>
      <c r="H77" t="s">
        <v>68</v>
      </c>
      <c r="I77">
        <v>14</v>
      </c>
      <c r="J77" s="10">
        <f t="shared" si="1"/>
        <v>6</v>
      </c>
    </row>
    <row r="78" spans="1:10" x14ac:dyDescent="0.2">
      <c r="A78" s="6">
        <v>43139</v>
      </c>
      <c r="B78">
        <v>2005</v>
      </c>
      <c r="C78">
        <v>1118</v>
      </c>
      <c r="D78">
        <v>77</v>
      </c>
      <c r="E78">
        <v>6500</v>
      </c>
      <c r="F78" t="s">
        <v>25</v>
      </c>
      <c r="G78">
        <v>8</v>
      </c>
      <c r="H78" t="s">
        <v>68</v>
      </c>
      <c r="I78">
        <v>14</v>
      </c>
      <c r="J78" s="10">
        <f t="shared" si="1"/>
        <v>8</v>
      </c>
    </row>
    <row r="79" spans="1:10" x14ac:dyDescent="0.2">
      <c r="A79" s="6">
        <v>43099</v>
      </c>
      <c r="B79">
        <v>2005</v>
      </c>
      <c r="C79">
        <v>1118</v>
      </c>
      <c r="D79">
        <v>78</v>
      </c>
      <c r="E79">
        <v>7800</v>
      </c>
      <c r="F79" t="s">
        <v>25</v>
      </c>
      <c r="G79">
        <v>4</v>
      </c>
      <c r="H79" t="s">
        <v>68</v>
      </c>
      <c r="I79">
        <v>14</v>
      </c>
      <c r="J79" s="10">
        <f t="shared" si="1"/>
        <v>4</v>
      </c>
    </row>
    <row r="80" spans="1:10" x14ac:dyDescent="0.2">
      <c r="A80" s="6">
        <v>43075</v>
      </c>
      <c r="B80">
        <v>2005</v>
      </c>
      <c r="C80">
        <v>1118</v>
      </c>
      <c r="D80">
        <v>79</v>
      </c>
      <c r="E80">
        <v>5800</v>
      </c>
      <c r="F80" t="s">
        <v>25</v>
      </c>
      <c r="G80">
        <v>5</v>
      </c>
      <c r="H80" t="s">
        <v>68</v>
      </c>
      <c r="I80">
        <v>14</v>
      </c>
      <c r="J80" s="10">
        <f t="shared" si="1"/>
        <v>5</v>
      </c>
    </row>
    <row r="81" spans="1:10" x14ac:dyDescent="0.2">
      <c r="A81" s="6">
        <v>43070</v>
      </c>
      <c r="B81">
        <v>2005</v>
      </c>
      <c r="C81">
        <v>1118</v>
      </c>
      <c r="D81">
        <v>80</v>
      </c>
      <c r="E81">
        <v>6200</v>
      </c>
      <c r="F81" t="s">
        <v>25</v>
      </c>
      <c r="G81">
        <v>100</v>
      </c>
      <c r="H81" t="s">
        <v>26</v>
      </c>
      <c r="I81">
        <v>14</v>
      </c>
      <c r="J81" s="10">
        <f t="shared" si="1"/>
        <v>3</v>
      </c>
    </row>
    <row r="82" spans="1:10" x14ac:dyDescent="0.2">
      <c r="A82" s="6">
        <v>43063</v>
      </c>
      <c r="B82">
        <v>2003</v>
      </c>
      <c r="C82">
        <v>1118</v>
      </c>
      <c r="D82">
        <v>81</v>
      </c>
      <c r="E82">
        <v>5600</v>
      </c>
      <c r="F82" t="s">
        <v>25</v>
      </c>
      <c r="G82">
        <v>40</v>
      </c>
      <c r="H82" t="s">
        <v>26</v>
      </c>
      <c r="I82">
        <v>16</v>
      </c>
      <c r="J82" s="10">
        <f t="shared" si="1"/>
        <v>1</v>
      </c>
    </row>
    <row r="83" spans="1:10" x14ac:dyDescent="0.2">
      <c r="A83" s="6">
        <v>43021</v>
      </c>
      <c r="B83">
        <v>2005</v>
      </c>
      <c r="C83">
        <v>1118</v>
      </c>
      <c r="D83">
        <v>82</v>
      </c>
      <c r="E83">
        <v>5500</v>
      </c>
      <c r="F83" t="s">
        <v>25</v>
      </c>
      <c r="G83">
        <v>2</v>
      </c>
      <c r="H83" t="s">
        <v>68</v>
      </c>
      <c r="I83">
        <v>14</v>
      </c>
      <c r="J83" s="10">
        <f t="shared" si="1"/>
        <v>2</v>
      </c>
    </row>
    <row r="84" spans="1:10" x14ac:dyDescent="0.2">
      <c r="A84" s="6">
        <v>43017</v>
      </c>
      <c r="B84">
        <v>2005</v>
      </c>
      <c r="C84">
        <v>1118</v>
      </c>
      <c r="D84">
        <v>83</v>
      </c>
      <c r="E84">
        <v>5600</v>
      </c>
      <c r="F84" t="s">
        <v>25</v>
      </c>
      <c r="G84">
        <v>6</v>
      </c>
      <c r="H84" t="s">
        <v>68</v>
      </c>
      <c r="I84">
        <v>14</v>
      </c>
      <c r="J84" s="10">
        <f t="shared" si="1"/>
        <v>6</v>
      </c>
    </row>
    <row r="85" spans="1:10" x14ac:dyDescent="0.2">
      <c r="A85" s="6">
        <v>42997</v>
      </c>
      <c r="B85">
        <v>2005</v>
      </c>
      <c r="C85">
        <v>1118</v>
      </c>
      <c r="D85">
        <v>84</v>
      </c>
      <c r="E85">
        <v>5900</v>
      </c>
      <c r="F85" t="s">
        <v>25</v>
      </c>
      <c r="G85">
        <v>6</v>
      </c>
      <c r="H85" t="s">
        <v>68</v>
      </c>
      <c r="I85">
        <v>14</v>
      </c>
      <c r="J85" s="10">
        <f t="shared" si="1"/>
        <v>6</v>
      </c>
    </row>
    <row r="86" spans="1:10" x14ac:dyDescent="0.2">
      <c r="A86" s="6">
        <v>42968</v>
      </c>
      <c r="B86">
        <v>2002</v>
      </c>
      <c r="C86">
        <v>1118</v>
      </c>
      <c r="D86">
        <v>85</v>
      </c>
      <c r="E86">
        <v>5600</v>
      </c>
      <c r="F86" t="s">
        <v>25</v>
      </c>
      <c r="G86">
        <v>6</v>
      </c>
      <c r="H86" t="s">
        <v>68</v>
      </c>
      <c r="I86">
        <v>17</v>
      </c>
      <c r="J86" s="10">
        <f t="shared" si="1"/>
        <v>6</v>
      </c>
    </row>
    <row r="87" spans="1:10" x14ac:dyDescent="0.2">
      <c r="A87" s="6">
        <v>42968</v>
      </c>
      <c r="B87">
        <v>2005</v>
      </c>
      <c r="C87">
        <v>1118</v>
      </c>
      <c r="D87">
        <v>86</v>
      </c>
      <c r="E87">
        <v>7000</v>
      </c>
      <c r="F87" t="s">
        <v>25</v>
      </c>
      <c r="G87">
        <v>7</v>
      </c>
      <c r="H87" t="s">
        <v>68</v>
      </c>
      <c r="I87">
        <v>14</v>
      </c>
      <c r="J87" s="10">
        <f t="shared" si="1"/>
        <v>7</v>
      </c>
    </row>
    <row r="88" spans="1:10" x14ac:dyDescent="0.2">
      <c r="A88" s="6">
        <v>42920</v>
      </c>
      <c r="B88">
        <v>2003</v>
      </c>
      <c r="C88">
        <v>1118</v>
      </c>
      <c r="D88">
        <v>87</v>
      </c>
      <c r="E88">
        <v>5500</v>
      </c>
      <c r="F88" t="s">
        <v>25</v>
      </c>
      <c r="G88">
        <v>9</v>
      </c>
      <c r="H88" t="s">
        <v>68</v>
      </c>
      <c r="I88">
        <v>16</v>
      </c>
      <c r="J88" s="10">
        <f t="shared" si="1"/>
        <v>9</v>
      </c>
    </row>
    <row r="89" spans="1:10" x14ac:dyDescent="0.2">
      <c r="A89" s="6">
        <v>42916</v>
      </c>
      <c r="B89">
        <v>2002</v>
      </c>
      <c r="C89">
        <v>1118</v>
      </c>
      <c r="D89">
        <v>88</v>
      </c>
      <c r="E89">
        <v>5450</v>
      </c>
      <c r="F89" t="s">
        <v>25</v>
      </c>
      <c r="G89">
        <v>3</v>
      </c>
      <c r="H89" t="s">
        <v>68</v>
      </c>
      <c r="I89">
        <v>17</v>
      </c>
      <c r="J89" s="10">
        <f t="shared" si="1"/>
        <v>3</v>
      </c>
    </row>
    <row r="90" spans="1:10" x14ac:dyDescent="0.2">
      <c r="A90" s="6">
        <v>42900</v>
      </c>
      <c r="B90">
        <v>2005</v>
      </c>
      <c r="C90">
        <v>1118</v>
      </c>
      <c r="D90">
        <v>89</v>
      </c>
      <c r="E90">
        <v>5500</v>
      </c>
      <c r="F90" t="s">
        <v>25</v>
      </c>
      <c r="G90">
        <v>42</v>
      </c>
      <c r="H90" t="s">
        <v>26</v>
      </c>
      <c r="I90">
        <v>14</v>
      </c>
      <c r="J90" s="10">
        <f t="shared" si="1"/>
        <v>1</v>
      </c>
    </row>
    <row r="91" spans="1:10" x14ac:dyDescent="0.2">
      <c r="A91" s="6">
        <v>42874</v>
      </c>
      <c r="B91">
        <v>2005</v>
      </c>
      <c r="C91">
        <v>1118</v>
      </c>
      <c r="D91">
        <v>90</v>
      </c>
      <c r="E91">
        <v>5750</v>
      </c>
      <c r="F91" t="s">
        <v>25</v>
      </c>
      <c r="G91">
        <v>42</v>
      </c>
      <c r="H91" t="s">
        <v>26</v>
      </c>
      <c r="I91">
        <v>14</v>
      </c>
      <c r="J91" s="10">
        <f t="shared" si="1"/>
        <v>1</v>
      </c>
    </row>
    <row r="92" spans="1:10" x14ac:dyDescent="0.2">
      <c r="A92" s="6">
        <v>42846</v>
      </c>
      <c r="B92">
        <v>2003</v>
      </c>
      <c r="C92">
        <v>1118</v>
      </c>
      <c r="D92">
        <v>91</v>
      </c>
      <c r="E92">
        <v>5800</v>
      </c>
      <c r="F92" t="s">
        <v>25</v>
      </c>
      <c r="G92">
        <v>4</v>
      </c>
      <c r="H92" t="s">
        <v>68</v>
      </c>
      <c r="I92">
        <v>16</v>
      </c>
      <c r="J92" s="10">
        <f t="shared" si="1"/>
        <v>4</v>
      </c>
    </row>
    <row r="93" spans="1:10" x14ac:dyDescent="0.2">
      <c r="A93" s="6">
        <v>42789</v>
      </c>
      <c r="B93">
        <v>2005</v>
      </c>
      <c r="C93">
        <v>1118</v>
      </c>
      <c r="D93">
        <v>92</v>
      </c>
      <c r="E93">
        <v>5500</v>
      </c>
      <c r="F93" t="s">
        <v>25</v>
      </c>
      <c r="G93">
        <v>7</v>
      </c>
      <c r="H93" t="s">
        <v>68</v>
      </c>
      <c r="I93">
        <v>14</v>
      </c>
      <c r="J93" s="10">
        <f t="shared" si="1"/>
        <v>7</v>
      </c>
    </row>
    <row r="94" spans="1:10" x14ac:dyDescent="0.2">
      <c r="A94" s="6">
        <v>42786</v>
      </c>
      <c r="B94">
        <v>2005</v>
      </c>
      <c r="C94">
        <v>1118</v>
      </c>
      <c r="D94">
        <v>93</v>
      </c>
      <c r="E94">
        <v>5500</v>
      </c>
      <c r="F94" t="s">
        <v>25</v>
      </c>
      <c r="G94">
        <v>7</v>
      </c>
      <c r="H94" t="s">
        <v>68</v>
      </c>
      <c r="I94">
        <v>14</v>
      </c>
      <c r="J94" s="10">
        <f t="shared" si="1"/>
        <v>7</v>
      </c>
    </row>
    <row r="95" spans="1:10" x14ac:dyDescent="0.2">
      <c r="A95" s="6">
        <v>42753</v>
      </c>
      <c r="B95">
        <v>2002</v>
      </c>
      <c r="C95">
        <v>1118</v>
      </c>
      <c r="D95">
        <v>94</v>
      </c>
      <c r="E95">
        <v>5500</v>
      </c>
      <c r="F95" t="s">
        <v>25</v>
      </c>
      <c r="G95">
        <v>6</v>
      </c>
      <c r="H95" t="s">
        <v>68</v>
      </c>
      <c r="I95">
        <v>17</v>
      </c>
      <c r="J95" s="10">
        <f t="shared" si="1"/>
        <v>6</v>
      </c>
    </row>
    <row r="96" spans="1:10" x14ac:dyDescent="0.2">
      <c r="A96" s="6">
        <v>42734</v>
      </c>
      <c r="B96">
        <v>2005</v>
      </c>
      <c r="C96">
        <v>1118</v>
      </c>
      <c r="D96">
        <v>95</v>
      </c>
      <c r="E96">
        <v>6500</v>
      </c>
      <c r="F96" t="s">
        <v>25</v>
      </c>
      <c r="G96">
        <v>12</v>
      </c>
      <c r="H96" t="s">
        <v>68</v>
      </c>
      <c r="I96">
        <v>14</v>
      </c>
      <c r="J96" s="10">
        <f t="shared" si="1"/>
        <v>12</v>
      </c>
    </row>
    <row r="97" spans="1:10" x14ac:dyDescent="0.2">
      <c r="A97" s="6">
        <v>42709</v>
      </c>
      <c r="B97">
        <v>2005</v>
      </c>
      <c r="C97">
        <v>1118</v>
      </c>
      <c r="D97">
        <v>96</v>
      </c>
      <c r="E97">
        <v>5500</v>
      </c>
      <c r="F97" t="s">
        <v>25</v>
      </c>
      <c r="G97">
        <v>5</v>
      </c>
      <c r="H97" t="s">
        <v>68</v>
      </c>
      <c r="I97">
        <v>14</v>
      </c>
      <c r="J97" s="10">
        <f t="shared" si="1"/>
        <v>5</v>
      </c>
    </row>
    <row r="98" spans="1:10" x14ac:dyDescent="0.2">
      <c r="A98" s="6">
        <v>42709</v>
      </c>
      <c r="B98">
        <v>2005</v>
      </c>
      <c r="C98">
        <v>1118</v>
      </c>
      <c r="D98">
        <v>97</v>
      </c>
      <c r="E98">
        <v>5500</v>
      </c>
      <c r="F98" t="s">
        <v>25</v>
      </c>
      <c r="G98">
        <v>5</v>
      </c>
      <c r="H98" t="s">
        <v>68</v>
      </c>
      <c r="I98">
        <v>14</v>
      </c>
      <c r="J98" s="10">
        <f t="shared" si="1"/>
        <v>5</v>
      </c>
    </row>
    <row r="99" spans="1:10" x14ac:dyDescent="0.2">
      <c r="A99" s="6">
        <v>42702</v>
      </c>
      <c r="B99">
        <v>2005</v>
      </c>
      <c r="C99">
        <v>1118</v>
      </c>
      <c r="D99">
        <v>98</v>
      </c>
      <c r="E99">
        <v>5500</v>
      </c>
      <c r="F99" t="s">
        <v>25</v>
      </c>
      <c r="G99">
        <v>3</v>
      </c>
      <c r="H99" t="s">
        <v>68</v>
      </c>
      <c r="I99">
        <v>14</v>
      </c>
      <c r="J99" s="10">
        <f t="shared" si="1"/>
        <v>3</v>
      </c>
    </row>
    <row r="100" spans="1:10" x14ac:dyDescent="0.2">
      <c r="A100" s="6">
        <v>42689</v>
      </c>
      <c r="B100">
        <v>2003</v>
      </c>
      <c r="C100">
        <v>1118</v>
      </c>
      <c r="D100">
        <v>99</v>
      </c>
      <c r="E100">
        <v>5500</v>
      </c>
      <c r="F100" t="s">
        <v>25</v>
      </c>
      <c r="G100">
        <v>12</v>
      </c>
      <c r="H100" t="s">
        <v>68</v>
      </c>
      <c r="I100">
        <v>16</v>
      </c>
      <c r="J100" s="10">
        <f t="shared" si="1"/>
        <v>12</v>
      </c>
    </row>
    <row r="101" spans="1:10" x14ac:dyDescent="0.2">
      <c r="A101" s="6">
        <v>42675</v>
      </c>
      <c r="B101">
        <v>2003</v>
      </c>
      <c r="C101">
        <v>1118</v>
      </c>
      <c r="D101">
        <v>100</v>
      </c>
      <c r="E101">
        <v>5650</v>
      </c>
      <c r="F101" t="s">
        <v>25</v>
      </c>
      <c r="G101">
        <v>6</v>
      </c>
      <c r="H101" t="s">
        <v>68</v>
      </c>
      <c r="I101">
        <v>16</v>
      </c>
      <c r="J101" s="10">
        <f t="shared" si="1"/>
        <v>6</v>
      </c>
    </row>
    <row r="102" spans="1:10" x14ac:dyDescent="0.2">
      <c r="A102" s="6">
        <v>42668</v>
      </c>
      <c r="B102">
        <v>2002</v>
      </c>
      <c r="C102">
        <v>1118</v>
      </c>
      <c r="D102">
        <v>101</v>
      </c>
      <c r="E102">
        <v>5500</v>
      </c>
      <c r="F102" t="s">
        <v>25</v>
      </c>
      <c r="G102">
        <v>12</v>
      </c>
      <c r="H102" t="s">
        <v>68</v>
      </c>
      <c r="I102">
        <v>17</v>
      </c>
      <c r="J102" s="10">
        <f t="shared" si="1"/>
        <v>12</v>
      </c>
    </row>
    <row r="103" spans="1:10" x14ac:dyDescent="0.2">
      <c r="A103" s="6">
        <v>42626</v>
      </c>
      <c r="B103">
        <v>2005</v>
      </c>
      <c r="C103">
        <v>1118</v>
      </c>
      <c r="D103">
        <v>102</v>
      </c>
      <c r="E103">
        <v>6450</v>
      </c>
      <c r="F103" t="s">
        <v>25</v>
      </c>
      <c r="G103">
        <v>13</v>
      </c>
      <c r="H103" t="s">
        <v>68</v>
      </c>
      <c r="I103">
        <v>14</v>
      </c>
      <c r="J103" s="10">
        <f t="shared" si="1"/>
        <v>13</v>
      </c>
    </row>
    <row r="104" spans="1:10" x14ac:dyDescent="0.2">
      <c r="A104" s="6">
        <v>42592</v>
      </c>
      <c r="B104">
        <v>2005</v>
      </c>
      <c r="C104">
        <v>1118</v>
      </c>
      <c r="D104">
        <v>103</v>
      </c>
      <c r="E104">
        <v>6000</v>
      </c>
      <c r="F104" t="s">
        <v>25</v>
      </c>
      <c r="G104">
        <v>3</v>
      </c>
      <c r="H104" t="s">
        <v>68</v>
      </c>
      <c r="I104">
        <v>14</v>
      </c>
      <c r="J104" s="10">
        <f t="shared" si="1"/>
        <v>3</v>
      </c>
    </row>
    <row r="105" spans="1:10" x14ac:dyDescent="0.2">
      <c r="A105" s="6">
        <v>42556</v>
      </c>
      <c r="B105">
        <v>2005</v>
      </c>
      <c r="C105">
        <v>1118</v>
      </c>
      <c r="D105">
        <v>104</v>
      </c>
      <c r="E105">
        <v>6000</v>
      </c>
      <c r="F105" t="s">
        <v>25</v>
      </c>
      <c r="G105">
        <v>12</v>
      </c>
      <c r="H105" t="s">
        <v>68</v>
      </c>
      <c r="I105">
        <v>14</v>
      </c>
      <c r="J105" s="10">
        <f t="shared" si="1"/>
        <v>12</v>
      </c>
    </row>
    <row r="106" spans="1:10" x14ac:dyDescent="0.2">
      <c r="A106" s="6">
        <v>42491</v>
      </c>
      <c r="B106">
        <v>2005</v>
      </c>
      <c r="C106">
        <v>1118</v>
      </c>
      <c r="D106">
        <v>105</v>
      </c>
      <c r="E106">
        <v>6000</v>
      </c>
      <c r="F106" t="s">
        <v>25</v>
      </c>
      <c r="G106">
        <v>6</v>
      </c>
      <c r="H106" t="s">
        <v>68</v>
      </c>
      <c r="I106">
        <v>14</v>
      </c>
      <c r="J106" s="10">
        <f t="shared" si="1"/>
        <v>6</v>
      </c>
    </row>
    <row r="107" spans="1:10" x14ac:dyDescent="0.2">
      <c r="A107" s="6">
        <v>42465</v>
      </c>
      <c r="B107">
        <v>2005</v>
      </c>
      <c r="C107">
        <v>1118</v>
      </c>
      <c r="D107">
        <v>106</v>
      </c>
      <c r="E107">
        <v>7995</v>
      </c>
      <c r="F107" t="s">
        <v>25</v>
      </c>
      <c r="G107">
        <v>6</v>
      </c>
      <c r="H107" t="s">
        <v>68</v>
      </c>
      <c r="I107">
        <v>14</v>
      </c>
      <c r="J107" s="10">
        <f t="shared" si="1"/>
        <v>6</v>
      </c>
    </row>
    <row r="108" spans="1:10" x14ac:dyDescent="0.2">
      <c r="A108" s="6">
        <v>42460</v>
      </c>
      <c r="B108">
        <v>2002</v>
      </c>
      <c r="C108">
        <v>1118</v>
      </c>
      <c r="D108">
        <v>107</v>
      </c>
      <c r="E108">
        <v>7000</v>
      </c>
      <c r="F108" t="s">
        <v>25</v>
      </c>
      <c r="G108">
        <v>6</v>
      </c>
      <c r="H108" t="s">
        <v>68</v>
      </c>
      <c r="I108">
        <v>17</v>
      </c>
      <c r="J108" s="10">
        <f t="shared" si="1"/>
        <v>6</v>
      </c>
    </row>
    <row r="109" spans="1:10" x14ac:dyDescent="0.2">
      <c r="A109" s="6">
        <v>42436</v>
      </c>
      <c r="B109">
        <v>2003</v>
      </c>
      <c r="C109">
        <v>1118</v>
      </c>
      <c r="D109">
        <v>108</v>
      </c>
      <c r="E109">
        <v>6150</v>
      </c>
      <c r="F109" t="s">
        <v>25</v>
      </c>
      <c r="G109">
        <v>4</v>
      </c>
      <c r="H109" t="s">
        <v>68</v>
      </c>
      <c r="I109">
        <v>16</v>
      </c>
      <c r="J109" s="10">
        <f t="shared" si="1"/>
        <v>4</v>
      </c>
    </row>
    <row r="110" spans="1:10" x14ac:dyDescent="0.2">
      <c r="A110" s="6">
        <v>42426</v>
      </c>
      <c r="B110">
        <v>2003</v>
      </c>
      <c r="C110">
        <v>1118</v>
      </c>
      <c r="D110">
        <v>109</v>
      </c>
      <c r="E110">
        <v>6150</v>
      </c>
      <c r="F110" t="s">
        <v>25</v>
      </c>
      <c r="G110">
        <v>4</v>
      </c>
      <c r="H110" t="s">
        <v>68</v>
      </c>
      <c r="I110">
        <v>16</v>
      </c>
      <c r="J110" s="10">
        <f t="shared" si="1"/>
        <v>4</v>
      </c>
    </row>
    <row r="111" spans="1:10" x14ac:dyDescent="0.2">
      <c r="A111" s="6">
        <v>42419</v>
      </c>
      <c r="B111">
        <v>2005</v>
      </c>
      <c r="C111">
        <v>1118</v>
      </c>
      <c r="D111">
        <v>110</v>
      </c>
      <c r="E111">
        <v>6225</v>
      </c>
      <c r="F111" t="s">
        <v>25</v>
      </c>
      <c r="G111">
        <v>2</v>
      </c>
      <c r="H111" t="s">
        <v>68</v>
      </c>
      <c r="I111">
        <v>14</v>
      </c>
      <c r="J111" s="10">
        <f t="shared" si="1"/>
        <v>2</v>
      </c>
    </row>
    <row r="112" spans="1:10" x14ac:dyDescent="0.2">
      <c r="A112" s="6">
        <v>42402</v>
      </c>
      <c r="B112">
        <v>2002</v>
      </c>
      <c r="C112">
        <v>1118</v>
      </c>
      <c r="D112">
        <v>111</v>
      </c>
      <c r="E112">
        <v>6000</v>
      </c>
      <c r="F112" t="s">
        <v>25</v>
      </c>
      <c r="G112">
        <v>8</v>
      </c>
      <c r="H112" t="s">
        <v>68</v>
      </c>
      <c r="I112">
        <v>17</v>
      </c>
      <c r="J112" s="10">
        <f t="shared" si="1"/>
        <v>8</v>
      </c>
    </row>
    <row r="113" spans="1:10" x14ac:dyDescent="0.2">
      <c r="A113" s="6">
        <v>43444</v>
      </c>
      <c r="B113">
        <v>2002</v>
      </c>
      <c r="C113">
        <v>1121</v>
      </c>
      <c r="D113">
        <v>112</v>
      </c>
      <c r="E113">
        <v>7100</v>
      </c>
      <c r="F113" t="s">
        <v>25</v>
      </c>
      <c r="G113">
        <v>6</v>
      </c>
      <c r="H113" t="s">
        <v>68</v>
      </c>
      <c r="I113">
        <v>17</v>
      </c>
      <c r="J113" s="10">
        <f t="shared" si="1"/>
        <v>6</v>
      </c>
    </row>
    <row r="114" spans="1:10" x14ac:dyDescent="0.2">
      <c r="A114" s="6">
        <v>42450</v>
      </c>
      <c r="B114">
        <v>2002</v>
      </c>
      <c r="C114">
        <v>1121</v>
      </c>
      <c r="D114">
        <v>113</v>
      </c>
      <c r="E114">
        <v>7900</v>
      </c>
      <c r="F114" t="s">
        <v>25</v>
      </c>
      <c r="G114">
        <v>12</v>
      </c>
      <c r="H114" t="s">
        <v>68</v>
      </c>
      <c r="I114">
        <v>17</v>
      </c>
      <c r="J114" s="10">
        <f t="shared" si="1"/>
        <v>12</v>
      </c>
    </row>
    <row r="115" spans="1:10" x14ac:dyDescent="0.2">
      <c r="A115" s="6">
        <v>43191</v>
      </c>
      <c r="B115">
        <v>2000</v>
      </c>
      <c r="C115">
        <v>1128</v>
      </c>
      <c r="D115">
        <v>114</v>
      </c>
      <c r="E115">
        <v>8250</v>
      </c>
      <c r="F115" t="s">
        <v>25</v>
      </c>
      <c r="G115">
        <v>6</v>
      </c>
      <c r="H115" t="s">
        <v>68</v>
      </c>
      <c r="I115">
        <v>19</v>
      </c>
      <c r="J115" s="10">
        <f t="shared" si="1"/>
        <v>6</v>
      </c>
    </row>
    <row r="116" spans="1:10" x14ac:dyDescent="0.2">
      <c r="A116" s="6">
        <v>42643</v>
      </c>
      <c r="B116">
        <v>2000</v>
      </c>
      <c r="C116">
        <v>1128</v>
      </c>
      <c r="D116">
        <v>115</v>
      </c>
      <c r="E116">
        <v>6600</v>
      </c>
      <c r="F116" t="s">
        <v>25</v>
      </c>
      <c r="G116">
        <v>1</v>
      </c>
      <c r="H116" t="s">
        <v>68</v>
      </c>
      <c r="I116">
        <v>19</v>
      </c>
      <c r="J116" s="10">
        <f t="shared" si="1"/>
        <v>1</v>
      </c>
    </row>
    <row r="117" spans="1:10" x14ac:dyDescent="0.2">
      <c r="A117" s="6">
        <v>42500</v>
      </c>
      <c r="B117">
        <v>2000</v>
      </c>
      <c r="C117">
        <v>1128</v>
      </c>
      <c r="D117">
        <v>116</v>
      </c>
      <c r="E117">
        <v>7400</v>
      </c>
      <c r="F117" t="s">
        <v>25</v>
      </c>
      <c r="G117">
        <v>6</v>
      </c>
      <c r="H117" t="s">
        <v>68</v>
      </c>
      <c r="I117">
        <v>19</v>
      </c>
      <c r="J117" s="10">
        <f t="shared" si="1"/>
        <v>6</v>
      </c>
    </row>
    <row r="118" spans="1:10" x14ac:dyDescent="0.2">
      <c r="A118" s="6">
        <v>43374</v>
      </c>
      <c r="B118">
        <v>2001</v>
      </c>
      <c r="C118">
        <v>1150</v>
      </c>
      <c r="D118">
        <v>117</v>
      </c>
      <c r="E118">
        <v>6650</v>
      </c>
      <c r="F118" t="s">
        <v>25</v>
      </c>
      <c r="G118">
        <v>60</v>
      </c>
      <c r="H118" t="s">
        <v>26</v>
      </c>
      <c r="I118">
        <v>18</v>
      </c>
      <c r="J118" s="10">
        <f t="shared" si="1"/>
        <v>2</v>
      </c>
    </row>
    <row r="119" spans="1:10" x14ac:dyDescent="0.2">
      <c r="A119" s="6">
        <v>42873</v>
      </c>
      <c r="B119">
        <v>2001</v>
      </c>
      <c r="C119">
        <v>1150</v>
      </c>
      <c r="D119">
        <v>118</v>
      </c>
      <c r="E119">
        <v>6500</v>
      </c>
      <c r="F119" t="s">
        <v>25</v>
      </c>
      <c r="G119">
        <v>6</v>
      </c>
      <c r="H119" t="s">
        <v>68</v>
      </c>
      <c r="I119">
        <v>18</v>
      </c>
      <c r="J119" s="10">
        <f t="shared" si="1"/>
        <v>6</v>
      </c>
    </row>
    <row r="120" spans="1:10" x14ac:dyDescent="0.2">
      <c r="A120" s="6">
        <v>42866</v>
      </c>
      <c r="B120">
        <v>2003</v>
      </c>
      <c r="C120">
        <v>1150</v>
      </c>
      <c r="D120">
        <v>119</v>
      </c>
      <c r="E120">
        <v>6850</v>
      </c>
      <c r="F120" t="s">
        <v>25</v>
      </c>
      <c r="G120">
        <v>6</v>
      </c>
      <c r="H120" t="s">
        <v>68</v>
      </c>
      <c r="I120">
        <v>16</v>
      </c>
      <c r="J120" s="10">
        <f t="shared" si="1"/>
        <v>6</v>
      </c>
    </row>
    <row r="121" spans="1:10" x14ac:dyDescent="0.2">
      <c r="A121" s="6">
        <v>42705</v>
      </c>
      <c r="B121">
        <v>2001</v>
      </c>
      <c r="C121">
        <v>1150</v>
      </c>
      <c r="D121">
        <v>120</v>
      </c>
      <c r="E121">
        <v>6000</v>
      </c>
      <c r="F121" t="s">
        <v>25</v>
      </c>
      <c r="G121">
        <v>5</v>
      </c>
      <c r="H121" t="s">
        <v>68</v>
      </c>
      <c r="I121">
        <v>18</v>
      </c>
      <c r="J121" s="10">
        <f t="shared" si="1"/>
        <v>5</v>
      </c>
    </row>
    <row r="122" spans="1:10" x14ac:dyDescent="0.2">
      <c r="A122" s="6">
        <v>42646</v>
      </c>
      <c r="B122">
        <v>2001</v>
      </c>
      <c r="C122">
        <v>1150</v>
      </c>
      <c r="D122">
        <v>121</v>
      </c>
      <c r="E122">
        <v>6500</v>
      </c>
      <c r="F122" t="s">
        <v>25</v>
      </c>
      <c r="G122">
        <v>4</v>
      </c>
      <c r="H122" t="s">
        <v>68</v>
      </c>
      <c r="I122">
        <v>18</v>
      </c>
      <c r="J122" s="10">
        <f t="shared" si="1"/>
        <v>4</v>
      </c>
    </row>
    <row r="123" spans="1:10" x14ac:dyDescent="0.2">
      <c r="A123" s="6">
        <v>42597</v>
      </c>
      <c r="B123">
        <v>2003</v>
      </c>
      <c r="C123">
        <v>1150</v>
      </c>
      <c r="D123">
        <v>122</v>
      </c>
      <c r="E123">
        <v>6100</v>
      </c>
      <c r="F123" t="s">
        <v>25</v>
      </c>
      <c r="G123">
        <v>35</v>
      </c>
      <c r="H123" t="s">
        <v>26</v>
      </c>
      <c r="I123">
        <v>16</v>
      </c>
      <c r="J123" s="10">
        <f t="shared" si="1"/>
        <v>1</v>
      </c>
    </row>
    <row r="124" spans="1:10" x14ac:dyDescent="0.2">
      <c r="A124" s="6">
        <v>42475</v>
      </c>
      <c r="B124">
        <v>2001</v>
      </c>
      <c r="C124">
        <v>1150</v>
      </c>
      <c r="D124">
        <v>123</v>
      </c>
      <c r="E124">
        <v>8000</v>
      </c>
      <c r="F124" t="s">
        <v>25</v>
      </c>
      <c r="G124">
        <v>6</v>
      </c>
      <c r="H124" t="s">
        <v>68</v>
      </c>
      <c r="I124">
        <v>18</v>
      </c>
      <c r="J124" s="10">
        <f t="shared" si="1"/>
        <v>6</v>
      </c>
    </row>
    <row r="125" spans="1:10" x14ac:dyDescent="0.2">
      <c r="A125" s="6">
        <v>42459</v>
      </c>
      <c r="B125">
        <v>2003</v>
      </c>
      <c r="C125">
        <v>1150</v>
      </c>
      <c r="D125">
        <v>124</v>
      </c>
      <c r="E125">
        <v>6400</v>
      </c>
      <c r="F125" t="s">
        <v>25</v>
      </c>
      <c r="G125">
        <v>5</v>
      </c>
      <c r="H125" t="s">
        <v>68</v>
      </c>
      <c r="I125">
        <v>16</v>
      </c>
      <c r="J125" s="10">
        <f t="shared" si="1"/>
        <v>5</v>
      </c>
    </row>
    <row r="126" spans="1:10" x14ac:dyDescent="0.2">
      <c r="A126" s="6">
        <v>43529</v>
      </c>
      <c r="B126">
        <v>2005</v>
      </c>
      <c r="C126">
        <v>1155</v>
      </c>
      <c r="D126">
        <v>125</v>
      </c>
      <c r="E126">
        <v>7000</v>
      </c>
      <c r="F126" t="s">
        <v>25</v>
      </c>
      <c r="G126">
        <v>3</v>
      </c>
      <c r="H126" t="s">
        <v>68</v>
      </c>
      <c r="I126">
        <v>14</v>
      </c>
      <c r="J126" s="10">
        <f t="shared" si="1"/>
        <v>3</v>
      </c>
    </row>
    <row r="127" spans="1:10" x14ac:dyDescent="0.2">
      <c r="A127" s="6">
        <v>43451</v>
      </c>
      <c r="B127">
        <v>2005</v>
      </c>
      <c r="C127">
        <v>1155</v>
      </c>
      <c r="D127">
        <v>126</v>
      </c>
      <c r="E127">
        <v>6750</v>
      </c>
      <c r="F127" t="s">
        <v>25</v>
      </c>
      <c r="G127">
        <v>7</v>
      </c>
      <c r="H127" t="s">
        <v>68</v>
      </c>
      <c r="I127">
        <v>14</v>
      </c>
      <c r="J127" s="10">
        <f t="shared" si="1"/>
        <v>7</v>
      </c>
    </row>
    <row r="128" spans="1:10" x14ac:dyDescent="0.2">
      <c r="A128" s="6">
        <v>43297</v>
      </c>
      <c r="B128">
        <v>2005</v>
      </c>
      <c r="C128">
        <v>1155</v>
      </c>
      <c r="D128">
        <v>127</v>
      </c>
      <c r="E128">
        <v>8500</v>
      </c>
      <c r="F128" t="s">
        <v>25</v>
      </c>
      <c r="G128">
        <v>7</v>
      </c>
      <c r="H128" t="s">
        <v>68</v>
      </c>
      <c r="I128">
        <v>14</v>
      </c>
      <c r="J128" s="10">
        <f t="shared" si="1"/>
        <v>7</v>
      </c>
    </row>
    <row r="129" spans="1:10" x14ac:dyDescent="0.2">
      <c r="A129" s="6">
        <v>43231</v>
      </c>
      <c r="B129">
        <v>2005</v>
      </c>
      <c r="C129">
        <v>1155</v>
      </c>
      <c r="D129">
        <v>128</v>
      </c>
      <c r="E129">
        <v>9400</v>
      </c>
      <c r="F129" t="s">
        <v>25</v>
      </c>
      <c r="G129">
        <v>4</v>
      </c>
      <c r="H129" t="s">
        <v>68</v>
      </c>
      <c r="I129">
        <v>14</v>
      </c>
      <c r="J129" s="10">
        <f t="shared" si="1"/>
        <v>4</v>
      </c>
    </row>
    <row r="130" spans="1:10" x14ac:dyDescent="0.2">
      <c r="A130" s="6">
        <v>43191</v>
      </c>
      <c r="B130">
        <v>2005</v>
      </c>
      <c r="C130">
        <v>1155</v>
      </c>
      <c r="D130">
        <v>129</v>
      </c>
      <c r="E130">
        <v>9000</v>
      </c>
      <c r="F130" t="s">
        <v>25</v>
      </c>
      <c r="G130">
        <v>12</v>
      </c>
      <c r="H130" t="s">
        <v>68</v>
      </c>
      <c r="I130">
        <v>14</v>
      </c>
      <c r="J130" s="10">
        <f t="shared" ref="J130:J193" si="2">IF(H130="days",ROUND(G130/30,0),IF(H130="years",G130*12,G130))</f>
        <v>12</v>
      </c>
    </row>
    <row r="131" spans="1:10" x14ac:dyDescent="0.2">
      <c r="A131" s="6">
        <v>42979</v>
      </c>
      <c r="B131">
        <v>2005</v>
      </c>
      <c r="C131">
        <v>1155</v>
      </c>
      <c r="D131">
        <v>130</v>
      </c>
      <c r="E131">
        <v>6850</v>
      </c>
      <c r="F131" t="s">
        <v>25</v>
      </c>
      <c r="G131">
        <v>8</v>
      </c>
      <c r="H131" t="s">
        <v>68</v>
      </c>
      <c r="I131">
        <v>14</v>
      </c>
      <c r="J131" s="10">
        <f t="shared" si="2"/>
        <v>8</v>
      </c>
    </row>
    <row r="132" spans="1:10" x14ac:dyDescent="0.2">
      <c r="A132" s="6">
        <v>42914</v>
      </c>
      <c r="B132">
        <v>2005</v>
      </c>
      <c r="C132">
        <v>1155</v>
      </c>
      <c r="D132">
        <v>131</v>
      </c>
      <c r="E132">
        <v>7150</v>
      </c>
      <c r="F132" t="s">
        <v>25</v>
      </c>
      <c r="G132">
        <v>3</v>
      </c>
      <c r="H132" t="s">
        <v>68</v>
      </c>
      <c r="I132">
        <v>14</v>
      </c>
      <c r="J132" s="10">
        <f t="shared" si="2"/>
        <v>3</v>
      </c>
    </row>
    <row r="133" spans="1:10" x14ac:dyDescent="0.2">
      <c r="A133" s="6">
        <v>42844</v>
      </c>
      <c r="B133">
        <v>2005</v>
      </c>
      <c r="C133">
        <v>1155</v>
      </c>
      <c r="D133">
        <v>132</v>
      </c>
      <c r="E133">
        <v>7250</v>
      </c>
      <c r="F133" t="s">
        <v>25</v>
      </c>
      <c r="G133">
        <v>4</v>
      </c>
      <c r="H133" t="s">
        <v>68</v>
      </c>
      <c r="I133">
        <v>14</v>
      </c>
      <c r="J133" s="10">
        <f t="shared" si="2"/>
        <v>4</v>
      </c>
    </row>
    <row r="134" spans="1:10" x14ac:dyDescent="0.2">
      <c r="A134" s="6">
        <v>42797</v>
      </c>
      <c r="B134">
        <v>2005</v>
      </c>
      <c r="C134">
        <v>1155</v>
      </c>
      <c r="D134">
        <v>133</v>
      </c>
      <c r="E134">
        <v>6500</v>
      </c>
      <c r="F134" t="s">
        <v>25</v>
      </c>
      <c r="G134">
        <v>7</v>
      </c>
      <c r="H134" t="s">
        <v>68</v>
      </c>
      <c r="I134">
        <v>14</v>
      </c>
      <c r="J134" s="10">
        <f t="shared" si="2"/>
        <v>7</v>
      </c>
    </row>
    <row r="135" spans="1:10" x14ac:dyDescent="0.2">
      <c r="A135" s="6">
        <v>42795</v>
      </c>
      <c r="B135">
        <v>2005</v>
      </c>
      <c r="C135">
        <v>1155</v>
      </c>
      <c r="D135">
        <v>134</v>
      </c>
      <c r="E135">
        <v>7200</v>
      </c>
      <c r="F135" t="s">
        <v>25</v>
      </c>
      <c r="G135">
        <v>12</v>
      </c>
      <c r="H135" t="s">
        <v>68</v>
      </c>
      <c r="I135">
        <v>14</v>
      </c>
      <c r="J135" s="10">
        <f t="shared" si="2"/>
        <v>12</v>
      </c>
    </row>
    <row r="136" spans="1:10" x14ac:dyDescent="0.2">
      <c r="A136" s="6">
        <v>42723</v>
      </c>
      <c r="B136">
        <v>2005</v>
      </c>
      <c r="C136">
        <v>1155</v>
      </c>
      <c r="D136">
        <v>135</v>
      </c>
      <c r="E136">
        <v>7300</v>
      </c>
      <c r="F136" t="s">
        <v>25</v>
      </c>
      <c r="G136">
        <v>2</v>
      </c>
      <c r="H136" t="s">
        <v>68</v>
      </c>
      <c r="I136">
        <v>14</v>
      </c>
      <c r="J136" s="10">
        <f t="shared" si="2"/>
        <v>2</v>
      </c>
    </row>
    <row r="137" spans="1:10" x14ac:dyDescent="0.2">
      <c r="A137" s="6">
        <v>42559</v>
      </c>
      <c r="B137">
        <v>2005</v>
      </c>
      <c r="C137">
        <v>1155</v>
      </c>
      <c r="D137">
        <v>136</v>
      </c>
      <c r="E137">
        <v>7700</v>
      </c>
      <c r="F137" t="s">
        <v>25</v>
      </c>
      <c r="G137">
        <v>6</v>
      </c>
      <c r="H137" t="s">
        <v>68</v>
      </c>
      <c r="I137">
        <v>14</v>
      </c>
      <c r="J137" s="10">
        <f t="shared" si="2"/>
        <v>6</v>
      </c>
    </row>
    <row r="138" spans="1:10" x14ac:dyDescent="0.2">
      <c r="A138" s="6">
        <v>42459</v>
      </c>
      <c r="B138">
        <v>2005</v>
      </c>
      <c r="C138">
        <v>1155</v>
      </c>
      <c r="D138">
        <v>137</v>
      </c>
      <c r="E138">
        <v>7500</v>
      </c>
      <c r="F138" t="s">
        <v>25</v>
      </c>
      <c r="G138">
        <v>6</v>
      </c>
      <c r="H138" t="s">
        <v>68</v>
      </c>
      <c r="I138">
        <v>14</v>
      </c>
      <c r="J138" s="10">
        <f t="shared" si="2"/>
        <v>6</v>
      </c>
    </row>
    <row r="139" spans="1:10" x14ac:dyDescent="0.2">
      <c r="A139" s="6">
        <v>42411</v>
      </c>
      <c r="B139">
        <v>2005</v>
      </c>
      <c r="C139">
        <v>1155</v>
      </c>
      <c r="D139">
        <v>138</v>
      </c>
      <c r="E139">
        <v>8000</v>
      </c>
      <c r="F139" t="s">
        <v>25</v>
      </c>
      <c r="G139">
        <v>7</v>
      </c>
      <c r="H139" t="s">
        <v>68</v>
      </c>
      <c r="I139">
        <v>14</v>
      </c>
      <c r="J139" s="10">
        <f t="shared" si="2"/>
        <v>7</v>
      </c>
    </row>
    <row r="140" spans="1:10" x14ac:dyDescent="0.2">
      <c r="A140" s="6">
        <v>43174</v>
      </c>
      <c r="B140">
        <v>2000</v>
      </c>
      <c r="C140">
        <v>1174</v>
      </c>
      <c r="D140">
        <v>139</v>
      </c>
      <c r="E140">
        <v>8850</v>
      </c>
      <c r="F140" t="s">
        <v>25</v>
      </c>
      <c r="G140">
        <v>6</v>
      </c>
      <c r="H140" t="s">
        <v>68</v>
      </c>
      <c r="I140">
        <v>19</v>
      </c>
      <c r="J140" s="10">
        <f t="shared" si="2"/>
        <v>6</v>
      </c>
    </row>
    <row r="141" spans="1:10" x14ac:dyDescent="0.2">
      <c r="A141" s="6">
        <v>42450</v>
      </c>
      <c r="B141">
        <v>2000</v>
      </c>
      <c r="C141">
        <v>1174</v>
      </c>
      <c r="D141">
        <v>140</v>
      </c>
      <c r="E141">
        <v>7150</v>
      </c>
      <c r="F141" t="s">
        <v>25</v>
      </c>
      <c r="G141">
        <v>12</v>
      </c>
      <c r="H141" t="s">
        <v>68</v>
      </c>
      <c r="I141">
        <v>19</v>
      </c>
      <c r="J141" s="10">
        <f t="shared" si="2"/>
        <v>12</v>
      </c>
    </row>
    <row r="142" spans="1:10" x14ac:dyDescent="0.2">
      <c r="A142" s="6">
        <v>43579</v>
      </c>
      <c r="B142">
        <v>2003</v>
      </c>
      <c r="C142">
        <v>1200</v>
      </c>
      <c r="D142">
        <v>141</v>
      </c>
      <c r="E142">
        <v>6800</v>
      </c>
      <c r="F142" t="s">
        <v>25</v>
      </c>
      <c r="G142">
        <v>7</v>
      </c>
      <c r="H142" t="s">
        <v>68</v>
      </c>
      <c r="I142">
        <v>16</v>
      </c>
      <c r="J142" s="10">
        <f t="shared" si="2"/>
        <v>7</v>
      </c>
    </row>
    <row r="143" spans="1:10" x14ac:dyDescent="0.2">
      <c r="A143" s="6">
        <v>43374</v>
      </c>
      <c r="B143">
        <v>2002</v>
      </c>
      <c r="C143">
        <v>1200</v>
      </c>
      <c r="D143">
        <v>142</v>
      </c>
      <c r="E143">
        <v>6650</v>
      </c>
      <c r="F143" t="s">
        <v>25</v>
      </c>
      <c r="G143">
        <v>5</v>
      </c>
      <c r="H143" t="s">
        <v>68</v>
      </c>
      <c r="I143">
        <v>17</v>
      </c>
      <c r="J143" s="10">
        <f t="shared" si="2"/>
        <v>5</v>
      </c>
    </row>
    <row r="144" spans="1:10" x14ac:dyDescent="0.2">
      <c r="A144" s="6">
        <v>43374</v>
      </c>
      <c r="B144">
        <v>2002</v>
      </c>
      <c r="C144">
        <v>1200</v>
      </c>
      <c r="D144">
        <v>143</v>
      </c>
      <c r="E144">
        <v>6650</v>
      </c>
      <c r="F144" t="s">
        <v>25</v>
      </c>
      <c r="G144">
        <v>9</v>
      </c>
      <c r="H144" t="s">
        <v>68</v>
      </c>
      <c r="I144">
        <v>17</v>
      </c>
      <c r="J144" s="10">
        <f t="shared" si="2"/>
        <v>9</v>
      </c>
    </row>
    <row r="145" spans="1:10" x14ac:dyDescent="0.2">
      <c r="A145" s="6">
        <v>43205</v>
      </c>
      <c r="B145">
        <v>2003</v>
      </c>
      <c r="C145">
        <v>1200</v>
      </c>
      <c r="D145">
        <v>144</v>
      </c>
      <c r="E145">
        <v>8900</v>
      </c>
      <c r="F145" t="s">
        <v>25</v>
      </c>
      <c r="G145">
        <v>7</v>
      </c>
      <c r="H145" t="s">
        <v>68</v>
      </c>
      <c r="I145">
        <v>16</v>
      </c>
      <c r="J145" s="10">
        <f t="shared" si="2"/>
        <v>7</v>
      </c>
    </row>
    <row r="146" spans="1:10" x14ac:dyDescent="0.2">
      <c r="A146" s="6">
        <v>43160</v>
      </c>
      <c r="B146">
        <v>2002</v>
      </c>
      <c r="C146">
        <v>1200</v>
      </c>
      <c r="D146">
        <v>145</v>
      </c>
      <c r="E146">
        <v>8500</v>
      </c>
      <c r="F146" t="s">
        <v>25</v>
      </c>
      <c r="G146">
        <v>6</v>
      </c>
      <c r="H146" t="s">
        <v>68</v>
      </c>
      <c r="I146">
        <v>17</v>
      </c>
      <c r="J146" s="10">
        <f t="shared" si="2"/>
        <v>6</v>
      </c>
    </row>
    <row r="147" spans="1:10" x14ac:dyDescent="0.2">
      <c r="A147" s="6">
        <v>43023</v>
      </c>
      <c r="B147">
        <v>2002</v>
      </c>
      <c r="C147">
        <v>1200</v>
      </c>
      <c r="D147">
        <v>146</v>
      </c>
      <c r="E147">
        <v>6800</v>
      </c>
      <c r="F147" t="s">
        <v>25</v>
      </c>
      <c r="G147">
        <v>6</v>
      </c>
      <c r="H147" t="s">
        <v>68</v>
      </c>
      <c r="I147">
        <v>17</v>
      </c>
      <c r="J147" s="10">
        <f t="shared" si="2"/>
        <v>6</v>
      </c>
    </row>
    <row r="148" spans="1:10" x14ac:dyDescent="0.2">
      <c r="A148" s="6">
        <v>42873</v>
      </c>
      <c r="B148">
        <v>2002</v>
      </c>
      <c r="C148">
        <v>1200</v>
      </c>
      <c r="D148">
        <v>147</v>
      </c>
      <c r="E148">
        <v>6500</v>
      </c>
      <c r="F148" t="s">
        <v>25</v>
      </c>
      <c r="G148">
        <v>6</v>
      </c>
      <c r="H148" t="s">
        <v>68</v>
      </c>
      <c r="I148">
        <v>17</v>
      </c>
      <c r="J148" s="10">
        <f t="shared" si="2"/>
        <v>6</v>
      </c>
    </row>
    <row r="149" spans="1:10" x14ac:dyDescent="0.2">
      <c r="A149" s="6">
        <v>42797</v>
      </c>
      <c r="B149">
        <v>2002</v>
      </c>
      <c r="C149">
        <v>1200</v>
      </c>
      <c r="D149">
        <v>148</v>
      </c>
      <c r="E149">
        <v>6500</v>
      </c>
      <c r="F149" t="s">
        <v>25</v>
      </c>
      <c r="G149">
        <v>7</v>
      </c>
      <c r="H149" t="s">
        <v>68</v>
      </c>
      <c r="I149">
        <v>17</v>
      </c>
      <c r="J149" s="10">
        <f t="shared" si="2"/>
        <v>7</v>
      </c>
    </row>
    <row r="150" spans="1:10" x14ac:dyDescent="0.2">
      <c r="A150" s="6">
        <v>42789</v>
      </c>
      <c r="B150">
        <v>2003</v>
      </c>
      <c r="C150">
        <v>1200</v>
      </c>
      <c r="D150">
        <v>149</v>
      </c>
      <c r="E150">
        <v>7300</v>
      </c>
      <c r="F150" t="s">
        <v>25</v>
      </c>
      <c r="G150">
        <v>6</v>
      </c>
      <c r="H150" t="s">
        <v>68</v>
      </c>
      <c r="I150">
        <v>16</v>
      </c>
      <c r="J150" s="10">
        <f t="shared" si="2"/>
        <v>6</v>
      </c>
    </row>
    <row r="151" spans="1:10" x14ac:dyDescent="0.2">
      <c r="A151" s="6">
        <v>42705</v>
      </c>
      <c r="B151">
        <v>2002</v>
      </c>
      <c r="C151">
        <v>1200</v>
      </c>
      <c r="D151">
        <v>150</v>
      </c>
      <c r="E151">
        <v>6000</v>
      </c>
      <c r="F151" t="s">
        <v>25</v>
      </c>
      <c r="G151">
        <v>5</v>
      </c>
      <c r="H151" t="s">
        <v>68</v>
      </c>
      <c r="I151">
        <v>17</v>
      </c>
      <c r="J151" s="10">
        <f t="shared" si="2"/>
        <v>5</v>
      </c>
    </row>
    <row r="152" spans="1:10" x14ac:dyDescent="0.2">
      <c r="A152" s="6">
        <v>42522</v>
      </c>
      <c r="B152">
        <v>2002</v>
      </c>
      <c r="C152">
        <v>1200</v>
      </c>
      <c r="D152">
        <v>151</v>
      </c>
      <c r="E152">
        <v>7900</v>
      </c>
      <c r="F152" t="s">
        <v>25</v>
      </c>
      <c r="G152">
        <v>11</v>
      </c>
      <c r="H152" t="s">
        <v>68</v>
      </c>
      <c r="I152">
        <v>17</v>
      </c>
      <c r="J152" s="10">
        <f t="shared" si="2"/>
        <v>11</v>
      </c>
    </row>
    <row r="153" spans="1:10" x14ac:dyDescent="0.2">
      <c r="A153" s="6">
        <v>43423</v>
      </c>
      <c r="B153">
        <v>2004</v>
      </c>
      <c r="C153">
        <v>1201</v>
      </c>
      <c r="D153">
        <v>152</v>
      </c>
      <c r="E153">
        <v>8050</v>
      </c>
      <c r="F153" t="s">
        <v>25</v>
      </c>
      <c r="G153">
        <v>3</v>
      </c>
      <c r="H153" t="s">
        <v>68</v>
      </c>
      <c r="I153">
        <v>15</v>
      </c>
      <c r="J153" s="10">
        <f t="shared" si="2"/>
        <v>3</v>
      </c>
    </row>
    <row r="154" spans="1:10" x14ac:dyDescent="0.2">
      <c r="A154" s="6">
        <v>43224</v>
      </c>
      <c r="B154">
        <v>2002</v>
      </c>
      <c r="C154">
        <v>1201</v>
      </c>
      <c r="D154">
        <v>153</v>
      </c>
      <c r="E154">
        <v>10000</v>
      </c>
      <c r="F154" t="s">
        <v>25</v>
      </c>
      <c r="G154">
        <v>12</v>
      </c>
      <c r="H154" t="s">
        <v>68</v>
      </c>
      <c r="I154">
        <v>17</v>
      </c>
      <c r="J154" s="10">
        <f t="shared" si="2"/>
        <v>12</v>
      </c>
    </row>
    <row r="155" spans="1:10" x14ac:dyDescent="0.2">
      <c r="A155" s="6">
        <v>43206</v>
      </c>
      <c r="B155">
        <v>2004</v>
      </c>
      <c r="C155">
        <v>1201</v>
      </c>
      <c r="D155">
        <v>154</v>
      </c>
      <c r="E155">
        <v>9500</v>
      </c>
      <c r="F155" t="s">
        <v>25</v>
      </c>
      <c r="G155">
        <v>5</v>
      </c>
      <c r="H155" t="s">
        <v>68</v>
      </c>
      <c r="I155">
        <v>15</v>
      </c>
      <c r="J155" s="10">
        <f t="shared" si="2"/>
        <v>5</v>
      </c>
    </row>
    <row r="156" spans="1:10" x14ac:dyDescent="0.2">
      <c r="A156" s="6">
        <v>42423</v>
      </c>
      <c r="B156">
        <v>2004</v>
      </c>
      <c r="C156">
        <v>1201</v>
      </c>
      <c r="D156">
        <v>155</v>
      </c>
      <c r="E156">
        <v>6500</v>
      </c>
      <c r="F156" t="s">
        <v>25</v>
      </c>
      <c r="G156">
        <v>9</v>
      </c>
      <c r="H156" t="s">
        <v>68</v>
      </c>
      <c r="I156">
        <v>15</v>
      </c>
      <c r="J156" s="10">
        <f t="shared" si="2"/>
        <v>9</v>
      </c>
    </row>
    <row r="157" spans="1:10" x14ac:dyDescent="0.2">
      <c r="A157" s="6">
        <v>42416</v>
      </c>
      <c r="B157">
        <v>2002</v>
      </c>
      <c r="C157">
        <v>1201</v>
      </c>
      <c r="D157">
        <v>156</v>
      </c>
      <c r="E157">
        <v>8100</v>
      </c>
      <c r="F157" t="s">
        <v>25</v>
      </c>
      <c r="G157">
        <v>12</v>
      </c>
      <c r="H157" t="s">
        <v>68</v>
      </c>
      <c r="I157">
        <v>17</v>
      </c>
      <c r="J157" s="10">
        <f t="shared" si="2"/>
        <v>12</v>
      </c>
    </row>
    <row r="158" spans="1:10" x14ac:dyDescent="0.2">
      <c r="A158" s="6">
        <v>43409</v>
      </c>
      <c r="B158">
        <v>2003</v>
      </c>
      <c r="C158">
        <v>1209</v>
      </c>
      <c r="D158">
        <v>157</v>
      </c>
      <c r="E158">
        <v>7300</v>
      </c>
      <c r="F158" t="s">
        <v>25</v>
      </c>
      <c r="G158">
        <v>12</v>
      </c>
      <c r="H158" t="s">
        <v>68</v>
      </c>
      <c r="I158">
        <v>16</v>
      </c>
      <c r="J158" s="10">
        <f t="shared" si="2"/>
        <v>12</v>
      </c>
    </row>
    <row r="159" spans="1:10" x14ac:dyDescent="0.2">
      <c r="A159" s="6">
        <v>42905</v>
      </c>
      <c r="B159">
        <v>2003</v>
      </c>
      <c r="C159">
        <v>1209</v>
      </c>
      <c r="D159">
        <v>158</v>
      </c>
      <c r="E159">
        <v>6900</v>
      </c>
      <c r="F159" t="s">
        <v>25</v>
      </c>
      <c r="G159">
        <v>5</v>
      </c>
      <c r="H159" t="s">
        <v>68</v>
      </c>
      <c r="I159">
        <v>16</v>
      </c>
      <c r="J159" s="10">
        <f t="shared" si="2"/>
        <v>5</v>
      </c>
    </row>
    <row r="160" spans="1:10" x14ac:dyDescent="0.2">
      <c r="A160" s="6">
        <v>42661</v>
      </c>
      <c r="B160">
        <v>2003</v>
      </c>
      <c r="C160">
        <v>1209</v>
      </c>
      <c r="D160">
        <v>159</v>
      </c>
      <c r="E160">
        <v>7050</v>
      </c>
      <c r="F160" t="s">
        <v>25</v>
      </c>
      <c r="G160">
        <v>8</v>
      </c>
      <c r="H160" t="s">
        <v>68</v>
      </c>
      <c r="I160">
        <v>16</v>
      </c>
      <c r="J160" s="10">
        <f t="shared" si="2"/>
        <v>8</v>
      </c>
    </row>
    <row r="161" spans="1:10" x14ac:dyDescent="0.2">
      <c r="A161" s="6">
        <v>42499</v>
      </c>
      <c r="B161">
        <v>2003</v>
      </c>
      <c r="C161">
        <v>1209</v>
      </c>
      <c r="D161">
        <v>160</v>
      </c>
      <c r="E161">
        <v>8500</v>
      </c>
      <c r="F161" t="s">
        <v>25</v>
      </c>
      <c r="G161">
        <v>6</v>
      </c>
      <c r="H161" t="s">
        <v>68</v>
      </c>
      <c r="I161">
        <v>16</v>
      </c>
      <c r="J161" s="10">
        <f t="shared" si="2"/>
        <v>6</v>
      </c>
    </row>
    <row r="162" spans="1:10" x14ac:dyDescent="0.2">
      <c r="A162" s="6">
        <v>43579</v>
      </c>
      <c r="B162">
        <v>2001</v>
      </c>
      <c r="C162">
        <v>1216</v>
      </c>
      <c r="D162">
        <v>161</v>
      </c>
      <c r="E162">
        <v>8500</v>
      </c>
      <c r="F162" t="s">
        <v>25</v>
      </c>
      <c r="G162">
        <v>7</v>
      </c>
      <c r="H162" t="s">
        <v>68</v>
      </c>
      <c r="I162">
        <v>18</v>
      </c>
      <c r="J162" s="10">
        <f t="shared" si="2"/>
        <v>7</v>
      </c>
    </row>
    <row r="163" spans="1:10" x14ac:dyDescent="0.2">
      <c r="A163" s="6">
        <v>43434</v>
      </c>
      <c r="B163">
        <v>2001</v>
      </c>
      <c r="C163">
        <v>1216</v>
      </c>
      <c r="D163">
        <v>162</v>
      </c>
      <c r="E163">
        <v>7600</v>
      </c>
      <c r="F163" t="s">
        <v>25</v>
      </c>
      <c r="G163">
        <v>5</v>
      </c>
      <c r="H163" t="s">
        <v>68</v>
      </c>
      <c r="I163">
        <v>18</v>
      </c>
      <c r="J163" s="10">
        <f t="shared" si="2"/>
        <v>5</v>
      </c>
    </row>
    <row r="164" spans="1:10" x14ac:dyDescent="0.2">
      <c r="A164" s="6">
        <v>43374</v>
      </c>
      <c r="B164">
        <v>2001</v>
      </c>
      <c r="C164">
        <v>1216</v>
      </c>
      <c r="D164">
        <v>163</v>
      </c>
      <c r="E164">
        <v>7500</v>
      </c>
      <c r="F164" t="s">
        <v>25</v>
      </c>
      <c r="G164">
        <v>8</v>
      </c>
      <c r="H164" t="s">
        <v>68</v>
      </c>
      <c r="I164">
        <v>18</v>
      </c>
      <c r="J164" s="10">
        <f t="shared" si="2"/>
        <v>8</v>
      </c>
    </row>
    <row r="165" spans="1:10" x14ac:dyDescent="0.2">
      <c r="A165" s="6">
        <v>43374</v>
      </c>
      <c r="B165">
        <v>2001</v>
      </c>
      <c r="C165">
        <v>1216</v>
      </c>
      <c r="D165">
        <v>164</v>
      </c>
      <c r="E165">
        <v>7250</v>
      </c>
      <c r="F165" t="s">
        <v>25</v>
      </c>
      <c r="G165">
        <v>9</v>
      </c>
      <c r="H165" t="s">
        <v>68</v>
      </c>
      <c r="I165">
        <v>18</v>
      </c>
      <c r="J165" s="10">
        <f t="shared" si="2"/>
        <v>9</v>
      </c>
    </row>
    <row r="166" spans="1:10" x14ac:dyDescent="0.2">
      <c r="A166" s="6">
        <v>42971</v>
      </c>
      <c r="B166">
        <v>2001</v>
      </c>
      <c r="C166">
        <v>1216</v>
      </c>
      <c r="D166">
        <v>165</v>
      </c>
      <c r="E166">
        <v>6300</v>
      </c>
      <c r="F166" t="s">
        <v>25</v>
      </c>
      <c r="G166">
        <v>50</v>
      </c>
      <c r="H166" t="s">
        <v>26</v>
      </c>
      <c r="I166">
        <v>18</v>
      </c>
      <c r="J166" s="10">
        <f t="shared" si="2"/>
        <v>2</v>
      </c>
    </row>
    <row r="167" spans="1:10" x14ac:dyDescent="0.2">
      <c r="A167" s="6">
        <v>42948</v>
      </c>
      <c r="B167">
        <v>2001</v>
      </c>
      <c r="C167">
        <v>1216</v>
      </c>
      <c r="D167">
        <v>166</v>
      </c>
      <c r="E167">
        <v>7900</v>
      </c>
      <c r="F167" t="s">
        <v>25</v>
      </c>
      <c r="G167">
        <v>12</v>
      </c>
      <c r="H167" t="s">
        <v>68</v>
      </c>
      <c r="I167">
        <v>18</v>
      </c>
      <c r="J167" s="10">
        <f t="shared" si="2"/>
        <v>12</v>
      </c>
    </row>
    <row r="168" spans="1:10" x14ac:dyDescent="0.2">
      <c r="A168" s="6">
        <v>42831</v>
      </c>
      <c r="B168">
        <v>2001</v>
      </c>
      <c r="C168">
        <v>1216</v>
      </c>
      <c r="D168">
        <v>167</v>
      </c>
      <c r="E168">
        <v>7400</v>
      </c>
      <c r="F168" t="s">
        <v>25</v>
      </c>
      <c r="G168">
        <v>6</v>
      </c>
      <c r="H168" t="s">
        <v>68</v>
      </c>
      <c r="I168">
        <v>18</v>
      </c>
      <c r="J168" s="10">
        <f t="shared" si="2"/>
        <v>6</v>
      </c>
    </row>
    <row r="169" spans="1:10" x14ac:dyDescent="0.2">
      <c r="A169" s="6">
        <v>42459</v>
      </c>
      <c r="B169">
        <v>2001</v>
      </c>
      <c r="C169">
        <v>1216</v>
      </c>
      <c r="D169">
        <v>168</v>
      </c>
      <c r="E169">
        <v>7800</v>
      </c>
      <c r="F169" t="s">
        <v>25</v>
      </c>
      <c r="G169">
        <v>8</v>
      </c>
      <c r="H169" t="s">
        <v>68</v>
      </c>
      <c r="I169">
        <v>18</v>
      </c>
      <c r="J169" s="10">
        <f t="shared" si="2"/>
        <v>8</v>
      </c>
    </row>
    <row r="170" spans="1:10" x14ac:dyDescent="0.2">
      <c r="A170" s="6">
        <v>42417</v>
      </c>
      <c r="B170">
        <v>2001</v>
      </c>
      <c r="C170">
        <v>1216</v>
      </c>
      <c r="D170">
        <v>169</v>
      </c>
      <c r="E170">
        <v>8900</v>
      </c>
      <c r="F170" t="s">
        <v>25</v>
      </c>
      <c r="G170">
        <v>7</v>
      </c>
      <c r="H170" t="s">
        <v>68</v>
      </c>
      <c r="I170">
        <v>18</v>
      </c>
      <c r="J170" s="10">
        <f t="shared" si="2"/>
        <v>7</v>
      </c>
    </row>
    <row r="171" spans="1:10" x14ac:dyDescent="0.2">
      <c r="A171" s="6">
        <v>43584</v>
      </c>
      <c r="B171">
        <v>2005</v>
      </c>
      <c r="C171">
        <v>1220</v>
      </c>
      <c r="D171">
        <v>170</v>
      </c>
      <c r="E171">
        <v>6900</v>
      </c>
      <c r="F171" t="s">
        <v>25</v>
      </c>
      <c r="G171">
        <v>4</v>
      </c>
      <c r="H171" t="s">
        <v>68</v>
      </c>
      <c r="I171">
        <v>14</v>
      </c>
      <c r="J171" s="10">
        <f t="shared" si="2"/>
        <v>4</v>
      </c>
    </row>
    <row r="172" spans="1:10" x14ac:dyDescent="0.2">
      <c r="A172" s="6">
        <v>43397</v>
      </c>
      <c r="B172">
        <v>2005</v>
      </c>
      <c r="C172">
        <v>1220</v>
      </c>
      <c r="D172">
        <v>171</v>
      </c>
      <c r="E172">
        <v>7750</v>
      </c>
      <c r="F172" t="s">
        <v>25</v>
      </c>
      <c r="G172">
        <v>6</v>
      </c>
      <c r="H172" t="s">
        <v>68</v>
      </c>
      <c r="I172">
        <v>14</v>
      </c>
      <c r="J172" s="10">
        <f t="shared" si="2"/>
        <v>6</v>
      </c>
    </row>
    <row r="173" spans="1:10" x14ac:dyDescent="0.2">
      <c r="A173" s="6">
        <v>43397</v>
      </c>
      <c r="B173">
        <v>2005</v>
      </c>
      <c r="C173">
        <v>1220</v>
      </c>
      <c r="D173">
        <v>172</v>
      </c>
      <c r="E173">
        <v>7750</v>
      </c>
      <c r="F173" t="s">
        <v>25</v>
      </c>
      <c r="G173">
        <v>7</v>
      </c>
      <c r="H173" t="s">
        <v>68</v>
      </c>
      <c r="I173">
        <v>14</v>
      </c>
      <c r="J173" s="10">
        <f t="shared" si="2"/>
        <v>7</v>
      </c>
    </row>
    <row r="174" spans="1:10" x14ac:dyDescent="0.2">
      <c r="A174" s="6">
        <v>43278</v>
      </c>
      <c r="B174">
        <v>2005</v>
      </c>
      <c r="C174">
        <v>1220</v>
      </c>
      <c r="D174">
        <v>173</v>
      </c>
      <c r="E174">
        <v>9250</v>
      </c>
      <c r="F174" t="s">
        <v>25</v>
      </c>
      <c r="G174">
        <v>5</v>
      </c>
      <c r="H174" t="s">
        <v>68</v>
      </c>
      <c r="I174">
        <v>14</v>
      </c>
      <c r="J174" s="10">
        <f t="shared" si="2"/>
        <v>5</v>
      </c>
    </row>
    <row r="175" spans="1:10" x14ac:dyDescent="0.2">
      <c r="A175" s="6">
        <v>43221</v>
      </c>
      <c r="B175">
        <v>2005</v>
      </c>
      <c r="C175">
        <v>1220</v>
      </c>
      <c r="D175">
        <v>174</v>
      </c>
      <c r="E175">
        <v>9500</v>
      </c>
      <c r="F175" t="s">
        <v>25</v>
      </c>
      <c r="G175">
        <v>5</v>
      </c>
      <c r="H175" t="s">
        <v>68</v>
      </c>
      <c r="I175">
        <v>14</v>
      </c>
      <c r="J175" s="10">
        <f t="shared" si="2"/>
        <v>5</v>
      </c>
    </row>
    <row r="176" spans="1:10" x14ac:dyDescent="0.2">
      <c r="A176" s="6">
        <v>43011</v>
      </c>
      <c r="B176">
        <v>2005</v>
      </c>
      <c r="C176">
        <v>1220</v>
      </c>
      <c r="D176">
        <v>175</v>
      </c>
      <c r="E176">
        <v>6900</v>
      </c>
      <c r="F176" t="s">
        <v>25</v>
      </c>
      <c r="G176">
        <v>6</v>
      </c>
      <c r="H176" t="s">
        <v>68</v>
      </c>
      <c r="I176">
        <v>14</v>
      </c>
      <c r="J176" s="10">
        <f t="shared" si="2"/>
        <v>6</v>
      </c>
    </row>
    <row r="177" spans="1:10" x14ac:dyDescent="0.2">
      <c r="A177" s="6">
        <v>42866</v>
      </c>
      <c r="B177">
        <v>2005</v>
      </c>
      <c r="C177">
        <v>1220</v>
      </c>
      <c r="D177">
        <v>176</v>
      </c>
      <c r="E177">
        <v>6950</v>
      </c>
      <c r="F177" t="s">
        <v>25</v>
      </c>
      <c r="G177">
        <v>42</v>
      </c>
      <c r="H177" t="s">
        <v>26</v>
      </c>
      <c r="I177">
        <v>14</v>
      </c>
      <c r="J177" s="10">
        <f t="shared" si="2"/>
        <v>1</v>
      </c>
    </row>
    <row r="178" spans="1:10" x14ac:dyDescent="0.2">
      <c r="A178" s="6">
        <v>42795</v>
      </c>
      <c r="B178">
        <v>2005</v>
      </c>
      <c r="C178">
        <v>1220</v>
      </c>
      <c r="D178">
        <v>177</v>
      </c>
      <c r="E178">
        <v>6500</v>
      </c>
      <c r="F178" t="s">
        <v>25</v>
      </c>
      <c r="G178">
        <v>8</v>
      </c>
      <c r="H178" t="s">
        <v>68</v>
      </c>
      <c r="I178">
        <v>14</v>
      </c>
      <c r="J178" s="10">
        <f t="shared" si="2"/>
        <v>8</v>
      </c>
    </row>
    <row r="179" spans="1:10" x14ac:dyDescent="0.2">
      <c r="A179" s="6">
        <v>42716</v>
      </c>
      <c r="B179">
        <v>2005</v>
      </c>
      <c r="C179">
        <v>1220</v>
      </c>
      <c r="D179">
        <v>178</v>
      </c>
      <c r="E179">
        <v>6500</v>
      </c>
      <c r="F179" t="s">
        <v>25</v>
      </c>
      <c r="G179">
        <v>180</v>
      </c>
      <c r="H179" t="s">
        <v>26</v>
      </c>
      <c r="I179">
        <v>14</v>
      </c>
      <c r="J179" s="10">
        <f t="shared" si="2"/>
        <v>6</v>
      </c>
    </row>
    <row r="180" spans="1:10" x14ac:dyDescent="0.2">
      <c r="A180" s="6">
        <v>42689</v>
      </c>
      <c r="B180">
        <v>2005</v>
      </c>
      <c r="C180">
        <v>1220</v>
      </c>
      <c r="D180">
        <v>179</v>
      </c>
      <c r="E180">
        <v>6500</v>
      </c>
      <c r="F180" t="s">
        <v>25</v>
      </c>
      <c r="G180">
        <v>160</v>
      </c>
      <c r="H180" t="s">
        <v>26</v>
      </c>
      <c r="I180">
        <v>14</v>
      </c>
      <c r="J180" s="10">
        <f t="shared" si="2"/>
        <v>5</v>
      </c>
    </row>
    <row r="181" spans="1:10" x14ac:dyDescent="0.2">
      <c r="A181" s="6">
        <v>42583</v>
      </c>
      <c r="B181">
        <v>2005</v>
      </c>
      <c r="C181">
        <v>1220</v>
      </c>
      <c r="D181">
        <v>180</v>
      </c>
      <c r="E181">
        <v>7050</v>
      </c>
      <c r="F181" t="s">
        <v>25</v>
      </c>
      <c r="G181">
        <v>7</v>
      </c>
      <c r="H181" t="s">
        <v>68</v>
      </c>
      <c r="I181">
        <v>14</v>
      </c>
      <c r="J181" s="10">
        <f t="shared" si="2"/>
        <v>7</v>
      </c>
    </row>
    <row r="182" spans="1:10" x14ac:dyDescent="0.2">
      <c r="A182" s="6">
        <v>42583</v>
      </c>
      <c r="B182">
        <v>2005</v>
      </c>
      <c r="C182">
        <v>1220</v>
      </c>
      <c r="D182">
        <v>181</v>
      </c>
      <c r="E182">
        <v>7100</v>
      </c>
      <c r="F182" t="s">
        <v>25</v>
      </c>
      <c r="G182">
        <v>6</v>
      </c>
      <c r="H182" t="s">
        <v>68</v>
      </c>
      <c r="I182">
        <v>14</v>
      </c>
      <c r="J182" s="10">
        <f t="shared" si="2"/>
        <v>6</v>
      </c>
    </row>
    <row r="183" spans="1:10" x14ac:dyDescent="0.2">
      <c r="A183" s="6">
        <v>42494</v>
      </c>
      <c r="B183">
        <v>2005</v>
      </c>
      <c r="C183">
        <v>1220</v>
      </c>
      <c r="D183">
        <v>182</v>
      </c>
      <c r="E183">
        <v>6750</v>
      </c>
      <c r="F183" t="s">
        <v>25</v>
      </c>
      <c r="G183">
        <v>5</v>
      </c>
      <c r="H183" t="s">
        <v>68</v>
      </c>
      <c r="I183">
        <v>14</v>
      </c>
      <c r="J183" s="10">
        <f t="shared" si="2"/>
        <v>5</v>
      </c>
    </row>
    <row r="184" spans="1:10" x14ac:dyDescent="0.2">
      <c r="A184" s="6">
        <v>43621</v>
      </c>
      <c r="B184">
        <v>2005</v>
      </c>
      <c r="C184">
        <v>1221</v>
      </c>
      <c r="D184">
        <v>183</v>
      </c>
      <c r="E184">
        <v>7350</v>
      </c>
      <c r="F184" t="s">
        <v>25</v>
      </c>
      <c r="G184">
        <v>5</v>
      </c>
      <c r="H184" t="s">
        <v>68</v>
      </c>
      <c r="I184">
        <v>14</v>
      </c>
      <c r="J184" s="10">
        <f t="shared" si="2"/>
        <v>5</v>
      </c>
    </row>
    <row r="185" spans="1:10" x14ac:dyDescent="0.2">
      <c r="A185" s="6">
        <v>43579</v>
      </c>
      <c r="B185">
        <v>2005</v>
      </c>
      <c r="C185">
        <v>1221</v>
      </c>
      <c r="D185">
        <v>184</v>
      </c>
      <c r="E185">
        <v>7350</v>
      </c>
      <c r="F185" t="s">
        <v>25</v>
      </c>
      <c r="G185">
        <v>5</v>
      </c>
      <c r="H185" t="s">
        <v>68</v>
      </c>
      <c r="I185">
        <v>14</v>
      </c>
      <c r="J185" s="10">
        <f t="shared" si="2"/>
        <v>5</v>
      </c>
    </row>
    <row r="186" spans="1:10" x14ac:dyDescent="0.2">
      <c r="A186" s="6">
        <v>43511</v>
      </c>
      <c r="B186">
        <v>2005</v>
      </c>
      <c r="C186">
        <v>1221</v>
      </c>
      <c r="D186">
        <v>185</v>
      </c>
      <c r="E186">
        <v>8750</v>
      </c>
      <c r="F186" t="s">
        <v>25</v>
      </c>
      <c r="G186">
        <v>12</v>
      </c>
      <c r="H186" t="s">
        <v>68</v>
      </c>
      <c r="I186">
        <v>14</v>
      </c>
      <c r="J186" s="10">
        <f t="shared" si="2"/>
        <v>12</v>
      </c>
    </row>
    <row r="187" spans="1:10" x14ac:dyDescent="0.2">
      <c r="A187" s="6">
        <v>43487</v>
      </c>
      <c r="B187">
        <v>2005</v>
      </c>
      <c r="C187">
        <v>1221</v>
      </c>
      <c r="D187">
        <v>186</v>
      </c>
      <c r="E187">
        <v>7200</v>
      </c>
      <c r="F187" t="s">
        <v>25</v>
      </c>
      <c r="G187">
        <v>5</v>
      </c>
      <c r="H187" t="s">
        <v>68</v>
      </c>
      <c r="I187">
        <v>14</v>
      </c>
      <c r="J187" s="10">
        <f t="shared" si="2"/>
        <v>5</v>
      </c>
    </row>
    <row r="188" spans="1:10" x14ac:dyDescent="0.2">
      <c r="A188" s="6">
        <v>43396</v>
      </c>
      <c r="B188">
        <v>2004</v>
      </c>
      <c r="C188">
        <v>1221</v>
      </c>
      <c r="D188">
        <v>187</v>
      </c>
      <c r="E188">
        <v>7500</v>
      </c>
      <c r="F188" t="s">
        <v>25</v>
      </c>
      <c r="G188">
        <v>5</v>
      </c>
      <c r="H188" t="s">
        <v>68</v>
      </c>
      <c r="I188">
        <v>15</v>
      </c>
      <c r="J188" s="10">
        <f t="shared" si="2"/>
        <v>5</v>
      </c>
    </row>
    <row r="189" spans="1:10" x14ac:dyDescent="0.2">
      <c r="A189" s="6">
        <v>43221</v>
      </c>
      <c r="B189">
        <v>2005</v>
      </c>
      <c r="C189">
        <v>1221</v>
      </c>
      <c r="D189">
        <v>188</v>
      </c>
      <c r="E189">
        <v>12000</v>
      </c>
      <c r="F189" t="s">
        <v>25</v>
      </c>
      <c r="G189">
        <v>12</v>
      </c>
      <c r="H189" t="s">
        <v>68</v>
      </c>
      <c r="I189">
        <v>14</v>
      </c>
      <c r="J189" s="10">
        <f t="shared" si="2"/>
        <v>12</v>
      </c>
    </row>
    <row r="190" spans="1:10" x14ac:dyDescent="0.2">
      <c r="A190" s="6">
        <v>43220</v>
      </c>
      <c r="B190">
        <v>2004</v>
      </c>
      <c r="C190">
        <v>1221</v>
      </c>
      <c r="D190">
        <v>189</v>
      </c>
      <c r="E190">
        <v>9000</v>
      </c>
      <c r="F190" t="s">
        <v>25</v>
      </c>
      <c r="G190">
        <v>6</v>
      </c>
      <c r="H190" t="s">
        <v>68</v>
      </c>
      <c r="I190">
        <v>15</v>
      </c>
      <c r="J190" s="10">
        <f t="shared" si="2"/>
        <v>6</v>
      </c>
    </row>
    <row r="191" spans="1:10" x14ac:dyDescent="0.2">
      <c r="A191" s="6">
        <v>43185</v>
      </c>
      <c r="B191">
        <v>2003</v>
      </c>
      <c r="C191">
        <v>1221</v>
      </c>
      <c r="D191">
        <v>190</v>
      </c>
      <c r="E191">
        <v>9000</v>
      </c>
      <c r="F191" t="s">
        <v>25</v>
      </c>
      <c r="G191">
        <v>5</v>
      </c>
      <c r="H191" t="s">
        <v>68</v>
      </c>
      <c r="I191">
        <v>16</v>
      </c>
      <c r="J191" s="10">
        <f t="shared" si="2"/>
        <v>5</v>
      </c>
    </row>
    <row r="192" spans="1:10" x14ac:dyDescent="0.2">
      <c r="A192" s="6">
        <v>43175</v>
      </c>
      <c r="B192">
        <v>2005</v>
      </c>
      <c r="C192">
        <v>1221</v>
      </c>
      <c r="D192">
        <v>191</v>
      </c>
      <c r="E192">
        <v>8500</v>
      </c>
      <c r="F192" t="s">
        <v>25</v>
      </c>
      <c r="G192">
        <v>6</v>
      </c>
      <c r="H192" t="s">
        <v>68</v>
      </c>
      <c r="I192">
        <v>14</v>
      </c>
      <c r="J192" s="10">
        <f t="shared" si="2"/>
        <v>6</v>
      </c>
    </row>
    <row r="193" spans="1:10" x14ac:dyDescent="0.2">
      <c r="A193" s="6">
        <v>43153</v>
      </c>
      <c r="B193">
        <v>2003</v>
      </c>
      <c r="C193">
        <v>1221</v>
      </c>
      <c r="D193">
        <v>192</v>
      </c>
      <c r="E193">
        <v>8500</v>
      </c>
      <c r="F193" t="s">
        <v>25</v>
      </c>
      <c r="G193">
        <v>6</v>
      </c>
      <c r="H193" t="s">
        <v>68</v>
      </c>
      <c r="I193">
        <v>16</v>
      </c>
      <c r="J193" s="10">
        <f t="shared" si="2"/>
        <v>6</v>
      </c>
    </row>
    <row r="194" spans="1:10" x14ac:dyDescent="0.2">
      <c r="A194" s="6">
        <v>43144</v>
      </c>
      <c r="B194">
        <v>2005</v>
      </c>
      <c r="C194">
        <v>1221</v>
      </c>
      <c r="D194">
        <v>193</v>
      </c>
      <c r="E194">
        <v>8250</v>
      </c>
      <c r="F194" t="s">
        <v>25</v>
      </c>
      <c r="G194">
        <v>6</v>
      </c>
      <c r="H194" t="s">
        <v>68</v>
      </c>
      <c r="I194">
        <v>14</v>
      </c>
      <c r="J194" s="10">
        <f t="shared" ref="J194:J257" si="3">IF(H194="days",ROUND(G194/30,0),IF(H194="years",G194*12,G194))</f>
        <v>6</v>
      </c>
    </row>
    <row r="195" spans="1:10" x14ac:dyDescent="0.2">
      <c r="A195" s="6">
        <v>43087</v>
      </c>
      <c r="B195">
        <v>2005</v>
      </c>
      <c r="C195">
        <v>1221</v>
      </c>
      <c r="D195">
        <v>194</v>
      </c>
      <c r="E195">
        <v>8000</v>
      </c>
      <c r="F195" t="s">
        <v>25</v>
      </c>
      <c r="G195">
        <v>7</v>
      </c>
      <c r="H195" t="s">
        <v>68</v>
      </c>
      <c r="I195">
        <v>14</v>
      </c>
      <c r="J195" s="10">
        <f t="shared" si="3"/>
        <v>7</v>
      </c>
    </row>
    <row r="196" spans="1:10" x14ac:dyDescent="0.2">
      <c r="A196" s="6">
        <v>43024</v>
      </c>
      <c r="B196">
        <v>2004</v>
      </c>
      <c r="C196">
        <v>1221</v>
      </c>
      <c r="D196">
        <v>195</v>
      </c>
      <c r="E196">
        <v>7000</v>
      </c>
      <c r="F196" t="s">
        <v>25</v>
      </c>
      <c r="G196">
        <v>5</v>
      </c>
      <c r="H196" t="s">
        <v>68</v>
      </c>
      <c r="I196">
        <v>15</v>
      </c>
      <c r="J196" s="10">
        <f t="shared" si="3"/>
        <v>5</v>
      </c>
    </row>
    <row r="197" spans="1:10" x14ac:dyDescent="0.2">
      <c r="A197" s="6">
        <v>43018</v>
      </c>
      <c r="B197">
        <v>2005</v>
      </c>
      <c r="C197">
        <v>1221</v>
      </c>
      <c r="D197">
        <v>196</v>
      </c>
      <c r="E197">
        <v>9700</v>
      </c>
      <c r="F197" t="s">
        <v>25</v>
      </c>
      <c r="G197">
        <v>7</v>
      </c>
      <c r="H197" t="s">
        <v>68</v>
      </c>
      <c r="I197">
        <v>14</v>
      </c>
      <c r="J197" s="10">
        <f t="shared" si="3"/>
        <v>7</v>
      </c>
    </row>
    <row r="198" spans="1:10" x14ac:dyDescent="0.2">
      <c r="A198" s="6">
        <v>42972</v>
      </c>
      <c r="B198">
        <v>2003</v>
      </c>
      <c r="C198">
        <v>1221</v>
      </c>
      <c r="D198">
        <v>197</v>
      </c>
      <c r="E198">
        <v>7000</v>
      </c>
      <c r="F198" t="s">
        <v>25</v>
      </c>
      <c r="G198">
        <v>6</v>
      </c>
      <c r="H198" t="s">
        <v>68</v>
      </c>
      <c r="I198">
        <v>16</v>
      </c>
      <c r="J198" s="10">
        <f t="shared" si="3"/>
        <v>6</v>
      </c>
    </row>
    <row r="199" spans="1:10" x14ac:dyDescent="0.2">
      <c r="A199" s="6">
        <v>42961</v>
      </c>
      <c r="B199">
        <v>2003</v>
      </c>
      <c r="C199">
        <v>1221</v>
      </c>
      <c r="D199">
        <v>198</v>
      </c>
      <c r="E199">
        <v>7000</v>
      </c>
      <c r="F199" t="s">
        <v>25</v>
      </c>
      <c r="G199">
        <v>6</v>
      </c>
      <c r="H199" t="s">
        <v>68</v>
      </c>
      <c r="I199">
        <v>16</v>
      </c>
      <c r="J199" s="10">
        <f t="shared" si="3"/>
        <v>6</v>
      </c>
    </row>
    <row r="200" spans="1:10" x14ac:dyDescent="0.2">
      <c r="A200" s="6">
        <v>42795</v>
      </c>
      <c r="B200">
        <v>2005</v>
      </c>
      <c r="C200">
        <v>1221</v>
      </c>
      <c r="D200">
        <v>199</v>
      </c>
      <c r="E200">
        <v>7000</v>
      </c>
      <c r="F200" t="s">
        <v>25</v>
      </c>
      <c r="G200">
        <v>5</v>
      </c>
      <c r="H200" t="s">
        <v>68</v>
      </c>
      <c r="I200">
        <v>14</v>
      </c>
      <c r="J200" s="10">
        <f t="shared" si="3"/>
        <v>5</v>
      </c>
    </row>
    <row r="201" spans="1:10" x14ac:dyDescent="0.2">
      <c r="A201" s="6">
        <v>42688</v>
      </c>
      <c r="B201">
        <v>2005</v>
      </c>
      <c r="C201">
        <v>1221</v>
      </c>
      <c r="D201">
        <v>200</v>
      </c>
      <c r="E201">
        <v>6950</v>
      </c>
      <c r="F201" t="s">
        <v>25</v>
      </c>
      <c r="G201">
        <v>7</v>
      </c>
      <c r="H201" t="s">
        <v>68</v>
      </c>
      <c r="I201">
        <v>14</v>
      </c>
      <c r="J201" s="10">
        <f t="shared" si="3"/>
        <v>7</v>
      </c>
    </row>
    <row r="202" spans="1:10" x14ac:dyDescent="0.2">
      <c r="A202" s="6">
        <v>42667</v>
      </c>
      <c r="B202">
        <v>2004</v>
      </c>
      <c r="C202">
        <v>1221</v>
      </c>
      <c r="D202">
        <v>201</v>
      </c>
      <c r="E202">
        <v>7000</v>
      </c>
      <c r="F202" t="s">
        <v>25</v>
      </c>
      <c r="G202">
        <v>5</v>
      </c>
      <c r="H202" t="s">
        <v>68</v>
      </c>
      <c r="I202">
        <v>15</v>
      </c>
      <c r="J202" s="10">
        <f t="shared" si="3"/>
        <v>5</v>
      </c>
    </row>
    <row r="203" spans="1:10" x14ac:dyDescent="0.2">
      <c r="A203" s="6">
        <v>42648</v>
      </c>
      <c r="B203">
        <v>2003</v>
      </c>
      <c r="C203">
        <v>1221</v>
      </c>
      <c r="D203">
        <v>202</v>
      </c>
      <c r="E203">
        <v>7000</v>
      </c>
      <c r="F203" t="s">
        <v>25</v>
      </c>
      <c r="G203">
        <v>5.5</v>
      </c>
      <c r="H203" t="s">
        <v>68</v>
      </c>
      <c r="I203">
        <v>16</v>
      </c>
      <c r="J203" s="10">
        <f t="shared" si="3"/>
        <v>5.5</v>
      </c>
    </row>
    <row r="204" spans="1:10" x14ac:dyDescent="0.2">
      <c r="A204" s="6">
        <v>42640</v>
      </c>
      <c r="B204">
        <v>2003</v>
      </c>
      <c r="C204">
        <v>1221</v>
      </c>
      <c r="D204">
        <v>203</v>
      </c>
      <c r="E204">
        <v>7150</v>
      </c>
      <c r="F204" t="s">
        <v>25</v>
      </c>
      <c r="G204">
        <v>42</v>
      </c>
      <c r="H204" t="s">
        <v>26</v>
      </c>
      <c r="I204">
        <v>16</v>
      </c>
      <c r="J204" s="10">
        <f t="shared" si="3"/>
        <v>1</v>
      </c>
    </row>
    <row r="205" spans="1:10" x14ac:dyDescent="0.2">
      <c r="A205" s="6">
        <v>42578</v>
      </c>
      <c r="B205">
        <v>2005</v>
      </c>
      <c r="C205">
        <v>1221</v>
      </c>
      <c r="D205">
        <v>204</v>
      </c>
      <c r="E205">
        <v>7150</v>
      </c>
      <c r="F205" t="s">
        <v>25</v>
      </c>
      <c r="G205">
        <v>8</v>
      </c>
      <c r="H205" t="s">
        <v>68</v>
      </c>
      <c r="I205">
        <v>14</v>
      </c>
      <c r="J205" s="10">
        <f t="shared" si="3"/>
        <v>8</v>
      </c>
    </row>
    <row r="206" spans="1:10" x14ac:dyDescent="0.2">
      <c r="A206" s="6">
        <v>42541</v>
      </c>
      <c r="B206">
        <v>2005</v>
      </c>
      <c r="C206">
        <v>1221</v>
      </c>
      <c r="D206">
        <v>205</v>
      </c>
      <c r="E206">
        <v>7150</v>
      </c>
      <c r="F206" t="s">
        <v>25</v>
      </c>
      <c r="G206">
        <v>5</v>
      </c>
      <c r="H206" t="s">
        <v>68</v>
      </c>
      <c r="I206">
        <v>14</v>
      </c>
      <c r="J206" s="10">
        <f t="shared" si="3"/>
        <v>5</v>
      </c>
    </row>
    <row r="207" spans="1:10" x14ac:dyDescent="0.2">
      <c r="A207" s="6">
        <v>42461</v>
      </c>
      <c r="B207">
        <v>2005</v>
      </c>
      <c r="C207">
        <v>1221</v>
      </c>
      <c r="D207">
        <v>206</v>
      </c>
      <c r="E207">
        <v>10500</v>
      </c>
      <c r="F207" t="s">
        <v>25</v>
      </c>
      <c r="G207">
        <v>6</v>
      </c>
      <c r="H207" t="s">
        <v>68</v>
      </c>
      <c r="I207">
        <v>14</v>
      </c>
      <c r="J207" s="10">
        <f t="shared" si="3"/>
        <v>6</v>
      </c>
    </row>
    <row r="208" spans="1:10" x14ac:dyDescent="0.2">
      <c r="A208" s="6">
        <v>42450</v>
      </c>
      <c r="B208">
        <v>2004</v>
      </c>
      <c r="C208">
        <v>1221</v>
      </c>
      <c r="D208">
        <v>207</v>
      </c>
      <c r="E208">
        <v>7000</v>
      </c>
      <c r="F208" t="s">
        <v>25</v>
      </c>
      <c r="G208">
        <v>6</v>
      </c>
      <c r="H208" t="s">
        <v>68</v>
      </c>
      <c r="I208">
        <v>15</v>
      </c>
      <c r="J208" s="10">
        <f t="shared" si="3"/>
        <v>6</v>
      </c>
    </row>
    <row r="209" spans="1:10" x14ac:dyDescent="0.2">
      <c r="A209" s="6">
        <v>42433</v>
      </c>
      <c r="B209">
        <v>2003</v>
      </c>
      <c r="C209">
        <v>1221</v>
      </c>
      <c r="D209">
        <v>208</v>
      </c>
      <c r="E209">
        <v>7300</v>
      </c>
      <c r="F209" t="s">
        <v>25</v>
      </c>
      <c r="G209">
        <v>30</v>
      </c>
      <c r="H209" t="s">
        <v>26</v>
      </c>
      <c r="I209">
        <v>16</v>
      </c>
      <c r="J209" s="10">
        <f t="shared" si="3"/>
        <v>1</v>
      </c>
    </row>
    <row r="210" spans="1:10" x14ac:dyDescent="0.2">
      <c r="A210" s="6">
        <v>43507</v>
      </c>
      <c r="B210">
        <v>2005</v>
      </c>
      <c r="C210">
        <v>1341</v>
      </c>
      <c r="D210">
        <v>209</v>
      </c>
      <c r="E210">
        <v>7500</v>
      </c>
      <c r="F210" t="s">
        <v>25</v>
      </c>
      <c r="G210">
        <v>8</v>
      </c>
      <c r="H210" t="s">
        <v>68</v>
      </c>
      <c r="I210">
        <v>14</v>
      </c>
      <c r="J210" s="10">
        <f t="shared" si="3"/>
        <v>8</v>
      </c>
    </row>
    <row r="211" spans="1:10" x14ac:dyDescent="0.2">
      <c r="A211" s="6">
        <v>43341</v>
      </c>
      <c r="B211">
        <v>2005</v>
      </c>
      <c r="C211">
        <v>1341</v>
      </c>
      <c r="D211">
        <v>210</v>
      </c>
      <c r="E211">
        <v>9350</v>
      </c>
      <c r="F211" t="s">
        <v>25</v>
      </c>
      <c r="G211">
        <v>6</v>
      </c>
      <c r="H211" t="s">
        <v>68</v>
      </c>
      <c r="I211">
        <v>14</v>
      </c>
      <c r="J211" s="10">
        <f t="shared" si="3"/>
        <v>6</v>
      </c>
    </row>
    <row r="212" spans="1:10" x14ac:dyDescent="0.2">
      <c r="A212" s="6">
        <v>43285</v>
      </c>
      <c r="B212">
        <v>2005</v>
      </c>
      <c r="C212">
        <v>1341</v>
      </c>
      <c r="D212">
        <v>211</v>
      </c>
      <c r="E212">
        <v>10400</v>
      </c>
      <c r="F212" t="s">
        <v>25</v>
      </c>
      <c r="G212">
        <v>14</v>
      </c>
      <c r="H212" t="s">
        <v>68</v>
      </c>
      <c r="I212">
        <v>14</v>
      </c>
      <c r="J212" s="10">
        <f t="shared" si="3"/>
        <v>14</v>
      </c>
    </row>
    <row r="213" spans="1:10" x14ac:dyDescent="0.2">
      <c r="A213" s="6">
        <v>43181</v>
      </c>
      <c r="B213">
        <v>2005</v>
      </c>
      <c r="C213">
        <v>1341</v>
      </c>
      <c r="D213">
        <v>212</v>
      </c>
      <c r="E213">
        <v>10150</v>
      </c>
      <c r="F213" t="s">
        <v>25</v>
      </c>
      <c r="G213">
        <v>6</v>
      </c>
      <c r="H213" t="s">
        <v>68</v>
      </c>
      <c r="I213">
        <v>14</v>
      </c>
      <c r="J213" s="10">
        <f t="shared" si="3"/>
        <v>6</v>
      </c>
    </row>
    <row r="214" spans="1:10" x14ac:dyDescent="0.2">
      <c r="A214" s="6">
        <v>43125</v>
      </c>
      <c r="B214">
        <v>2005</v>
      </c>
      <c r="C214">
        <v>1341</v>
      </c>
      <c r="D214">
        <v>213</v>
      </c>
      <c r="E214">
        <v>9250</v>
      </c>
      <c r="F214" t="s">
        <v>25</v>
      </c>
      <c r="G214">
        <v>3</v>
      </c>
      <c r="H214" t="s">
        <v>68</v>
      </c>
      <c r="I214">
        <v>14</v>
      </c>
      <c r="J214" s="10">
        <f t="shared" si="3"/>
        <v>3</v>
      </c>
    </row>
    <row r="215" spans="1:10" x14ac:dyDescent="0.2">
      <c r="A215" s="6">
        <v>42948</v>
      </c>
      <c r="B215">
        <v>2005</v>
      </c>
      <c r="C215">
        <v>1341</v>
      </c>
      <c r="D215">
        <v>214</v>
      </c>
      <c r="E215">
        <v>7250</v>
      </c>
      <c r="F215" t="s">
        <v>25</v>
      </c>
      <c r="G215">
        <v>6</v>
      </c>
      <c r="H215" t="s">
        <v>68</v>
      </c>
      <c r="I215">
        <v>14</v>
      </c>
      <c r="J215" s="10">
        <f t="shared" si="3"/>
        <v>6</v>
      </c>
    </row>
    <row r="216" spans="1:10" x14ac:dyDescent="0.2">
      <c r="A216" s="6">
        <v>42942</v>
      </c>
      <c r="B216">
        <v>2005</v>
      </c>
      <c r="C216">
        <v>1341</v>
      </c>
      <c r="D216">
        <v>215</v>
      </c>
      <c r="E216">
        <v>7850</v>
      </c>
      <c r="F216" t="s">
        <v>25</v>
      </c>
      <c r="G216">
        <v>1</v>
      </c>
      <c r="H216" t="s">
        <v>68</v>
      </c>
      <c r="I216">
        <v>14</v>
      </c>
      <c r="J216" s="10">
        <f t="shared" si="3"/>
        <v>1</v>
      </c>
    </row>
    <row r="217" spans="1:10" x14ac:dyDescent="0.2">
      <c r="A217" s="6">
        <v>42648</v>
      </c>
      <c r="B217">
        <v>2005</v>
      </c>
      <c r="C217">
        <v>1341</v>
      </c>
      <c r="D217">
        <v>216</v>
      </c>
      <c r="E217">
        <v>7250</v>
      </c>
      <c r="F217" t="s">
        <v>25</v>
      </c>
      <c r="G217">
        <v>10</v>
      </c>
      <c r="H217" t="s">
        <v>68</v>
      </c>
      <c r="I217">
        <v>14</v>
      </c>
      <c r="J217" s="10">
        <f t="shared" si="3"/>
        <v>10</v>
      </c>
    </row>
    <row r="218" spans="1:10" x14ac:dyDescent="0.2">
      <c r="A218" s="6">
        <v>42592</v>
      </c>
      <c r="B218">
        <v>2005</v>
      </c>
      <c r="C218">
        <v>1341</v>
      </c>
      <c r="D218">
        <v>217</v>
      </c>
      <c r="E218">
        <v>7900</v>
      </c>
      <c r="F218" t="s">
        <v>25</v>
      </c>
      <c r="G218">
        <v>9</v>
      </c>
      <c r="H218" t="s">
        <v>68</v>
      </c>
      <c r="I218">
        <v>14</v>
      </c>
      <c r="J218" s="10">
        <f t="shared" si="3"/>
        <v>9</v>
      </c>
    </row>
    <row r="219" spans="1:10" x14ac:dyDescent="0.2">
      <c r="A219" s="6">
        <v>42401</v>
      </c>
      <c r="B219">
        <v>2005</v>
      </c>
      <c r="C219">
        <v>1341</v>
      </c>
      <c r="D219">
        <v>218</v>
      </c>
      <c r="E219">
        <v>8750</v>
      </c>
      <c r="F219" t="s">
        <v>25</v>
      </c>
      <c r="G219">
        <v>6</v>
      </c>
      <c r="H219" t="s">
        <v>68</v>
      </c>
      <c r="I219">
        <v>14</v>
      </c>
      <c r="J219" s="10">
        <f t="shared" si="3"/>
        <v>6</v>
      </c>
    </row>
    <row r="220" spans="1:10" x14ac:dyDescent="0.2">
      <c r="A220" s="6">
        <v>43469</v>
      </c>
      <c r="B220">
        <v>2004</v>
      </c>
      <c r="C220">
        <v>1402</v>
      </c>
      <c r="D220">
        <v>219</v>
      </c>
      <c r="E220">
        <v>6700</v>
      </c>
      <c r="F220" t="s">
        <v>25</v>
      </c>
      <c r="G220">
        <v>6</v>
      </c>
      <c r="H220" t="s">
        <v>68</v>
      </c>
      <c r="I220">
        <v>15</v>
      </c>
      <c r="J220" s="10">
        <f t="shared" si="3"/>
        <v>6</v>
      </c>
    </row>
    <row r="221" spans="1:10" x14ac:dyDescent="0.2">
      <c r="A221" s="6">
        <v>43361</v>
      </c>
      <c r="B221">
        <v>2005</v>
      </c>
      <c r="C221">
        <v>1402</v>
      </c>
      <c r="D221">
        <v>220</v>
      </c>
      <c r="E221">
        <v>7800</v>
      </c>
      <c r="F221" t="s">
        <v>25</v>
      </c>
      <c r="G221">
        <v>7</v>
      </c>
      <c r="H221" t="s">
        <v>68</v>
      </c>
      <c r="I221">
        <v>14</v>
      </c>
      <c r="J221" s="10">
        <f t="shared" si="3"/>
        <v>7</v>
      </c>
    </row>
    <row r="222" spans="1:10" x14ac:dyDescent="0.2">
      <c r="A222" s="6">
        <v>43358</v>
      </c>
      <c r="B222">
        <v>2004</v>
      </c>
      <c r="C222">
        <v>1402</v>
      </c>
      <c r="D222">
        <v>221</v>
      </c>
      <c r="E222">
        <v>7800</v>
      </c>
      <c r="F222" t="s">
        <v>25</v>
      </c>
      <c r="G222">
        <v>5</v>
      </c>
      <c r="H222" t="s">
        <v>68</v>
      </c>
      <c r="I222">
        <v>15</v>
      </c>
      <c r="J222" s="10">
        <f t="shared" si="3"/>
        <v>5</v>
      </c>
    </row>
    <row r="223" spans="1:10" x14ac:dyDescent="0.2">
      <c r="A223" s="6">
        <v>43206</v>
      </c>
      <c r="B223">
        <v>2005</v>
      </c>
      <c r="C223">
        <v>1402</v>
      </c>
      <c r="D223">
        <v>222</v>
      </c>
      <c r="E223">
        <v>9750</v>
      </c>
      <c r="F223" t="s">
        <v>25</v>
      </c>
      <c r="G223">
        <v>6</v>
      </c>
      <c r="H223" t="s">
        <v>68</v>
      </c>
      <c r="I223">
        <v>14</v>
      </c>
      <c r="J223" s="10">
        <f t="shared" si="3"/>
        <v>6</v>
      </c>
    </row>
    <row r="224" spans="1:10" x14ac:dyDescent="0.2">
      <c r="A224" s="6">
        <v>43040</v>
      </c>
      <c r="B224">
        <v>2005</v>
      </c>
      <c r="C224">
        <v>1402</v>
      </c>
      <c r="D224">
        <v>223</v>
      </c>
      <c r="E224">
        <v>8750</v>
      </c>
      <c r="F224" t="s">
        <v>25</v>
      </c>
      <c r="G224">
        <v>5</v>
      </c>
      <c r="H224" t="s">
        <v>68</v>
      </c>
      <c r="I224">
        <v>14</v>
      </c>
      <c r="J224" s="10">
        <f t="shared" si="3"/>
        <v>5</v>
      </c>
    </row>
    <row r="225" spans="1:10" x14ac:dyDescent="0.2">
      <c r="A225" s="6">
        <v>42930</v>
      </c>
      <c r="B225">
        <v>2004</v>
      </c>
      <c r="C225">
        <v>1402</v>
      </c>
      <c r="D225">
        <v>224</v>
      </c>
      <c r="E225">
        <v>6450</v>
      </c>
      <c r="F225" t="s">
        <v>25</v>
      </c>
      <c r="G225">
        <v>12</v>
      </c>
      <c r="H225" t="s">
        <v>68</v>
      </c>
      <c r="I225">
        <v>15</v>
      </c>
      <c r="J225" s="10">
        <f t="shared" si="3"/>
        <v>12</v>
      </c>
    </row>
    <row r="226" spans="1:10" x14ac:dyDescent="0.2">
      <c r="A226" s="6">
        <v>42926</v>
      </c>
      <c r="B226">
        <v>2005</v>
      </c>
      <c r="C226">
        <v>1402</v>
      </c>
      <c r="D226">
        <v>225</v>
      </c>
      <c r="E226">
        <v>6450</v>
      </c>
      <c r="F226" t="s">
        <v>25</v>
      </c>
      <c r="G226">
        <v>4</v>
      </c>
      <c r="H226" t="s">
        <v>68</v>
      </c>
      <c r="I226">
        <v>14</v>
      </c>
      <c r="J226" s="10">
        <f t="shared" si="3"/>
        <v>4</v>
      </c>
    </row>
    <row r="227" spans="1:10" x14ac:dyDescent="0.2">
      <c r="A227" s="6">
        <v>42845</v>
      </c>
      <c r="B227">
        <v>2005</v>
      </c>
      <c r="C227">
        <v>1402</v>
      </c>
      <c r="D227">
        <v>226</v>
      </c>
      <c r="E227">
        <v>7500</v>
      </c>
      <c r="F227" t="s">
        <v>25</v>
      </c>
      <c r="G227">
        <v>6</v>
      </c>
      <c r="H227" t="s">
        <v>68</v>
      </c>
      <c r="I227">
        <v>14</v>
      </c>
      <c r="J227" s="10">
        <f t="shared" si="3"/>
        <v>6</v>
      </c>
    </row>
    <row r="228" spans="1:10" x14ac:dyDescent="0.2">
      <c r="A228" s="6">
        <v>42683</v>
      </c>
      <c r="B228">
        <v>2004</v>
      </c>
      <c r="C228">
        <v>1402</v>
      </c>
      <c r="D228">
        <v>227</v>
      </c>
      <c r="E228">
        <v>8500</v>
      </c>
      <c r="F228" t="s">
        <v>25</v>
      </c>
      <c r="G228">
        <v>12</v>
      </c>
      <c r="H228" t="s">
        <v>68</v>
      </c>
      <c r="I228">
        <v>15</v>
      </c>
      <c r="J228" s="10">
        <f t="shared" si="3"/>
        <v>12</v>
      </c>
    </row>
    <row r="229" spans="1:10" x14ac:dyDescent="0.2">
      <c r="A229" s="6">
        <v>42541</v>
      </c>
      <c r="B229">
        <v>2005</v>
      </c>
      <c r="C229">
        <v>1402</v>
      </c>
      <c r="D229">
        <v>228</v>
      </c>
      <c r="E229">
        <v>9150</v>
      </c>
      <c r="F229" t="s">
        <v>25</v>
      </c>
      <c r="G229">
        <v>12</v>
      </c>
      <c r="H229" t="s">
        <v>68</v>
      </c>
      <c r="I229">
        <v>14</v>
      </c>
      <c r="J229" s="10">
        <f t="shared" si="3"/>
        <v>12</v>
      </c>
    </row>
    <row r="230" spans="1:10" x14ac:dyDescent="0.2">
      <c r="A230" s="6">
        <v>43139</v>
      </c>
      <c r="B230">
        <v>2003</v>
      </c>
      <c r="C230">
        <v>1550</v>
      </c>
      <c r="D230">
        <v>229</v>
      </c>
      <c r="E230">
        <v>9750</v>
      </c>
      <c r="F230" t="s">
        <v>25</v>
      </c>
      <c r="G230">
        <v>10</v>
      </c>
      <c r="H230" t="s">
        <v>68</v>
      </c>
      <c r="I230">
        <v>16</v>
      </c>
      <c r="J230" s="10">
        <f t="shared" si="3"/>
        <v>10</v>
      </c>
    </row>
    <row r="231" spans="1:10" x14ac:dyDescent="0.2">
      <c r="A231" s="6">
        <v>43075</v>
      </c>
      <c r="B231">
        <v>2003</v>
      </c>
      <c r="C231">
        <v>1550</v>
      </c>
      <c r="D231">
        <v>230</v>
      </c>
      <c r="E231">
        <v>9200</v>
      </c>
      <c r="F231" t="s">
        <v>25</v>
      </c>
      <c r="G231">
        <v>6</v>
      </c>
      <c r="H231" t="s">
        <v>68</v>
      </c>
      <c r="I231">
        <v>16</v>
      </c>
      <c r="J231" s="10">
        <f t="shared" si="3"/>
        <v>6</v>
      </c>
    </row>
    <row r="232" spans="1:10" x14ac:dyDescent="0.2">
      <c r="A232" s="6">
        <v>43062</v>
      </c>
      <c r="B232">
        <v>2001</v>
      </c>
      <c r="C232">
        <v>1550</v>
      </c>
      <c r="D232">
        <v>231</v>
      </c>
      <c r="E232">
        <v>7500</v>
      </c>
      <c r="F232" t="s">
        <v>25</v>
      </c>
      <c r="G232">
        <v>6</v>
      </c>
      <c r="H232" t="s">
        <v>68</v>
      </c>
      <c r="I232">
        <v>18</v>
      </c>
      <c r="J232" s="10">
        <f t="shared" si="3"/>
        <v>6</v>
      </c>
    </row>
    <row r="233" spans="1:10" x14ac:dyDescent="0.2">
      <c r="A233" s="6">
        <v>43024</v>
      </c>
      <c r="B233">
        <v>2004</v>
      </c>
      <c r="C233">
        <v>1550</v>
      </c>
      <c r="D233">
        <v>232</v>
      </c>
      <c r="E233">
        <v>8300</v>
      </c>
      <c r="F233" t="s">
        <v>25</v>
      </c>
      <c r="G233">
        <v>5</v>
      </c>
      <c r="H233" t="s">
        <v>68</v>
      </c>
      <c r="I233">
        <v>15</v>
      </c>
      <c r="J233" s="10">
        <f t="shared" si="3"/>
        <v>5</v>
      </c>
    </row>
    <row r="234" spans="1:10" x14ac:dyDescent="0.2">
      <c r="A234" s="6">
        <v>42993</v>
      </c>
      <c r="B234">
        <v>2003</v>
      </c>
      <c r="C234">
        <v>1550</v>
      </c>
      <c r="D234">
        <v>233</v>
      </c>
      <c r="E234">
        <v>8150</v>
      </c>
      <c r="F234" t="s">
        <v>25</v>
      </c>
      <c r="G234">
        <v>1</v>
      </c>
      <c r="H234" t="s">
        <v>68</v>
      </c>
      <c r="I234">
        <v>16</v>
      </c>
      <c r="J234" s="10">
        <f t="shared" si="3"/>
        <v>1</v>
      </c>
    </row>
    <row r="235" spans="1:10" x14ac:dyDescent="0.2">
      <c r="A235" s="6">
        <v>42907</v>
      </c>
      <c r="B235">
        <v>2001</v>
      </c>
      <c r="C235">
        <v>1550</v>
      </c>
      <c r="D235">
        <v>234</v>
      </c>
      <c r="E235">
        <v>6400</v>
      </c>
      <c r="F235" t="s">
        <v>25</v>
      </c>
      <c r="G235">
        <v>4</v>
      </c>
      <c r="H235" t="s">
        <v>68</v>
      </c>
      <c r="I235">
        <v>18</v>
      </c>
      <c r="J235" s="10">
        <f t="shared" si="3"/>
        <v>4</v>
      </c>
    </row>
    <row r="236" spans="1:10" x14ac:dyDescent="0.2">
      <c r="A236" s="6">
        <v>42898</v>
      </c>
      <c r="B236">
        <v>2003</v>
      </c>
      <c r="C236">
        <v>1550</v>
      </c>
      <c r="D236">
        <v>235</v>
      </c>
      <c r="E236">
        <v>8000</v>
      </c>
      <c r="F236" t="s">
        <v>25</v>
      </c>
      <c r="G236">
        <v>4</v>
      </c>
      <c r="H236" t="s">
        <v>68</v>
      </c>
      <c r="I236">
        <v>16</v>
      </c>
      <c r="J236" s="10">
        <f t="shared" si="3"/>
        <v>4</v>
      </c>
    </row>
    <row r="237" spans="1:10" x14ac:dyDescent="0.2">
      <c r="A237" s="6">
        <v>42718</v>
      </c>
      <c r="B237">
        <v>2001</v>
      </c>
      <c r="C237">
        <v>1550</v>
      </c>
      <c r="D237">
        <v>236</v>
      </c>
      <c r="E237">
        <v>5990</v>
      </c>
      <c r="F237" t="s">
        <v>25</v>
      </c>
      <c r="G237">
        <v>70</v>
      </c>
      <c r="H237" t="s">
        <v>26</v>
      </c>
      <c r="I237">
        <v>18</v>
      </c>
      <c r="J237" s="10">
        <f t="shared" si="3"/>
        <v>2</v>
      </c>
    </row>
    <row r="238" spans="1:10" x14ac:dyDescent="0.2">
      <c r="A238" s="6">
        <v>42710</v>
      </c>
      <c r="B238">
        <v>2003</v>
      </c>
      <c r="C238">
        <v>1550</v>
      </c>
      <c r="D238">
        <v>237</v>
      </c>
      <c r="E238">
        <v>5400</v>
      </c>
      <c r="F238" t="s">
        <v>25</v>
      </c>
      <c r="G238">
        <v>30</v>
      </c>
      <c r="H238" t="s">
        <v>26</v>
      </c>
      <c r="I238">
        <v>16</v>
      </c>
      <c r="J238" s="10">
        <f t="shared" si="3"/>
        <v>1</v>
      </c>
    </row>
    <row r="239" spans="1:10" x14ac:dyDescent="0.2">
      <c r="A239" s="6">
        <v>42612</v>
      </c>
      <c r="B239">
        <v>2004</v>
      </c>
      <c r="C239">
        <v>1550</v>
      </c>
      <c r="D239">
        <v>238</v>
      </c>
      <c r="E239">
        <v>7000</v>
      </c>
      <c r="F239" t="s">
        <v>25</v>
      </c>
      <c r="G239">
        <v>9</v>
      </c>
      <c r="H239" t="s">
        <v>68</v>
      </c>
      <c r="I239">
        <v>15</v>
      </c>
      <c r="J239" s="10">
        <f t="shared" si="3"/>
        <v>9</v>
      </c>
    </row>
    <row r="240" spans="1:10" x14ac:dyDescent="0.2">
      <c r="A240" s="6">
        <v>42602</v>
      </c>
      <c r="B240">
        <v>2003</v>
      </c>
      <c r="C240">
        <v>1550</v>
      </c>
      <c r="D240">
        <v>239</v>
      </c>
      <c r="E240">
        <v>6950</v>
      </c>
      <c r="F240" t="s">
        <v>25</v>
      </c>
      <c r="G240">
        <v>9</v>
      </c>
      <c r="H240" t="s">
        <v>68</v>
      </c>
      <c r="I240">
        <v>16</v>
      </c>
      <c r="J240" s="10">
        <f t="shared" si="3"/>
        <v>9</v>
      </c>
    </row>
    <row r="241" spans="1:10" x14ac:dyDescent="0.2">
      <c r="A241" s="6">
        <v>42434</v>
      </c>
      <c r="B241">
        <v>2003</v>
      </c>
      <c r="C241">
        <v>1550</v>
      </c>
      <c r="D241">
        <v>240</v>
      </c>
      <c r="E241">
        <v>8250</v>
      </c>
      <c r="F241" t="s">
        <v>25</v>
      </c>
      <c r="G241">
        <v>3</v>
      </c>
      <c r="H241" t="s">
        <v>68</v>
      </c>
      <c r="I241">
        <v>16</v>
      </c>
      <c r="J241" s="10">
        <f t="shared" si="3"/>
        <v>3</v>
      </c>
    </row>
    <row r="242" spans="1:10" x14ac:dyDescent="0.2">
      <c r="A242" s="6">
        <v>42694</v>
      </c>
      <c r="B242">
        <v>2005</v>
      </c>
      <c r="C242">
        <v>1578</v>
      </c>
      <c r="D242">
        <v>241</v>
      </c>
      <c r="E242">
        <v>8400</v>
      </c>
      <c r="F242" t="s">
        <v>25</v>
      </c>
      <c r="G242">
        <v>9</v>
      </c>
      <c r="H242" t="s">
        <v>68</v>
      </c>
      <c r="I242">
        <v>14</v>
      </c>
      <c r="J242" s="10">
        <f t="shared" si="3"/>
        <v>9</v>
      </c>
    </row>
    <row r="243" spans="1:10" x14ac:dyDescent="0.2">
      <c r="A243" s="6">
        <v>42486</v>
      </c>
      <c r="B243">
        <v>2005</v>
      </c>
      <c r="C243">
        <v>1578</v>
      </c>
      <c r="D243">
        <v>242</v>
      </c>
      <c r="E243">
        <v>9850</v>
      </c>
      <c r="F243" t="s">
        <v>25</v>
      </c>
      <c r="G243">
        <v>14</v>
      </c>
      <c r="H243" t="s">
        <v>68</v>
      </c>
      <c r="I243">
        <v>14</v>
      </c>
      <c r="J243" s="10">
        <f t="shared" si="3"/>
        <v>14</v>
      </c>
    </row>
    <row r="244" spans="1:10" x14ac:dyDescent="0.2">
      <c r="A244" s="6">
        <v>42433</v>
      </c>
      <c r="B244">
        <v>2005</v>
      </c>
      <c r="C244">
        <v>1578</v>
      </c>
      <c r="D244">
        <v>243</v>
      </c>
      <c r="E244">
        <v>10100</v>
      </c>
      <c r="F244" t="s">
        <v>25</v>
      </c>
      <c r="G244">
        <v>30</v>
      </c>
      <c r="H244" t="s">
        <v>26</v>
      </c>
      <c r="I244">
        <v>14</v>
      </c>
      <c r="J244" s="10">
        <f t="shared" si="3"/>
        <v>1</v>
      </c>
    </row>
    <row r="245" spans="1:10" x14ac:dyDescent="0.2">
      <c r="A245" s="6">
        <v>43475</v>
      </c>
      <c r="B245">
        <v>2005</v>
      </c>
      <c r="C245">
        <v>1600</v>
      </c>
      <c r="D245">
        <v>244</v>
      </c>
      <c r="E245">
        <v>9000</v>
      </c>
      <c r="F245" t="s">
        <v>25</v>
      </c>
      <c r="G245">
        <v>5</v>
      </c>
      <c r="H245" t="s">
        <v>68</v>
      </c>
      <c r="I245">
        <v>14</v>
      </c>
      <c r="J245" s="10">
        <f t="shared" si="3"/>
        <v>5</v>
      </c>
    </row>
    <row r="246" spans="1:10" x14ac:dyDescent="0.2">
      <c r="A246" s="6">
        <v>42964</v>
      </c>
      <c r="B246">
        <v>2005</v>
      </c>
      <c r="C246">
        <v>1600</v>
      </c>
      <c r="D246">
        <v>245</v>
      </c>
      <c r="E246">
        <v>10200</v>
      </c>
      <c r="F246" t="s">
        <v>25</v>
      </c>
      <c r="G246">
        <v>13</v>
      </c>
      <c r="H246" t="s">
        <v>68</v>
      </c>
      <c r="I246">
        <v>14</v>
      </c>
      <c r="J246" s="10">
        <f t="shared" si="3"/>
        <v>13</v>
      </c>
    </row>
    <row r="247" spans="1:10" x14ac:dyDescent="0.2">
      <c r="A247" s="6">
        <v>43535</v>
      </c>
      <c r="B247">
        <v>2000</v>
      </c>
      <c r="C247">
        <v>1645</v>
      </c>
      <c r="D247">
        <v>246</v>
      </c>
      <c r="E247">
        <v>8725</v>
      </c>
      <c r="F247" t="s">
        <v>25</v>
      </c>
      <c r="G247">
        <v>12</v>
      </c>
      <c r="H247" t="s">
        <v>68</v>
      </c>
      <c r="I247">
        <v>19</v>
      </c>
      <c r="J247" s="10">
        <f t="shared" si="3"/>
        <v>12</v>
      </c>
    </row>
    <row r="248" spans="1:10" x14ac:dyDescent="0.2">
      <c r="A248" s="6">
        <v>43419</v>
      </c>
      <c r="B248">
        <v>2000</v>
      </c>
      <c r="C248">
        <v>1645</v>
      </c>
      <c r="D248">
        <v>247</v>
      </c>
      <c r="E248">
        <v>10750</v>
      </c>
      <c r="F248" t="s">
        <v>25</v>
      </c>
      <c r="G248">
        <v>8</v>
      </c>
      <c r="H248" t="s">
        <v>68</v>
      </c>
      <c r="I248">
        <v>19</v>
      </c>
      <c r="J248" s="10">
        <f t="shared" si="3"/>
        <v>8</v>
      </c>
    </row>
    <row r="249" spans="1:10" x14ac:dyDescent="0.2">
      <c r="A249" s="6">
        <v>42641</v>
      </c>
      <c r="B249">
        <v>2000</v>
      </c>
      <c r="C249">
        <v>1645</v>
      </c>
      <c r="D249">
        <v>248</v>
      </c>
      <c r="E249">
        <v>6750</v>
      </c>
      <c r="F249" t="s">
        <v>25</v>
      </c>
      <c r="G249">
        <v>7</v>
      </c>
      <c r="H249" t="s">
        <v>68</v>
      </c>
      <c r="I249">
        <v>19</v>
      </c>
      <c r="J249" s="10">
        <f t="shared" si="3"/>
        <v>7</v>
      </c>
    </row>
    <row r="250" spans="1:10" x14ac:dyDescent="0.2">
      <c r="A250" s="6">
        <v>42551</v>
      </c>
      <c r="B250">
        <v>2000</v>
      </c>
      <c r="C250">
        <v>1645</v>
      </c>
      <c r="D250">
        <v>249</v>
      </c>
      <c r="E250">
        <v>6800</v>
      </c>
      <c r="F250" t="s">
        <v>25</v>
      </c>
      <c r="G250">
        <v>6</v>
      </c>
      <c r="H250" t="s">
        <v>68</v>
      </c>
      <c r="I250">
        <v>19</v>
      </c>
      <c r="J250" s="10">
        <f t="shared" si="3"/>
        <v>6</v>
      </c>
    </row>
    <row r="251" spans="1:10" x14ac:dyDescent="0.2">
      <c r="A251" s="6">
        <v>42536</v>
      </c>
      <c r="B251">
        <v>2000</v>
      </c>
      <c r="C251">
        <v>1645</v>
      </c>
      <c r="D251">
        <v>250</v>
      </c>
      <c r="E251">
        <v>7250</v>
      </c>
      <c r="F251" t="s">
        <v>25</v>
      </c>
      <c r="G251">
        <v>3</v>
      </c>
      <c r="H251" t="s">
        <v>68</v>
      </c>
      <c r="I251">
        <v>19</v>
      </c>
      <c r="J251" s="10">
        <f t="shared" si="3"/>
        <v>3</v>
      </c>
    </row>
    <row r="252" spans="1:10" x14ac:dyDescent="0.2">
      <c r="A252" s="6">
        <v>43507</v>
      </c>
      <c r="B252">
        <v>2004</v>
      </c>
      <c r="C252">
        <v>1678</v>
      </c>
      <c r="D252">
        <v>251</v>
      </c>
      <c r="E252">
        <v>7500</v>
      </c>
      <c r="F252" t="s">
        <v>25</v>
      </c>
      <c r="G252">
        <v>7</v>
      </c>
      <c r="H252" t="s">
        <v>68</v>
      </c>
      <c r="I252">
        <v>15</v>
      </c>
      <c r="J252" s="10">
        <f t="shared" si="3"/>
        <v>7</v>
      </c>
    </row>
    <row r="253" spans="1:10" x14ac:dyDescent="0.2">
      <c r="A253" s="6">
        <v>43370</v>
      </c>
      <c r="B253">
        <v>2004</v>
      </c>
      <c r="C253">
        <v>1678</v>
      </c>
      <c r="D253">
        <v>252</v>
      </c>
      <c r="E253">
        <v>9500</v>
      </c>
      <c r="F253" t="s">
        <v>25</v>
      </c>
      <c r="G253">
        <v>7</v>
      </c>
      <c r="H253" t="s">
        <v>68</v>
      </c>
      <c r="I253">
        <v>15</v>
      </c>
      <c r="J253" s="10">
        <f t="shared" si="3"/>
        <v>7</v>
      </c>
    </row>
    <row r="254" spans="1:10" x14ac:dyDescent="0.2">
      <c r="A254" s="6">
        <v>43215</v>
      </c>
      <c r="B254">
        <v>2004</v>
      </c>
      <c r="C254">
        <v>1678</v>
      </c>
      <c r="D254">
        <v>253</v>
      </c>
      <c r="E254">
        <v>11250</v>
      </c>
      <c r="F254" t="s">
        <v>25</v>
      </c>
      <c r="G254">
        <v>12</v>
      </c>
      <c r="H254" t="s">
        <v>68</v>
      </c>
      <c r="I254">
        <v>15</v>
      </c>
      <c r="J254" s="10">
        <f t="shared" si="3"/>
        <v>12</v>
      </c>
    </row>
    <row r="255" spans="1:10" x14ac:dyDescent="0.2">
      <c r="A255" s="6">
        <v>43203</v>
      </c>
      <c r="B255">
        <v>2004</v>
      </c>
      <c r="C255">
        <v>1678</v>
      </c>
      <c r="D255">
        <v>254</v>
      </c>
      <c r="E255">
        <v>10650</v>
      </c>
      <c r="F255" t="s">
        <v>25</v>
      </c>
      <c r="G255">
        <v>6</v>
      </c>
      <c r="H255" t="s">
        <v>68</v>
      </c>
      <c r="I255">
        <v>15</v>
      </c>
      <c r="J255" s="10">
        <f t="shared" si="3"/>
        <v>6</v>
      </c>
    </row>
    <row r="256" spans="1:10" x14ac:dyDescent="0.2">
      <c r="A256" s="6">
        <v>43047</v>
      </c>
      <c r="B256">
        <v>2004</v>
      </c>
      <c r="C256">
        <v>1678</v>
      </c>
      <c r="D256">
        <v>255</v>
      </c>
      <c r="E256">
        <v>7750</v>
      </c>
      <c r="F256" t="s">
        <v>25</v>
      </c>
      <c r="G256">
        <v>3</v>
      </c>
      <c r="H256" t="s">
        <v>68</v>
      </c>
      <c r="I256">
        <v>15</v>
      </c>
      <c r="J256" s="10">
        <f t="shared" si="3"/>
        <v>3</v>
      </c>
    </row>
    <row r="257" spans="1:10" x14ac:dyDescent="0.2">
      <c r="A257" s="6">
        <v>42948</v>
      </c>
      <c r="B257">
        <v>2004</v>
      </c>
      <c r="C257">
        <v>1678</v>
      </c>
      <c r="D257">
        <v>256</v>
      </c>
      <c r="E257">
        <v>7000</v>
      </c>
      <c r="F257" t="s">
        <v>25</v>
      </c>
      <c r="G257">
        <v>7</v>
      </c>
      <c r="H257" t="s">
        <v>68</v>
      </c>
      <c r="I257">
        <v>15</v>
      </c>
      <c r="J257" s="10">
        <f t="shared" si="3"/>
        <v>7</v>
      </c>
    </row>
    <row r="258" spans="1:10" x14ac:dyDescent="0.2">
      <c r="A258" s="6">
        <v>42860</v>
      </c>
      <c r="B258">
        <v>2004</v>
      </c>
      <c r="C258">
        <v>1678</v>
      </c>
      <c r="D258">
        <v>257</v>
      </c>
      <c r="E258">
        <v>7750</v>
      </c>
      <c r="F258" t="s">
        <v>25</v>
      </c>
      <c r="G258">
        <v>6</v>
      </c>
      <c r="H258" t="s">
        <v>68</v>
      </c>
      <c r="I258">
        <v>15</v>
      </c>
      <c r="J258" s="10">
        <f t="shared" ref="J258:J321" si="4">IF(H258="days",ROUND(G258/30,0),IF(H258="years",G258*12,G258))</f>
        <v>6</v>
      </c>
    </row>
    <row r="259" spans="1:10" x14ac:dyDescent="0.2">
      <c r="A259" s="6">
        <v>42614</v>
      </c>
      <c r="B259">
        <v>2004</v>
      </c>
      <c r="C259">
        <v>1678</v>
      </c>
      <c r="D259">
        <v>258</v>
      </c>
      <c r="E259">
        <v>6500</v>
      </c>
      <c r="F259" t="s">
        <v>25</v>
      </c>
      <c r="G259">
        <v>8</v>
      </c>
      <c r="H259" t="s">
        <v>68</v>
      </c>
      <c r="I259">
        <v>15</v>
      </c>
      <c r="J259" s="10">
        <f t="shared" si="4"/>
        <v>8</v>
      </c>
    </row>
    <row r="260" spans="1:10" x14ac:dyDescent="0.2">
      <c r="A260" s="6">
        <v>42510</v>
      </c>
      <c r="B260">
        <v>2004</v>
      </c>
      <c r="C260">
        <v>1678</v>
      </c>
      <c r="D260">
        <v>259</v>
      </c>
      <c r="E260">
        <v>7950</v>
      </c>
      <c r="F260" t="s">
        <v>25</v>
      </c>
      <c r="G260">
        <v>4</v>
      </c>
      <c r="H260" t="s">
        <v>68</v>
      </c>
      <c r="I260">
        <v>15</v>
      </c>
      <c r="J260" s="10">
        <f t="shared" si="4"/>
        <v>4</v>
      </c>
    </row>
    <row r="261" spans="1:10" x14ac:dyDescent="0.2">
      <c r="A261" s="6">
        <v>42401</v>
      </c>
      <c r="B261">
        <v>2004</v>
      </c>
      <c r="C261">
        <v>1678</v>
      </c>
      <c r="D261">
        <v>260</v>
      </c>
      <c r="E261">
        <v>7300</v>
      </c>
      <c r="F261" t="s">
        <v>25</v>
      </c>
      <c r="G261">
        <v>8</v>
      </c>
      <c r="H261" t="s">
        <v>68</v>
      </c>
      <c r="I261">
        <v>15</v>
      </c>
      <c r="J261" s="10">
        <f t="shared" si="4"/>
        <v>8</v>
      </c>
    </row>
    <row r="262" spans="1:10" x14ac:dyDescent="0.2">
      <c r="A262" s="6">
        <v>42381</v>
      </c>
      <c r="B262">
        <v>2004</v>
      </c>
      <c r="C262">
        <v>1678</v>
      </c>
      <c r="D262">
        <v>261</v>
      </c>
      <c r="E262">
        <v>7200</v>
      </c>
      <c r="F262" t="s">
        <v>25</v>
      </c>
      <c r="G262">
        <v>5</v>
      </c>
      <c r="H262" t="s">
        <v>68</v>
      </c>
      <c r="I262">
        <v>15</v>
      </c>
      <c r="J262" s="10">
        <f t="shared" si="4"/>
        <v>5</v>
      </c>
    </row>
    <row r="263" spans="1:10" x14ac:dyDescent="0.2">
      <c r="A263" s="6">
        <v>43451</v>
      </c>
      <c r="B263">
        <v>2000</v>
      </c>
      <c r="C263">
        <v>1679</v>
      </c>
      <c r="D263">
        <v>262</v>
      </c>
      <c r="E263">
        <v>7500</v>
      </c>
      <c r="F263" t="s">
        <v>25</v>
      </c>
      <c r="G263">
        <v>12</v>
      </c>
      <c r="H263" t="s">
        <v>68</v>
      </c>
      <c r="I263">
        <v>19</v>
      </c>
      <c r="J263" s="10">
        <f t="shared" si="4"/>
        <v>12</v>
      </c>
    </row>
    <row r="264" spans="1:10" x14ac:dyDescent="0.2">
      <c r="A264" s="6">
        <v>43409</v>
      </c>
      <c r="B264">
        <v>2001</v>
      </c>
      <c r="C264">
        <v>1679</v>
      </c>
      <c r="D264">
        <v>263</v>
      </c>
      <c r="E264">
        <v>8900</v>
      </c>
      <c r="F264" t="s">
        <v>25</v>
      </c>
      <c r="G264">
        <v>150</v>
      </c>
      <c r="H264" t="s">
        <v>26</v>
      </c>
      <c r="I264">
        <v>18</v>
      </c>
      <c r="J264" s="10">
        <f t="shared" si="4"/>
        <v>5</v>
      </c>
    </row>
    <row r="265" spans="1:10" x14ac:dyDescent="0.2">
      <c r="A265" s="6">
        <v>43251</v>
      </c>
      <c r="B265">
        <v>2001</v>
      </c>
      <c r="C265">
        <v>1679</v>
      </c>
      <c r="D265">
        <v>264</v>
      </c>
      <c r="E265">
        <v>12200</v>
      </c>
      <c r="F265" t="s">
        <v>25</v>
      </c>
      <c r="G265">
        <v>6</v>
      </c>
      <c r="H265" t="s">
        <v>68</v>
      </c>
      <c r="I265">
        <v>18</v>
      </c>
      <c r="J265" s="10">
        <f t="shared" si="4"/>
        <v>6</v>
      </c>
    </row>
    <row r="266" spans="1:10" x14ac:dyDescent="0.2">
      <c r="A266" s="6">
        <v>43028</v>
      </c>
      <c r="B266">
        <v>2000</v>
      </c>
      <c r="C266">
        <v>1679</v>
      </c>
      <c r="D266">
        <v>265</v>
      </c>
      <c r="E266">
        <v>8325</v>
      </c>
      <c r="F266" t="s">
        <v>25</v>
      </c>
      <c r="G266">
        <v>7</v>
      </c>
      <c r="H266" t="s">
        <v>68</v>
      </c>
      <c r="I266">
        <v>19</v>
      </c>
      <c r="J266" s="10">
        <f t="shared" si="4"/>
        <v>7</v>
      </c>
    </row>
    <row r="267" spans="1:10" x14ac:dyDescent="0.2">
      <c r="A267" s="6">
        <v>43004</v>
      </c>
      <c r="B267">
        <v>2001</v>
      </c>
      <c r="C267">
        <v>1679</v>
      </c>
      <c r="D267">
        <v>266</v>
      </c>
      <c r="E267">
        <v>8300</v>
      </c>
      <c r="F267" t="s">
        <v>25</v>
      </c>
      <c r="G267">
        <v>7</v>
      </c>
      <c r="H267" t="s">
        <v>68</v>
      </c>
      <c r="I267">
        <v>18</v>
      </c>
      <c r="J267" s="10">
        <f t="shared" si="4"/>
        <v>7</v>
      </c>
    </row>
    <row r="268" spans="1:10" x14ac:dyDescent="0.2">
      <c r="A268" s="6">
        <v>42914</v>
      </c>
      <c r="B268">
        <v>2001</v>
      </c>
      <c r="C268">
        <v>1679</v>
      </c>
      <c r="D268">
        <v>267</v>
      </c>
      <c r="E268">
        <v>7000</v>
      </c>
      <c r="F268" t="s">
        <v>25</v>
      </c>
      <c r="G268">
        <v>5</v>
      </c>
      <c r="H268" t="s">
        <v>68</v>
      </c>
      <c r="I268">
        <v>18</v>
      </c>
      <c r="J268" s="10">
        <f t="shared" si="4"/>
        <v>5</v>
      </c>
    </row>
    <row r="269" spans="1:10" x14ac:dyDescent="0.2">
      <c r="A269" s="6">
        <v>42845</v>
      </c>
      <c r="B269">
        <v>2000</v>
      </c>
      <c r="C269">
        <v>1679</v>
      </c>
      <c r="D269">
        <v>268</v>
      </c>
      <c r="E269">
        <v>7700</v>
      </c>
      <c r="F269" t="s">
        <v>25</v>
      </c>
      <c r="G269">
        <v>6</v>
      </c>
      <c r="H269" t="s">
        <v>68</v>
      </c>
      <c r="I269">
        <v>19</v>
      </c>
      <c r="J269" s="10">
        <f t="shared" si="4"/>
        <v>6</v>
      </c>
    </row>
    <row r="270" spans="1:10" x14ac:dyDescent="0.2">
      <c r="A270" s="6">
        <v>42761</v>
      </c>
      <c r="B270">
        <v>2001</v>
      </c>
      <c r="C270">
        <v>1679</v>
      </c>
      <c r="D270">
        <v>269</v>
      </c>
      <c r="E270">
        <v>7100</v>
      </c>
      <c r="F270" t="s">
        <v>25</v>
      </c>
      <c r="G270">
        <v>5</v>
      </c>
      <c r="H270" t="s">
        <v>68</v>
      </c>
      <c r="I270">
        <v>18</v>
      </c>
      <c r="J270" s="10">
        <f t="shared" si="4"/>
        <v>5</v>
      </c>
    </row>
    <row r="271" spans="1:10" x14ac:dyDescent="0.2">
      <c r="A271" s="6">
        <v>42702</v>
      </c>
      <c r="B271">
        <v>2000</v>
      </c>
      <c r="C271">
        <v>1679</v>
      </c>
      <c r="D271">
        <v>270</v>
      </c>
      <c r="E271">
        <v>6800</v>
      </c>
      <c r="F271" t="s">
        <v>25</v>
      </c>
      <c r="G271">
        <v>6</v>
      </c>
      <c r="H271" t="s">
        <v>68</v>
      </c>
      <c r="I271">
        <v>19</v>
      </c>
      <c r="J271" s="10">
        <f t="shared" si="4"/>
        <v>6</v>
      </c>
    </row>
    <row r="272" spans="1:10" x14ac:dyDescent="0.2">
      <c r="A272" s="6">
        <v>42633</v>
      </c>
      <c r="B272">
        <v>2001</v>
      </c>
      <c r="C272">
        <v>1679</v>
      </c>
      <c r="D272">
        <v>271</v>
      </c>
      <c r="E272">
        <v>7150</v>
      </c>
      <c r="F272" t="s">
        <v>25</v>
      </c>
      <c r="G272">
        <v>7</v>
      </c>
      <c r="H272" t="s">
        <v>68</v>
      </c>
      <c r="I272">
        <v>18</v>
      </c>
      <c r="J272" s="10">
        <f t="shared" si="4"/>
        <v>7</v>
      </c>
    </row>
    <row r="273" spans="1:10" x14ac:dyDescent="0.2">
      <c r="A273" s="6">
        <v>42551</v>
      </c>
      <c r="B273">
        <v>2001</v>
      </c>
      <c r="C273">
        <v>1679</v>
      </c>
      <c r="D273">
        <v>272</v>
      </c>
      <c r="E273">
        <v>6800</v>
      </c>
      <c r="F273" t="s">
        <v>25</v>
      </c>
      <c r="G273">
        <v>4</v>
      </c>
      <c r="H273" t="s">
        <v>68</v>
      </c>
      <c r="I273">
        <v>18</v>
      </c>
      <c r="J273" s="10">
        <f t="shared" si="4"/>
        <v>4</v>
      </c>
    </row>
    <row r="274" spans="1:10" x14ac:dyDescent="0.2">
      <c r="A274" s="6">
        <v>42542</v>
      </c>
      <c r="B274">
        <v>2000</v>
      </c>
      <c r="C274">
        <v>1679</v>
      </c>
      <c r="D274">
        <v>273</v>
      </c>
      <c r="E274">
        <v>7250</v>
      </c>
      <c r="F274" t="s">
        <v>25</v>
      </c>
      <c r="G274">
        <v>6</v>
      </c>
      <c r="H274" t="s">
        <v>68</v>
      </c>
      <c r="I274">
        <v>19</v>
      </c>
      <c r="J274" s="10">
        <f t="shared" si="4"/>
        <v>6</v>
      </c>
    </row>
    <row r="275" spans="1:10" x14ac:dyDescent="0.2">
      <c r="A275" s="6">
        <v>42450</v>
      </c>
      <c r="B275">
        <v>2001</v>
      </c>
      <c r="C275">
        <v>1679</v>
      </c>
      <c r="D275">
        <v>274</v>
      </c>
      <c r="E275">
        <v>7500</v>
      </c>
      <c r="F275" t="s">
        <v>25</v>
      </c>
      <c r="G275">
        <v>4</v>
      </c>
      <c r="H275" t="s">
        <v>68</v>
      </c>
      <c r="I275">
        <v>18</v>
      </c>
      <c r="J275" s="10">
        <f t="shared" si="4"/>
        <v>4</v>
      </c>
    </row>
    <row r="276" spans="1:10" x14ac:dyDescent="0.2">
      <c r="A276" s="6">
        <v>42436</v>
      </c>
      <c r="B276">
        <v>2000</v>
      </c>
      <c r="C276">
        <v>1679</v>
      </c>
      <c r="D276">
        <v>275</v>
      </c>
      <c r="E276">
        <v>7400</v>
      </c>
      <c r="F276" t="s">
        <v>25</v>
      </c>
      <c r="G276">
        <v>7</v>
      </c>
      <c r="H276" t="s">
        <v>68</v>
      </c>
      <c r="I276">
        <v>19</v>
      </c>
      <c r="J276" s="10">
        <f t="shared" si="4"/>
        <v>7</v>
      </c>
    </row>
    <row r="277" spans="1:10" x14ac:dyDescent="0.2">
      <c r="A277" s="6">
        <v>42430</v>
      </c>
      <c r="B277">
        <v>2000</v>
      </c>
      <c r="C277">
        <v>1679</v>
      </c>
      <c r="D277">
        <v>276</v>
      </c>
      <c r="E277">
        <v>7250</v>
      </c>
      <c r="F277" t="s">
        <v>25</v>
      </c>
      <c r="G277">
        <v>7</v>
      </c>
      <c r="H277" t="s">
        <v>68</v>
      </c>
      <c r="I277">
        <v>19</v>
      </c>
      <c r="J277" s="10">
        <f t="shared" si="4"/>
        <v>7</v>
      </c>
    </row>
    <row r="278" spans="1:10" x14ac:dyDescent="0.2">
      <c r="A278" s="6">
        <v>43607</v>
      </c>
      <c r="B278">
        <v>2000</v>
      </c>
      <c r="C278">
        <v>1702</v>
      </c>
      <c r="D278">
        <v>277</v>
      </c>
      <c r="E278">
        <v>8600</v>
      </c>
      <c r="F278" t="s">
        <v>25</v>
      </c>
      <c r="G278">
        <v>5</v>
      </c>
      <c r="H278" t="s">
        <v>68</v>
      </c>
      <c r="I278">
        <v>19</v>
      </c>
      <c r="J278" s="10">
        <f t="shared" si="4"/>
        <v>5</v>
      </c>
    </row>
    <row r="279" spans="1:10" x14ac:dyDescent="0.2">
      <c r="A279" s="6">
        <v>43537</v>
      </c>
      <c r="B279">
        <v>2000</v>
      </c>
      <c r="C279">
        <v>1702</v>
      </c>
      <c r="D279">
        <v>278</v>
      </c>
      <c r="E279">
        <v>7350</v>
      </c>
      <c r="F279" t="s">
        <v>25</v>
      </c>
      <c r="G279">
        <v>3</v>
      </c>
      <c r="H279" t="s">
        <v>68</v>
      </c>
      <c r="I279">
        <v>19</v>
      </c>
      <c r="J279" s="10">
        <f t="shared" si="4"/>
        <v>3</v>
      </c>
    </row>
    <row r="280" spans="1:10" x14ac:dyDescent="0.2">
      <c r="A280" s="6">
        <v>43146</v>
      </c>
      <c r="B280">
        <v>2000</v>
      </c>
      <c r="C280">
        <v>1702</v>
      </c>
      <c r="D280">
        <v>279</v>
      </c>
      <c r="E280">
        <v>9500</v>
      </c>
      <c r="F280" t="s">
        <v>25</v>
      </c>
      <c r="G280">
        <v>12</v>
      </c>
      <c r="H280" t="s">
        <v>68</v>
      </c>
      <c r="I280">
        <v>19</v>
      </c>
      <c r="J280" s="10">
        <f t="shared" si="4"/>
        <v>12</v>
      </c>
    </row>
    <row r="281" spans="1:10" x14ac:dyDescent="0.2">
      <c r="A281" s="6">
        <v>42914</v>
      </c>
      <c r="B281">
        <v>2000</v>
      </c>
      <c r="C281">
        <v>1702</v>
      </c>
      <c r="D281">
        <v>280</v>
      </c>
      <c r="E281">
        <v>7750</v>
      </c>
      <c r="F281" t="s">
        <v>25</v>
      </c>
      <c r="G281">
        <v>7</v>
      </c>
      <c r="H281" t="s">
        <v>68</v>
      </c>
      <c r="I281">
        <v>19</v>
      </c>
      <c r="J281" s="10">
        <f t="shared" si="4"/>
        <v>7</v>
      </c>
    </row>
    <row r="282" spans="1:10" x14ac:dyDescent="0.2">
      <c r="A282" s="6">
        <v>42795</v>
      </c>
      <c r="B282">
        <v>2000</v>
      </c>
      <c r="C282">
        <v>1702</v>
      </c>
      <c r="D282">
        <v>281</v>
      </c>
      <c r="E282">
        <v>6575</v>
      </c>
      <c r="F282" t="s">
        <v>25</v>
      </c>
      <c r="G282">
        <v>3</v>
      </c>
      <c r="H282" t="s">
        <v>68</v>
      </c>
      <c r="I282">
        <v>19</v>
      </c>
      <c r="J282" s="10">
        <f t="shared" si="4"/>
        <v>3</v>
      </c>
    </row>
    <row r="283" spans="1:10" x14ac:dyDescent="0.2">
      <c r="A283" s="6">
        <v>42618</v>
      </c>
      <c r="B283">
        <v>2000</v>
      </c>
      <c r="C283">
        <v>1702</v>
      </c>
      <c r="D283">
        <v>282</v>
      </c>
      <c r="E283">
        <v>6750</v>
      </c>
      <c r="F283" t="s">
        <v>25</v>
      </c>
      <c r="G283">
        <v>6</v>
      </c>
      <c r="H283" t="s">
        <v>68</v>
      </c>
      <c r="I283">
        <v>19</v>
      </c>
      <c r="J283" s="10">
        <f t="shared" si="4"/>
        <v>6</v>
      </c>
    </row>
    <row r="284" spans="1:10" x14ac:dyDescent="0.2">
      <c r="A284" s="6">
        <v>43510</v>
      </c>
      <c r="B284">
        <v>2000</v>
      </c>
      <c r="C284">
        <v>1714</v>
      </c>
      <c r="D284">
        <v>283</v>
      </c>
      <c r="E284">
        <v>7250</v>
      </c>
      <c r="F284" t="s">
        <v>25</v>
      </c>
      <c r="G284">
        <v>4</v>
      </c>
      <c r="H284" t="s">
        <v>68</v>
      </c>
      <c r="I284">
        <v>19</v>
      </c>
      <c r="J284" s="10">
        <f t="shared" si="4"/>
        <v>4</v>
      </c>
    </row>
    <row r="285" spans="1:10" x14ac:dyDescent="0.2">
      <c r="A285" s="6">
        <v>43313</v>
      </c>
      <c r="B285">
        <v>2000</v>
      </c>
      <c r="C285">
        <v>1714</v>
      </c>
      <c r="D285">
        <v>284</v>
      </c>
      <c r="E285">
        <v>10000</v>
      </c>
      <c r="F285" t="s">
        <v>25</v>
      </c>
      <c r="G285">
        <v>6</v>
      </c>
      <c r="H285" t="s">
        <v>68</v>
      </c>
      <c r="I285">
        <v>19</v>
      </c>
      <c r="J285" s="10">
        <f t="shared" si="4"/>
        <v>6</v>
      </c>
    </row>
    <row r="286" spans="1:10" x14ac:dyDescent="0.2">
      <c r="A286" s="6">
        <v>43026</v>
      </c>
      <c r="B286">
        <v>2000</v>
      </c>
      <c r="C286">
        <v>1714</v>
      </c>
      <c r="D286">
        <v>285</v>
      </c>
      <c r="E286">
        <v>7900</v>
      </c>
      <c r="F286" t="s">
        <v>25</v>
      </c>
      <c r="G286">
        <v>10</v>
      </c>
      <c r="H286" t="s">
        <v>68</v>
      </c>
      <c r="I286">
        <v>19</v>
      </c>
      <c r="J286" s="10">
        <f t="shared" si="4"/>
        <v>10</v>
      </c>
    </row>
    <row r="287" spans="1:10" x14ac:dyDescent="0.2">
      <c r="A287" s="6">
        <v>42644</v>
      </c>
      <c r="B287">
        <v>2000</v>
      </c>
      <c r="C287">
        <v>1714</v>
      </c>
      <c r="D287">
        <v>286</v>
      </c>
      <c r="E287">
        <v>6700</v>
      </c>
      <c r="F287" t="s">
        <v>25</v>
      </c>
      <c r="G287">
        <v>12</v>
      </c>
      <c r="H287" t="s">
        <v>68</v>
      </c>
      <c r="I287">
        <v>19</v>
      </c>
      <c r="J287" s="10">
        <f t="shared" si="4"/>
        <v>12</v>
      </c>
    </row>
    <row r="288" spans="1:10" x14ac:dyDescent="0.2">
      <c r="A288" s="6">
        <v>42417</v>
      </c>
      <c r="B288">
        <v>2000</v>
      </c>
      <c r="C288">
        <v>1714</v>
      </c>
      <c r="D288">
        <v>287</v>
      </c>
      <c r="E288">
        <v>7250</v>
      </c>
      <c r="F288" t="s">
        <v>25</v>
      </c>
      <c r="G288">
        <v>12</v>
      </c>
      <c r="H288" t="s">
        <v>68</v>
      </c>
      <c r="I288">
        <v>19</v>
      </c>
      <c r="J288" s="10">
        <f t="shared" si="4"/>
        <v>12</v>
      </c>
    </row>
    <row r="289" spans="1:10" x14ac:dyDescent="0.2">
      <c r="A289" s="6">
        <v>43510</v>
      </c>
      <c r="B289">
        <v>2002</v>
      </c>
      <c r="C289">
        <v>1718</v>
      </c>
      <c r="D289">
        <v>288</v>
      </c>
      <c r="E289">
        <v>7100</v>
      </c>
      <c r="F289" t="s">
        <v>25</v>
      </c>
      <c r="G289">
        <v>6</v>
      </c>
      <c r="H289" t="s">
        <v>68</v>
      </c>
      <c r="I289">
        <v>17</v>
      </c>
      <c r="J289" s="10">
        <f t="shared" si="4"/>
        <v>6</v>
      </c>
    </row>
    <row r="290" spans="1:10" x14ac:dyDescent="0.2">
      <c r="A290" s="6">
        <v>43378</v>
      </c>
      <c r="B290">
        <v>2002</v>
      </c>
      <c r="C290">
        <v>1718</v>
      </c>
      <c r="D290">
        <v>289</v>
      </c>
      <c r="E290">
        <v>9250</v>
      </c>
      <c r="F290" t="s">
        <v>25</v>
      </c>
      <c r="G290">
        <v>90</v>
      </c>
      <c r="H290" t="s">
        <v>26</v>
      </c>
      <c r="I290">
        <v>17</v>
      </c>
      <c r="J290" s="10">
        <f t="shared" si="4"/>
        <v>3</v>
      </c>
    </row>
    <row r="291" spans="1:10" x14ac:dyDescent="0.2">
      <c r="A291" s="6">
        <v>43270</v>
      </c>
      <c r="B291">
        <v>2002</v>
      </c>
      <c r="C291">
        <v>1718</v>
      </c>
      <c r="D291">
        <v>290</v>
      </c>
      <c r="E291">
        <v>10500</v>
      </c>
      <c r="F291" t="s">
        <v>25</v>
      </c>
      <c r="G291">
        <v>5</v>
      </c>
      <c r="H291" t="s">
        <v>68</v>
      </c>
      <c r="I291">
        <v>17</v>
      </c>
      <c r="J291" s="10">
        <f t="shared" si="4"/>
        <v>5</v>
      </c>
    </row>
    <row r="292" spans="1:10" x14ac:dyDescent="0.2">
      <c r="A292" s="6">
        <v>43038</v>
      </c>
      <c r="B292">
        <v>2002</v>
      </c>
      <c r="C292">
        <v>1718</v>
      </c>
      <c r="D292">
        <v>291</v>
      </c>
      <c r="E292">
        <v>7950</v>
      </c>
      <c r="F292" t="s">
        <v>25</v>
      </c>
      <c r="G292">
        <v>8</v>
      </c>
      <c r="H292" t="s">
        <v>68</v>
      </c>
      <c r="I292">
        <v>17</v>
      </c>
      <c r="J292" s="10">
        <f t="shared" si="4"/>
        <v>8</v>
      </c>
    </row>
    <row r="293" spans="1:10" x14ac:dyDescent="0.2">
      <c r="A293" s="6">
        <v>42871</v>
      </c>
      <c r="B293">
        <v>2002</v>
      </c>
      <c r="C293">
        <v>1718</v>
      </c>
      <c r="D293">
        <v>292</v>
      </c>
      <c r="E293">
        <v>6500</v>
      </c>
      <c r="F293" t="s">
        <v>25</v>
      </c>
      <c r="G293">
        <v>2</v>
      </c>
      <c r="H293" t="s">
        <v>68</v>
      </c>
      <c r="I293">
        <v>17</v>
      </c>
      <c r="J293" s="10">
        <f t="shared" si="4"/>
        <v>2</v>
      </c>
    </row>
    <row r="294" spans="1:10" x14ac:dyDescent="0.2">
      <c r="A294" s="6">
        <v>42710</v>
      </c>
      <c r="B294">
        <v>2002</v>
      </c>
      <c r="C294">
        <v>1718</v>
      </c>
      <c r="D294">
        <v>293</v>
      </c>
      <c r="E294">
        <v>6750</v>
      </c>
      <c r="F294" t="s">
        <v>25</v>
      </c>
      <c r="G294">
        <v>30</v>
      </c>
      <c r="H294" t="s">
        <v>26</v>
      </c>
      <c r="I294">
        <v>17</v>
      </c>
      <c r="J294" s="10">
        <f t="shared" si="4"/>
        <v>1</v>
      </c>
    </row>
    <row r="295" spans="1:10" x14ac:dyDescent="0.2">
      <c r="A295" s="6">
        <v>42583</v>
      </c>
      <c r="B295">
        <v>2002</v>
      </c>
      <c r="C295">
        <v>1718</v>
      </c>
      <c r="D295">
        <v>294</v>
      </c>
      <c r="E295">
        <v>6750</v>
      </c>
      <c r="F295" t="s">
        <v>25</v>
      </c>
      <c r="G295">
        <v>5</v>
      </c>
      <c r="H295" t="s">
        <v>68</v>
      </c>
      <c r="I295">
        <v>17</v>
      </c>
      <c r="J295" s="10">
        <f t="shared" si="4"/>
        <v>5</v>
      </c>
    </row>
    <row r="296" spans="1:10" x14ac:dyDescent="0.2">
      <c r="A296" s="6">
        <v>43627</v>
      </c>
      <c r="B296">
        <v>2002</v>
      </c>
      <c r="C296">
        <v>1719</v>
      </c>
      <c r="D296">
        <v>295</v>
      </c>
      <c r="E296">
        <v>9100</v>
      </c>
      <c r="F296" t="s">
        <v>25</v>
      </c>
      <c r="G296">
        <v>30</v>
      </c>
      <c r="H296" t="s">
        <v>26</v>
      </c>
      <c r="I296">
        <v>17</v>
      </c>
      <c r="J296" s="10">
        <f t="shared" si="4"/>
        <v>1</v>
      </c>
    </row>
    <row r="297" spans="1:10" x14ac:dyDescent="0.2">
      <c r="A297" s="6">
        <v>43601</v>
      </c>
      <c r="B297">
        <v>2002</v>
      </c>
      <c r="C297">
        <v>1719</v>
      </c>
      <c r="D297">
        <v>296</v>
      </c>
      <c r="E297">
        <v>8700</v>
      </c>
      <c r="F297" t="s">
        <v>25</v>
      </c>
      <c r="G297">
        <v>30</v>
      </c>
      <c r="H297" t="s">
        <v>26</v>
      </c>
      <c r="I297">
        <v>17</v>
      </c>
      <c r="J297" s="10">
        <f t="shared" si="4"/>
        <v>1</v>
      </c>
    </row>
    <row r="298" spans="1:10" x14ac:dyDescent="0.2">
      <c r="A298" s="6">
        <v>43556</v>
      </c>
      <c r="B298">
        <v>2002</v>
      </c>
      <c r="C298">
        <v>1719</v>
      </c>
      <c r="D298">
        <v>297</v>
      </c>
      <c r="E298">
        <v>7850</v>
      </c>
      <c r="F298" t="s">
        <v>25</v>
      </c>
      <c r="G298">
        <v>12</v>
      </c>
      <c r="H298" t="s">
        <v>68</v>
      </c>
      <c r="I298">
        <v>17</v>
      </c>
      <c r="J298" s="10">
        <f t="shared" si="4"/>
        <v>12</v>
      </c>
    </row>
    <row r="299" spans="1:10" x14ac:dyDescent="0.2">
      <c r="A299" s="6">
        <v>43523</v>
      </c>
      <c r="B299">
        <v>2002</v>
      </c>
      <c r="C299">
        <v>1719</v>
      </c>
      <c r="D299">
        <v>298</v>
      </c>
      <c r="E299">
        <v>8000</v>
      </c>
      <c r="F299" t="s">
        <v>25</v>
      </c>
      <c r="G299">
        <v>4</v>
      </c>
      <c r="H299" t="s">
        <v>68</v>
      </c>
      <c r="I299">
        <v>17</v>
      </c>
      <c r="J299" s="10">
        <f t="shared" si="4"/>
        <v>4</v>
      </c>
    </row>
    <row r="300" spans="1:10" x14ac:dyDescent="0.2">
      <c r="A300" s="6">
        <v>43437</v>
      </c>
      <c r="B300">
        <v>2002</v>
      </c>
      <c r="C300">
        <v>1719</v>
      </c>
      <c r="D300">
        <v>299</v>
      </c>
      <c r="E300">
        <v>6800</v>
      </c>
      <c r="F300" t="s">
        <v>25</v>
      </c>
      <c r="G300">
        <v>35</v>
      </c>
      <c r="H300" t="s">
        <v>26</v>
      </c>
      <c r="I300">
        <v>17</v>
      </c>
      <c r="J300" s="10">
        <f t="shared" si="4"/>
        <v>1</v>
      </c>
    </row>
    <row r="301" spans="1:10" x14ac:dyDescent="0.2">
      <c r="A301" s="6">
        <v>43397</v>
      </c>
      <c r="B301">
        <v>2001</v>
      </c>
      <c r="C301">
        <v>1719</v>
      </c>
      <c r="D301">
        <v>300</v>
      </c>
      <c r="E301">
        <v>9500</v>
      </c>
      <c r="F301" t="s">
        <v>25</v>
      </c>
      <c r="G301">
        <v>6</v>
      </c>
      <c r="H301" t="s">
        <v>68</v>
      </c>
      <c r="I301">
        <v>18</v>
      </c>
      <c r="J301" s="10">
        <f t="shared" si="4"/>
        <v>6</v>
      </c>
    </row>
    <row r="302" spans="1:10" x14ac:dyDescent="0.2">
      <c r="A302" s="6">
        <v>43397</v>
      </c>
      <c r="B302">
        <v>2002</v>
      </c>
      <c r="C302">
        <v>1719</v>
      </c>
      <c r="D302">
        <v>301</v>
      </c>
      <c r="E302">
        <v>9500</v>
      </c>
      <c r="F302" t="s">
        <v>25</v>
      </c>
      <c r="G302">
        <v>6</v>
      </c>
      <c r="H302" t="s">
        <v>68</v>
      </c>
      <c r="I302">
        <v>17</v>
      </c>
      <c r="J302" s="10">
        <f t="shared" si="4"/>
        <v>6</v>
      </c>
    </row>
    <row r="303" spans="1:10" x14ac:dyDescent="0.2">
      <c r="A303" s="6">
        <v>43294</v>
      </c>
      <c r="B303">
        <v>2001</v>
      </c>
      <c r="C303">
        <v>1719</v>
      </c>
      <c r="D303">
        <v>302</v>
      </c>
      <c r="E303">
        <v>10500</v>
      </c>
      <c r="F303" t="s">
        <v>25</v>
      </c>
      <c r="G303">
        <v>3</v>
      </c>
      <c r="H303" t="s">
        <v>68</v>
      </c>
      <c r="I303">
        <v>18</v>
      </c>
      <c r="J303" s="10">
        <f t="shared" si="4"/>
        <v>3</v>
      </c>
    </row>
    <row r="304" spans="1:10" x14ac:dyDescent="0.2">
      <c r="A304" s="6">
        <v>42872</v>
      </c>
      <c r="B304">
        <v>2002</v>
      </c>
      <c r="C304">
        <v>1719</v>
      </c>
      <c r="D304">
        <v>303</v>
      </c>
      <c r="E304">
        <v>7500</v>
      </c>
      <c r="F304" t="s">
        <v>25</v>
      </c>
      <c r="G304">
        <v>42</v>
      </c>
      <c r="H304" t="s">
        <v>26</v>
      </c>
      <c r="I304">
        <v>17</v>
      </c>
      <c r="J304" s="10">
        <f t="shared" si="4"/>
        <v>1</v>
      </c>
    </row>
    <row r="305" spans="1:10" x14ac:dyDescent="0.2">
      <c r="A305" s="6">
        <v>43507</v>
      </c>
      <c r="B305">
        <v>2002</v>
      </c>
      <c r="C305">
        <v>1726</v>
      </c>
      <c r="D305">
        <v>304</v>
      </c>
      <c r="E305">
        <v>7000</v>
      </c>
      <c r="F305" t="s">
        <v>25</v>
      </c>
      <c r="G305">
        <v>9</v>
      </c>
      <c r="H305" t="s">
        <v>68</v>
      </c>
      <c r="I305">
        <v>17</v>
      </c>
      <c r="J305" s="10">
        <f t="shared" si="4"/>
        <v>9</v>
      </c>
    </row>
    <row r="306" spans="1:10" x14ac:dyDescent="0.2">
      <c r="A306" s="6">
        <v>43308</v>
      </c>
      <c r="B306">
        <v>2001</v>
      </c>
      <c r="C306">
        <v>1726</v>
      </c>
      <c r="D306">
        <v>305</v>
      </c>
      <c r="E306">
        <v>9850</v>
      </c>
      <c r="F306" t="s">
        <v>25</v>
      </c>
      <c r="G306">
        <v>8</v>
      </c>
      <c r="H306" t="s">
        <v>68</v>
      </c>
      <c r="I306">
        <v>18</v>
      </c>
      <c r="J306" s="10">
        <f t="shared" si="4"/>
        <v>8</v>
      </c>
    </row>
    <row r="307" spans="1:10" x14ac:dyDescent="0.2">
      <c r="A307" s="6">
        <v>43272</v>
      </c>
      <c r="B307">
        <v>2002</v>
      </c>
      <c r="C307">
        <v>1726</v>
      </c>
      <c r="D307">
        <v>306</v>
      </c>
      <c r="E307">
        <v>10950</v>
      </c>
      <c r="F307" t="s">
        <v>25</v>
      </c>
      <c r="G307">
        <v>9</v>
      </c>
      <c r="H307" t="s">
        <v>68</v>
      </c>
      <c r="I307">
        <v>17</v>
      </c>
      <c r="J307" s="10">
        <f t="shared" si="4"/>
        <v>9</v>
      </c>
    </row>
    <row r="308" spans="1:10" x14ac:dyDescent="0.2">
      <c r="A308" s="6">
        <v>42984</v>
      </c>
      <c r="B308">
        <v>2001</v>
      </c>
      <c r="C308">
        <v>1726</v>
      </c>
      <c r="D308">
        <v>307</v>
      </c>
      <c r="E308">
        <v>6950</v>
      </c>
      <c r="F308" t="s">
        <v>25</v>
      </c>
      <c r="G308">
        <v>11</v>
      </c>
      <c r="H308" t="s">
        <v>68</v>
      </c>
      <c r="I308">
        <v>18</v>
      </c>
      <c r="J308" s="10">
        <f t="shared" si="4"/>
        <v>11</v>
      </c>
    </row>
    <row r="309" spans="1:10" x14ac:dyDescent="0.2">
      <c r="A309" s="6">
        <v>42781</v>
      </c>
      <c r="B309">
        <v>2002</v>
      </c>
      <c r="C309">
        <v>1726</v>
      </c>
      <c r="D309">
        <v>308</v>
      </c>
      <c r="E309">
        <v>6000</v>
      </c>
      <c r="F309" t="s">
        <v>25</v>
      </c>
      <c r="G309">
        <v>7</v>
      </c>
      <c r="H309" t="s">
        <v>68</v>
      </c>
      <c r="I309">
        <v>17</v>
      </c>
      <c r="J309" s="10">
        <f t="shared" si="4"/>
        <v>7</v>
      </c>
    </row>
    <row r="310" spans="1:10" x14ac:dyDescent="0.2">
      <c r="A310" s="6">
        <v>42760</v>
      </c>
      <c r="B310">
        <v>2002</v>
      </c>
      <c r="C310">
        <v>1726</v>
      </c>
      <c r="D310">
        <v>309</v>
      </c>
      <c r="E310">
        <v>6300</v>
      </c>
      <c r="F310" t="s">
        <v>25</v>
      </c>
      <c r="G310">
        <v>90</v>
      </c>
      <c r="H310" t="s">
        <v>26</v>
      </c>
      <c r="I310">
        <v>17</v>
      </c>
      <c r="J310" s="10">
        <f t="shared" si="4"/>
        <v>3</v>
      </c>
    </row>
    <row r="311" spans="1:10" x14ac:dyDescent="0.2">
      <c r="A311" s="6">
        <v>42670</v>
      </c>
      <c r="B311">
        <v>2001</v>
      </c>
      <c r="C311">
        <v>1726</v>
      </c>
      <c r="D311">
        <v>310</v>
      </c>
      <c r="E311">
        <v>6000</v>
      </c>
      <c r="F311" t="s">
        <v>25</v>
      </c>
      <c r="G311">
        <v>10</v>
      </c>
      <c r="H311" t="s">
        <v>68</v>
      </c>
      <c r="I311">
        <v>18</v>
      </c>
      <c r="J311" s="10">
        <f t="shared" si="4"/>
        <v>10</v>
      </c>
    </row>
    <row r="312" spans="1:10" x14ac:dyDescent="0.2">
      <c r="A312" s="6">
        <v>42640</v>
      </c>
      <c r="B312">
        <v>2002</v>
      </c>
      <c r="C312">
        <v>1726</v>
      </c>
      <c r="D312">
        <v>311</v>
      </c>
      <c r="E312">
        <v>6500</v>
      </c>
      <c r="F312" t="s">
        <v>25</v>
      </c>
      <c r="G312">
        <v>3</v>
      </c>
      <c r="H312" t="s">
        <v>68</v>
      </c>
      <c r="I312">
        <v>17</v>
      </c>
      <c r="J312" s="10">
        <f t="shared" si="4"/>
        <v>3</v>
      </c>
    </row>
    <row r="313" spans="1:10" x14ac:dyDescent="0.2">
      <c r="A313" s="6">
        <v>42503</v>
      </c>
      <c r="B313">
        <v>2001</v>
      </c>
      <c r="C313">
        <v>1726</v>
      </c>
      <c r="D313">
        <v>312</v>
      </c>
      <c r="E313">
        <v>6200</v>
      </c>
      <c r="F313" t="s">
        <v>25</v>
      </c>
      <c r="G313">
        <v>10</v>
      </c>
      <c r="H313" t="s">
        <v>68</v>
      </c>
      <c r="I313">
        <v>18</v>
      </c>
      <c r="J313" s="10">
        <f t="shared" si="4"/>
        <v>10</v>
      </c>
    </row>
    <row r="314" spans="1:10" x14ac:dyDescent="0.2">
      <c r="A314" s="6">
        <v>42493</v>
      </c>
      <c r="B314">
        <v>2002</v>
      </c>
      <c r="C314">
        <v>1726</v>
      </c>
      <c r="D314">
        <v>313</v>
      </c>
      <c r="E314">
        <v>6800</v>
      </c>
      <c r="F314" t="s">
        <v>25</v>
      </c>
      <c r="G314">
        <v>5</v>
      </c>
      <c r="H314" t="s">
        <v>68</v>
      </c>
      <c r="I314">
        <v>17</v>
      </c>
      <c r="J314" s="10">
        <f t="shared" si="4"/>
        <v>5</v>
      </c>
    </row>
    <row r="315" spans="1:10" x14ac:dyDescent="0.2">
      <c r="A315" s="6">
        <v>42383</v>
      </c>
      <c r="B315">
        <v>2002</v>
      </c>
      <c r="C315">
        <v>1726</v>
      </c>
      <c r="D315">
        <v>314</v>
      </c>
      <c r="E315">
        <v>7250</v>
      </c>
      <c r="F315" t="s">
        <v>25</v>
      </c>
      <c r="G315">
        <v>3</v>
      </c>
      <c r="H315" t="s">
        <v>68</v>
      </c>
      <c r="I315">
        <v>17</v>
      </c>
      <c r="J315" s="10">
        <f t="shared" si="4"/>
        <v>3</v>
      </c>
    </row>
    <row r="316" spans="1:10" x14ac:dyDescent="0.2">
      <c r="A316" s="6">
        <v>43493</v>
      </c>
      <c r="B316">
        <v>2003</v>
      </c>
      <c r="C316">
        <v>1728</v>
      </c>
      <c r="D316">
        <v>315</v>
      </c>
      <c r="E316">
        <v>6500</v>
      </c>
      <c r="F316" t="s">
        <v>25</v>
      </c>
      <c r="G316">
        <v>7</v>
      </c>
      <c r="H316" t="s">
        <v>68</v>
      </c>
      <c r="I316">
        <v>16</v>
      </c>
      <c r="J316" s="10">
        <f t="shared" si="4"/>
        <v>7</v>
      </c>
    </row>
    <row r="317" spans="1:10" x14ac:dyDescent="0.2">
      <c r="A317" s="6">
        <v>43182</v>
      </c>
      <c r="B317">
        <v>2003</v>
      </c>
      <c r="C317">
        <v>1728</v>
      </c>
      <c r="D317">
        <v>316</v>
      </c>
      <c r="E317">
        <v>10100</v>
      </c>
      <c r="F317" t="s">
        <v>25</v>
      </c>
      <c r="G317">
        <v>12</v>
      </c>
      <c r="H317" t="s">
        <v>68</v>
      </c>
      <c r="I317">
        <v>16</v>
      </c>
      <c r="J317" s="10">
        <f t="shared" si="4"/>
        <v>12</v>
      </c>
    </row>
    <row r="318" spans="1:10" x14ac:dyDescent="0.2">
      <c r="A318" s="6">
        <v>43005</v>
      </c>
      <c r="B318">
        <v>2003</v>
      </c>
      <c r="C318">
        <v>1728</v>
      </c>
      <c r="D318">
        <v>317</v>
      </c>
      <c r="E318">
        <v>7250</v>
      </c>
      <c r="F318" t="s">
        <v>25</v>
      </c>
      <c r="G318">
        <v>6</v>
      </c>
      <c r="H318" t="s">
        <v>68</v>
      </c>
      <c r="I318">
        <v>16</v>
      </c>
      <c r="J318" s="10">
        <f t="shared" si="4"/>
        <v>6</v>
      </c>
    </row>
    <row r="319" spans="1:10" x14ac:dyDescent="0.2">
      <c r="A319" s="6">
        <v>42811</v>
      </c>
      <c r="B319">
        <v>2003</v>
      </c>
      <c r="C319">
        <v>1728</v>
      </c>
      <c r="D319">
        <v>318</v>
      </c>
      <c r="E319">
        <v>6000</v>
      </c>
      <c r="F319" t="s">
        <v>25</v>
      </c>
      <c r="G319">
        <v>4</v>
      </c>
      <c r="H319" t="s">
        <v>68</v>
      </c>
      <c r="I319">
        <v>16</v>
      </c>
      <c r="J319" s="10">
        <f t="shared" si="4"/>
        <v>4</v>
      </c>
    </row>
    <row r="320" spans="1:10" x14ac:dyDescent="0.2">
      <c r="A320" s="6">
        <v>42633</v>
      </c>
      <c r="B320">
        <v>2003</v>
      </c>
      <c r="C320">
        <v>1728</v>
      </c>
      <c r="D320">
        <v>319</v>
      </c>
      <c r="E320">
        <v>6000</v>
      </c>
      <c r="F320" t="s">
        <v>25</v>
      </c>
      <c r="G320">
        <v>6</v>
      </c>
      <c r="H320" t="s">
        <v>68</v>
      </c>
      <c r="I320">
        <v>16</v>
      </c>
      <c r="J320" s="10">
        <f t="shared" si="4"/>
        <v>6</v>
      </c>
    </row>
    <row r="321" spans="1:10" x14ac:dyDescent="0.2">
      <c r="A321" s="6">
        <v>43417</v>
      </c>
      <c r="B321">
        <v>2000</v>
      </c>
      <c r="C321">
        <v>1730</v>
      </c>
      <c r="D321">
        <v>320</v>
      </c>
      <c r="E321">
        <v>8750</v>
      </c>
      <c r="F321" t="s">
        <v>25</v>
      </c>
      <c r="G321">
        <v>4</v>
      </c>
      <c r="H321" t="s">
        <v>68</v>
      </c>
      <c r="I321">
        <v>19</v>
      </c>
      <c r="J321" s="10">
        <f t="shared" si="4"/>
        <v>4</v>
      </c>
    </row>
    <row r="322" spans="1:10" x14ac:dyDescent="0.2">
      <c r="A322" s="6">
        <v>43398</v>
      </c>
      <c r="B322">
        <v>2002</v>
      </c>
      <c r="C322">
        <v>1730</v>
      </c>
      <c r="D322">
        <v>321</v>
      </c>
      <c r="E322">
        <v>8250</v>
      </c>
      <c r="F322" t="s">
        <v>25</v>
      </c>
      <c r="G322">
        <v>8</v>
      </c>
      <c r="H322" t="s">
        <v>68</v>
      </c>
      <c r="I322">
        <v>17</v>
      </c>
      <c r="J322" s="10">
        <f t="shared" ref="J322:J385" si="5">IF(H322="days",ROUND(G322/30,0),IF(H322="years",G322*12,G322))</f>
        <v>8</v>
      </c>
    </row>
    <row r="323" spans="1:10" x14ac:dyDescent="0.2">
      <c r="A323" s="6">
        <v>43385</v>
      </c>
      <c r="B323">
        <v>2001</v>
      </c>
      <c r="C323">
        <v>1730</v>
      </c>
      <c r="D323">
        <v>322</v>
      </c>
      <c r="E323">
        <v>9000</v>
      </c>
      <c r="F323" t="s">
        <v>25</v>
      </c>
      <c r="G323">
        <v>60</v>
      </c>
      <c r="H323" t="s">
        <v>26</v>
      </c>
      <c r="I323">
        <v>18</v>
      </c>
      <c r="J323" s="10">
        <f t="shared" si="5"/>
        <v>2</v>
      </c>
    </row>
    <row r="324" spans="1:10" x14ac:dyDescent="0.2">
      <c r="A324" s="6">
        <v>43370</v>
      </c>
      <c r="B324">
        <v>2000</v>
      </c>
      <c r="C324">
        <v>1730</v>
      </c>
      <c r="D324">
        <v>323</v>
      </c>
      <c r="E324">
        <v>9500</v>
      </c>
      <c r="F324" t="s">
        <v>25</v>
      </c>
      <c r="G324">
        <v>7</v>
      </c>
      <c r="H324" t="s">
        <v>68</v>
      </c>
      <c r="I324">
        <v>19</v>
      </c>
      <c r="J324" s="10">
        <f t="shared" si="5"/>
        <v>7</v>
      </c>
    </row>
    <row r="325" spans="1:10" x14ac:dyDescent="0.2">
      <c r="A325" s="6">
        <v>43329</v>
      </c>
      <c r="B325">
        <v>2000</v>
      </c>
      <c r="C325">
        <v>1730</v>
      </c>
      <c r="D325">
        <v>324</v>
      </c>
      <c r="E325">
        <v>9750</v>
      </c>
      <c r="F325" t="s">
        <v>25</v>
      </c>
      <c r="G325">
        <v>40</v>
      </c>
      <c r="H325" t="s">
        <v>26</v>
      </c>
      <c r="I325">
        <v>19</v>
      </c>
      <c r="J325" s="10">
        <f t="shared" si="5"/>
        <v>1</v>
      </c>
    </row>
    <row r="326" spans="1:10" x14ac:dyDescent="0.2">
      <c r="A326" s="6">
        <v>43283</v>
      </c>
      <c r="B326">
        <v>2000</v>
      </c>
      <c r="C326">
        <v>1730</v>
      </c>
      <c r="D326">
        <v>325</v>
      </c>
      <c r="E326">
        <v>10000</v>
      </c>
      <c r="F326" t="s">
        <v>25</v>
      </c>
      <c r="G326">
        <v>50</v>
      </c>
      <c r="H326" t="s">
        <v>26</v>
      </c>
      <c r="I326">
        <v>19</v>
      </c>
      <c r="J326" s="10">
        <f t="shared" si="5"/>
        <v>2</v>
      </c>
    </row>
    <row r="327" spans="1:10" x14ac:dyDescent="0.2">
      <c r="A327" s="6">
        <v>43250</v>
      </c>
      <c r="B327">
        <v>2000</v>
      </c>
      <c r="C327">
        <v>1730</v>
      </c>
      <c r="D327">
        <v>326</v>
      </c>
      <c r="E327">
        <v>10750</v>
      </c>
      <c r="F327" t="s">
        <v>25</v>
      </c>
      <c r="G327">
        <v>12</v>
      </c>
      <c r="H327" t="s">
        <v>68</v>
      </c>
      <c r="I327">
        <v>19</v>
      </c>
      <c r="J327" s="10">
        <f t="shared" si="5"/>
        <v>12</v>
      </c>
    </row>
    <row r="328" spans="1:10" x14ac:dyDescent="0.2">
      <c r="A328" s="6">
        <v>43203</v>
      </c>
      <c r="B328">
        <v>2000</v>
      </c>
      <c r="C328">
        <v>1730</v>
      </c>
      <c r="D328">
        <v>327</v>
      </c>
      <c r="E328">
        <v>10650</v>
      </c>
      <c r="F328" t="s">
        <v>25</v>
      </c>
      <c r="G328">
        <v>6</v>
      </c>
      <c r="H328" t="s">
        <v>68</v>
      </c>
      <c r="I328">
        <v>19</v>
      </c>
      <c r="J328" s="10">
        <f t="shared" si="5"/>
        <v>6</v>
      </c>
    </row>
    <row r="329" spans="1:10" x14ac:dyDescent="0.2">
      <c r="A329" s="6">
        <v>43181</v>
      </c>
      <c r="B329">
        <v>2001</v>
      </c>
      <c r="C329">
        <v>1730</v>
      </c>
      <c r="D329">
        <v>328</v>
      </c>
      <c r="E329">
        <v>10500</v>
      </c>
      <c r="F329" t="s">
        <v>25</v>
      </c>
      <c r="G329">
        <v>6</v>
      </c>
      <c r="H329" t="s">
        <v>68</v>
      </c>
      <c r="I329">
        <v>18</v>
      </c>
      <c r="J329" s="10">
        <f t="shared" si="5"/>
        <v>6</v>
      </c>
    </row>
    <row r="330" spans="1:10" x14ac:dyDescent="0.2">
      <c r="A330" s="6">
        <v>43179</v>
      </c>
      <c r="B330">
        <v>2002</v>
      </c>
      <c r="C330">
        <v>1730</v>
      </c>
      <c r="D330">
        <v>329</v>
      </c>
      <c r="E330">
        <v>10300</v>
      </c>
      <c r="F330" t="s">
        <v>25</v>
      </c>
      <c r="G330">
        <v>8</v>
      </c>
      <c r="H330" t="s">
        <v>68</v>
      </c>
      <c r="I330">
        <v>17</v>
      </c>
      <c r="J330" s="10">
        <f t="shared" si="5"/>
        <v>8</v>
      </c>
    </row>
    <row r="331" spans="1:10" x14ac:dyDescent="0.2">
      <c r="A331" s="6">
        <v>43164</v>
      </c>
      <c r="B331">
        <v>2002</v>
      </c>
      <c r="C331">
        <v>1730</v>
      </c>
      <c r="D331">
        <v>330</v>
      </c>
      <c r="E331">
        <v>9250</v>
      </c>
      <c r="F331" t="s">
        <v>25</v>
      </c>
      <c r="G331">
        <v>7</v>
      </c>
      <c r="H331" t="s">
        <v>68</v>
      </c>
      <c r="I331">
        <v>17</v>
      </c>
      <c r="J331" s="10">
        <f t="shared" si="5"/>
        <v>7</v>
      </c>
    </row>
    <row r="332" spans="1:10" x14ac:dyDescent="0.2">
      <c r="A332" s="6">
        <v>43054</v>
      </c>
      <c r="B332">
        <v>2000</v>
      </c>
      <c r="C332">
        <v>1730</v>
      </c>
      <c r="D332">
        <v>331</v>
      </c>
      <c r="E332">
        <v>8500</v>
      </c>
      <c r="F332" t="s">
        <v>25</v>
      </c>
      <c r="G332">
        <v>6</v>
      </c>
      <c r="H332" t="s">
        <v>68</v>
      </c>
      <c r="I332">
        <v>19</v>
      </c>
      <c r="J332" s="10">
        <f t="shared" si="5"/>
        <v>6</v>
      </c>
    </row>
    <row r="333" spans="1:10" x14ac:dyDescent="0.2">
      <c r="A333" s="6">
        <v>43045</v>
      </c>
      <c r="B333">
        <v>2002</v>
      </c>
      <c r="C333">
        <v>1730</v>
      </c>
      <c r="D333">
        <v>332</v>
      </c>
      <c r="E333">
        <v>8200</v>
      </c>
      <c r="F333" t="s">
        <v>25</v>
      </c>
      <c r="G333">
        <v>6</v>
      </c>
      <c r="H333" t="s">
        <v>68</v>
      </c>
      <c r="I333">
        <v>17</v>
      </c>
      <c r="J333" s="10">
        <f t="shared" si="5"/>
        <v>6</v>
      </c>
    </row>
    <row r="334" spans="1:10" x14ac:dyDescent="0.2">
      <c r="A334" s="6">
        <v>43004</v>
      </c>
      <c r="B334">
        <v>2002</v>
      </c>
      <c r="C334">
        <v>1730</v>
      </c>
      <c r="D334">
        <v>333</v>
      </c>
      <c r="E334">
        <v>8000</v>
      </c>
      <c r="F334" t="s">
        <v>25</v>
      </c>
      <c r="G334">
        <v>6</v>
      </c>
      <c r="H334" t="s">
        <v>68</v>
      </c>
      <c r="I334">
        <v>17</v>
      </c>
      <c r="J334" s="10">
        <f t="shared" si="5"/>
        <v>6</v>
      </c>
    </row>
    <row r="335" spans="1:10" x14ac:dyDescent="0.2">
      <c r="A335" s="6">
        <v>42948</v>
      </c>
      <c r="B335">
        <v>2000</v>
      </c>
      <c r="C335">
        <v>1730</v>
      </c>
      <c r="D335">
        <v>334</v>
      </c>
      <c r="E335">
        <v>7250</v>
      </c>
      <c r="F335" t="s">
        <v>25</v>
      </c>
      <c r="G335">
        <v>9</v>
      </c>
      <c r="H335" t="s">
        <v>68</v>
      </c>
      <c r="I335">
        <v>19</v>
      </c>
      <c r="J335" s="10">
        <f t="shared" si="5"/>
        <v>9</v>
      </c>
    </row>
    <row r="336" spans="1:10" x14ac:dyDescent="0.2">
      <c r="A336" s="6">
        <v>42948</v>
      </c>
      <c r="B336">
        <v>2001</v>
      </c>
      <c r="C336">
        <v>1730</v>
      </c>
      <c r="D336">
        <v>335</v>
      </c>
      <c r="E336">
        <v>7700</v>
      </c>
      <c r="F336" t="s">
        <v>25</v>
      </c>
      <c r="G336">
        <v>4</v>
      </c>
      <c r="H336" t="s">
        <v>68</v>
      </c>
      <c r="I336">
        <v>18</v>
      </c>
      <c r="J336" s="10">
        <f t="shared" si="5"/>
        <v>4</v>
      </c>
    </row>
    <row r="337" spans="1:10" x14ac:dyDescent="0.2">
      <c r="A337" s="6">
        <v>42905</v>
      </c>
      <c r="B337">
        <v>2000</v>
      </c>
      <c r="C337">
        <v>1730</v>
      </c>
      <c r="D337">
        <v>336</v>
      </c>
      <c r="E337">
        <v>6650</v>
      </c>
      <c r="F337" t="s">
        <v>25</v>
      </c>
      <c r="G337">
        <v>5</v>
      </c>
      <c r="H337" t="s">
        <v>68</v>
      </c>
      <c r="I337">
        <v>19</v>
      </c>
      <c r="J337" s="10">
        <f t="shared" si="5"/>
        <v>5</v>
      </c>
    </row>
    <row r="338" spans="1:10" x14ac:dyDescent="0.2">
      <c r="A338" s="6">
        <v>42905</v>
      </c>
      <c r="B338">
        <v>2002</v>
      </c>
      <c r="C338">
        <v>1730</v>
      </c>
      <c r="D338">
        <v>337</v>
      </c>
      <c r="E338">
        <v>6850</v>
      </c>
      <c r="F338" t="s">
        <v>25</v>
      </c>
      <c r="G338">
        <v>4</v>
      </c>
      <c r="H338" t="s">
        <v>68</v>
      </c>
      <c r="I338">
        <v>17</v>
      </c>
      <c r="J338" s="10">
        <f t="shared" si="5"/>
        <v>4</v>
      </c>
    </row>
    <row r="339" spans="1:10" x14ac:dyDescent="0.2">
      <c r="A339" s="6">
        <v>42886</v>
      </c>
      <c r="B339">
        <v>2001</v>
      </c>
      <c r="C339">
        <v>1730</v>
      </c>
      <c r="D339">
        <v>338</v>
      </c>
      <c r="E339">
        <v>7500</v>
      </c>
      <c r="F339" t="s">
        <v>25</v>
      </c>
      <c r="G339">
        <v>6</v>
      </c>
      <c r="H339" t="s">
        <v>68</v>
      </c>
      <c r="I339">
        <v>18</v>
      </c>
      <c r="J339" s="10">
        <f t="shared" si="5"/>
        <v>6</v>
      </c>
    </row>
    <row r="340" spans="1:10" x14ac:dyDescent="0.2">
      <c r="A340" s="6">
        <v>42872</v>
      </c>
      <c r="B340">
        <v>2002</v>
      </c>
      <c r="C340">
        <v>1730</v>
      </c>
      <c r="D340">
        <v>339</v>
      </c>
      <c r="E340">
        <v>6550</v>
      </c>
      <c r="F340" t="s">
        <v>25</v>
      </c>
      <c r="G340">
        <v>30</v>
      </c>
      <c r="H340" t="s">
        <v>26</v>
      </c>
      <c r="I340">
        <v>17</v>
      </c>
      <c r="J340" s="10">
        <f t="shared" si="5"/>
        <v>1</v>
      </c>
    </row>
    <row r="341" spans="1:10" x14ac:dyDescent="0.2">
      <c r="A341" s="6">
        <v>42844</v>
      </c>
      <c r="B341">
        <v>2000</v>
      </c>
      <c r="C341">
        <v>1730</v>
      </c>
      <c r="D341">
        <v>340</v>
      </c>
      <c r="E341">
        <v>6250</v>
      </c>
      <c r="F341" t="s">
        <v>25</v>
      </c>
      <c r="G341">
        <v>7</v>
      </c>
      <c r="H341" t="s">
        <v>68</v>
      </c>
      <c r="I341">
        <v>19</v>
      </c>
      <c r="J341" s="10">
        <f t="shared" si="5"/>
        <v>7</v>
      </c>
    </row>
    <row r="342" spans="1:10" x14ac:dyDescent="0.2">
      <c r="A342" s="6">
        <v>42760</v>
      </c>
      <c r="B342">
        <v>2002</v>
      </c>
      <c r="C342">
        <v>1730</v>
      </c>
      <c r="D342">
        <v>341</v>
      </c>
      <c r="E342">
        <v>5600</v>
      </c>
      <c r="F342" t="s">
        <v>25</v>
      </c>
      <c r="G342">
        <v>10</v>
      </c>
      <c r="H342" t="s">
        <v>68</v>
      </c>
      <c r="I342">
        <v>17</v>
      </c>
      <c r="J342" s="10">
        <f t="shared" si="5"/>
        <v>10</v>
      </c>
    </row>
    <row r="343" spans="1:10" x14ac:dyDescent="0.2">
      <c r="A343" s="6">
        <v>42720</v>
      </c>
      <c r="B343">
        <v>2001</v>
      </c>
      <c r="C343">
        <v>1730</v>
      </c>
      <c r="D343">
        <v>342</v>
      </c>
      <c r="E343">
        <v>6450</v>
      </c>
      <c r="F343" t="s">
        <v>25</v>
      </c>
      <c r="G343">
        <v>4</v>
      </c>
      <c r="H343" t="s">
        <v>68</v>
      </c>
      <c r="I343">
        <v>18</v>
      </c>
      <c r="J343" s="10">
        <f t="shared" si="5"/>
        <v>4</v>
      </c>
    </row>
    <row r="344" spans="1:10" x14ac:dyDescent="0.2">
      <c r="A344" s="6">
        <v>42657</v>
      </c>
      <c r="B344">
        <v>2002</v>
      </c>
      <c r="C344">
        <v>1730</v>
      </c>
      <c r="D344">
        <v>343</v>
      </c>
      <c r="E344">
        <v>6250</v>
      </c>
      <c r="F344" t="s">
        <v>25</v>
      </c>
      <c r="G344">
        <v>5</v>
      </c>
      <c r="H344" t="s">
        <v>68</v>
      </c>
      <c r="I344">
        <v>17</v>
      </c>
      <c r="J344" s="10">
        <f t="shared" si="5"/>
        <v>5</v>
      </c>
    </row>
    <row r="345" spans="1:10" x14ac:dyDescent="0.2">
      <c r="A345" s="6">
        <v>42649</v>
      </c>
      <c r="B345">
        <v>2000</v>
      </c>
      <c r="C345">
        <v>1730</v>
      </c>
      <c r="D345">
        <v>344</v>
      </c>
      <c r="E345">
        <v>6000</v>
      </c>
      <c r="F345" t="s">
        <v>25</v>
      </c>
      <c r="G345">
        <v>8</v>
      </c>
      <c r="H345" t="s">
        <v>68</v>
      </c>
      <c r="I345">
        <v>19</v>
      </c>
      <c r="J345" s="10">
        <f t="shared" si="5"/>
        <v>8</v>
      </c>
    </row>
    <row r="346" spans="1:10" x14ac:dyDescent="0.2">
      <c r="A346" s="6">
        <v>42640</v>
      </c>
      <c r="B346">
        <v>2002</v>
      </c>
      <c r="C346">
        <v>1730</v>
      </c>
      <c r="D346">
        <v>345</v>
      </c>
      <c r="E346">
        <v>7150</v>
      </c>
      <c r="F346" t="s">
        <v>25</v>
      </c>
      <c r="G346">
        <v>3</v>
      </c>
      <c r="H346" t="s">
        <v>68</v>
      </c>
      <c r="I346">
        <v>17</v>
      </c>
      <c r="J346" s="10">
        <f t="shared" si="5"/>
        <v>3</v>
      </c>
    </row>
    <row r="347" spans="1:10" x14ac:dyDescent="0.2">
      <c r="A347" s="6">
        <v>42597</v>
      </c>
      <c r="B347">
        <v>2000</v>
      </c>
      <c r="C347">
        <v>1730</v>
      </c>
      <c r="D347">
        <v>346</v>
      </c>
      <c r="E347">
        <v>7000</v>
      </c>
      <c r="F347" t="s">
        <v>25</v>
      </c>
      <c r="G347">
        <v>8</v>
      </c>
      <c r="H347" t="s">
        <v>68</v>
      </c>
      <c r="I347">
        <v>19</v>
      </c>
      <c r="J347" s="10">
        <f t="shared" si="5"/>
        <v>8</v>
      </c>
    </row>
    <row r="348" spans="1:10" x14ac:dyDescent="0.2">
      <c r="A348" s="6">
        <v>42499</v>
      </c>
      <c r="B348">
        <v>2000</v>
      </c>
      <c r="C348">
        <v>1730</v>
      </c>
      <c r="D348">
        <v>347</v>
      </c>
      <c r="E348">
        <v>5800</v>
      </c>
      <c r="F348" t="s">
        <v>25</v>
      </c>
      <c r="G348">
        <v>6</v>
      </c>
      <c r="H348" t="s">
        <v>68</v>
      </c>
      <c r="I348">
        <v>19</v>
      </c>
      <c r="J348" s="10">
        <f t="shared" si="5"/>
        <v>6</v>
      </c>
    </row>
    <row r="349" spans="1:10" x14ac:dyDescent="0.2">
      <c r="A349" s="6">
        <v>42478</v>
      </c>
      <c r="B349">
        <v>2002</v>
      </c>
      <c r="C349">
        <v>1730</v>
      </c>
      <c r="D349">
        <v>348</v>
      </c>
      <c r="E349">
        <v>7100</v>
      </c>
      <c r="F349" t="s">
        <v>25</v>
      </c>
      <c r="G349">
        <v>6</v>
      </c>
      <c r="H349" t="s">
        <v>68</v>
      </c>
      <c r="I349">
        <v>17</v>
      </c>
      <c r="J349" s="10">
        <f t="shared" si="5"/>
        <v>6</v>
      </c>
    </row>
    <row r="350" spans="1:10" x14ac:dyDescent="0.2">
      <c r="A350" s="6">
        <v>42430</v>
      </c>
      <c r="B350">
        <v>2002</v>
      </c>
      <c r="C350">
        <v>1730</v>
      </c>
      <c r="D350">
        <v>349</v>
      </c>
      <c r="E350">
        <v>7200</v>
      </c>
      <c r="F350" t="s">
        <v>25</v>
      </c>
      <c r="G350">
        <v>30</v>
      </c>
      <c r="H350" t="s">
        <v>26</v>
      </c>
      <c r="I350">
        <v>17</v>
      </c>
      <c r="J350" s="10">
        <f t="shared" si="5"/>
        <v>1</v>
      </c>
    </row>
    <row r="351" spans="1:10" x14ac:dyDescent="0.2">
      <c r="A351" s="6">
        <v>42430</v>
      </c>
      <c r="B351">
        <v>2001</v>
      </c>
      <c r="C351">
        <v>1730</v>
      </c>
      <c r="D351">
        <v>350</v>
      </c>
      <c r="E351">
        <v>7400</v>
      </c>
      <c r="F351" t="s">
        <v>25</v>
      </c>
      <c r="G351">
        <v>6</v>
      </c>
      <c r="H351" t="s">
        <v>68</v>
      </c>
      <c r="I351">
        <v>18</v>
      </c>
      <c r="J351" s="10">
        <f t="shared" si="5"/>
        <v>6</v>
      </c>
    </row>
    <row r="352" spans="1:10" x14ac:dyDescent="0.2">
      <c r="A352" s="6">
        <v>42403</v>
      </c>
      <c r="B352">
        <v>2000</v>
      </c>
      <c r="C352">
        <v>1730</v>
      </c>
      <c r="D352">
        <v>351</v>
      </c>
      <c r="E352">
        <v>7150</v>
      </c>
      <c r="F352" t="s">
        <v>25</v>
      </c>
      <c r="G352">
        <v>6</v>
      </c>
      <c r="H352" t="s">
        <v>68</v>
      </c>
      <c r="I352">
        <v>19</v>
      </c>
      <c r="J352" s="10">
        <f t="shared" si="5"/>
        <v>6</v>
      </c>
    </row>
    <row r="353" spans="1:10" x14ac:dyDescent="0.2">
      <c r="A353" s="6">
        <v>42397</v>
      </c>
      <c r="B353">
        <v>2003</v>
      </c>
      <c r="C353">
        <v>1730</v>
      </c>
      <c r="D353">
        <v>352</v>
      </c>
      <c r="E353">
        <v>6500</v>
      </c>
      <c r="F353" t="s">
        <v>25</v>
      </c>
      <c r="G353">
        <v>6</v>
      </c>
      <c r="H353" t="s">
        <v>68</v>
      </c>
      <c r="I353">
        <v>16</v>
      </c>
      <c r="J353" s="10">
        <f t="shared" si="5"/>
        <v>6</v>
      </c>
    </row>
    <row r="354" spans="1:10" x14ac:dyDescent="0.2">
      <c r="A354" s="6">
        <v>42381</v>
      </c>
      <c r="B354">
        <v>2000</v>
      </c>
      <c r="C354">
        <v>1730</v>
      </c>
      <c r="D354">
        <v>353</v>
      </c>
      <c r="E354">
        <v>6500</v>
      </c>
      <c r="F354" t="s">
        <v>25</v>
      </c>
      <c r="G354">
        <v>9</v>
      </c>
      <c r="H354" t="s">
        <v>68</v>
      </c>
      <c r="I354">
        <v>19</v>
      </c>
      <c r="J354" s="10">
        <f t="shared" si="5"/>
        <v>9</v>
      </c>
    </row>
    <row r="355" spans="1:10" x14ac:dyDescent="0.2">
      <c r="A355" s="6">
        <v>43600</v>
      </c>
      <c r="B355">
        <v>2004</v>
      </c>
      <c r="C355">
        <v>1740</v>
      </c>
      <c r="D355">
        <v>354</v>
      </c>
      <c r="E355">
        <v>8250</v>
      </c>
      <c r="F355" t="s">
        <v>25</v>
      </c>
      <c r="G355">
        <v>5</v>
      </c>
      <c r="H355" t="s">
        <v>68</v>
      </c>
      <c r="I355">
        <v>15</v>
      </c>
      <c r="J355" s="10">
        <f t="shared" si="5"/>
        <v>5</v>
      </c>
    </row>
    <row r="356" spans="1:10" x14ac:dyDescent="0.2">
      <c r="A356" s="6">
        <v>43557</v>
      </c>
      <c r="B356">
        <v>2003</v>
      </c>
      <c r="C356">
        <v>1740</v>
      </c>
      <c r="D356">
        <v>355</v>
      </c>
      <c r="E356">
        <v>7500</v>
      </c>
      <c r="F356" t="s">
        <v>25</v>
      </c>
      <c r="G356">
        <v>4</v>
      </c>
      <c r="H356" t="s">
        <v>68</v>
      </c>
      <c r="I356">
        <v>16</v>
      </c>
      <c r="J356" s="10">
        <f t="shared" si="5"/>
        <v>4</v>
      </c>
    </row>
    <row r="357" spans="1:10" x14ac:dyDescent="0.2">
      <c r="A357" s="6">
        <v>43549</v>
      </c>
      <c r="B357">
        <v>2003</v>
      </c>
      <c r="C357">
        <v>1740</v>
      </c>
      <c r="D357">
        <v>356</v>
      </c>
      <c r="E357">
        <v>7750</v>
      </c>
      <c r="F357" t="s">
        <v>25</v>
      </c>
      <c r="G357">
        <v>6</v>
      </c>
      <c r="H357" t="s">
        <v>68</v>
      </c>
      <c r="I357">
        <v>16</v>
      </c>
      <c r="J357" s="10">
        <f t="shared" si="5"/>
        <v>6</v>
      </c>
    </row>
    <row r="358" spans="1:10" x14ac:dyDescent="0.2">
      <c r="A358" s="6">
        <v>43511</v>
      </c>
      <c r="B358">
        <v>2004</v>
      </c>
      <c r="C358">
        <v>1740</v>
      </c>
      <c r="D358">
        <v>357</v>
      </c>
      <c r="E358">
        <v>7250</v>
      </c>
      <c r="F358" t="s">
        <v>25</v>
      </c>
      <c r="G358">
        <v>4</v>
      </c>
      <c r="H358" t="s">
        <v>68</v>
      </c>
      <c r="I358">
        <v>15</v>
      </c>
      <c r="J358" s="10">
        <f t="shared" si="5"/>
        <v>4</v>
      </c>
    </row>
    <row r="359" spans="1:10" x14ac:dyDescent="0.2">
      <c r="A359" s="6">
        <v>43472</v>
      </c>
      <c r="B359">
        <v>2004</v>
      </c>
      <c r="C359">
        <v>1740</v>
      </c>
      <c r="D359">
        <v>358</v>
      </c>
      <c r="E359">
        <v>7000</v>
      </c>
      <c r="F359" t="s">
        <v>25</v>
      </c>
      <c r="G359">
        <v>5</v>
      </c>
      <c r="H359" t="s">
        <v>68</v>
      </c>
      <c r="I359">
        <v>15</v>
      </c>
      <c r="J359" s="10">
        <f t="shared" si="5"/>
        <v>5</v>
      </c>
    </row>
    <row r="360" spans="1:10" x14ac:dyDescent="0.2">
      <c r="A360" s="6">
        <v>43437</v>
      </c>
      <c r="B360">
        <v>2003</v>
      </c>
      <c r="C360">
        <v>1740</v>
      </c>
      <c r="D360">
        <v>359</v>
      </c>
      <c r="E360">
        <v>6900</v>
      </c>
      <c r="F360" t="s">
        <v>25</v>
      </c>
      <c r="G360">
        <v>9</v>
      </c>
      <c r="H360" t="s">
        <v>68</v>
      </c>
      <c r="I360">
        <v>16</v>
      </c>
      <c r="J360" s="10">
        <f t="shared" si="5"/>
        <v>9</v>
      </c>
    </row>
    <row r="361" spans="1:10" x14ac:dyDescent="0.2">
      <c r="A361" s="6">
        <v>43426</v>
      </c>
      <c r="B361">
        <v>2002</v>
      </c>
      <c r="C361">
        <v>1740</v>
      </c>
      <c r="D361">
        <v>360</v>
      </c>
      <c r="E361">
        <v>7500</v>
      </c>
      <c r="F361" t="s">
        <v>25</v>
      </c>
      <c r="G361">
        <v>11</v>
      </c>
      <c r="H361" t="s">
        <v>68</v>
      </c>
      <c r="I361">
        <v>17</v>
      </c>
      <c r="J361" s="10">
        <f t="shared" si="5"/>
        <v>11</v>
      </c>
    </row>
    <row r="362" spans="1:10" x14ac:dyDescent="0.2">
      <c r="A362" s="6">
        <v>43425</v>
      </c>
      <c r="B362">
        <v>2000</v>
      </c>
      <c r="C362">
        <v>1740</v>
      </c>
      <c r="D362">
        <v>361</v>
      </c>
      <c r="E362">
        <v>7500</v>
      </c>
      <c r="F362" t="s">
        <v>25</v>
      </c>
      <c r="G362">
        <v>11</v>
      </c>
      <c r="H362" t="s">
        <v>68</v>
      </c>
      <c r="I362">
        <v>19</v>
      </c>
      <c r="J362" s="10">
        <f t="shared" si="5"/>
        <v>11</v>
      </c>
    </row>
    <row r="363" spans="1:10" x14ac:dyDescent="0.2">
      <c r="A363" s="6">
        <v>43346</v>
      </c>
      <c r="B363">
        <v>2004</v>
      </c>
      <c r="C363">
        <v>1740</v>
      </c>
      <c r="D363">
        <v>362</v>
      </c>
      <c r="E363">
        <v>9500</v>
      </c>
      <c r="F363" t="s">
        <v>25</v>
      </c>
      <c r="G363">
        <v>6</v>
      </c>
      <c r="H363" t="s">
        <v>68</v>
      </c>
      <c r="I363">
        <v>15</v>
      </c>
      <c r="J363" s="10">
        <f t="shared" si="5"/>
        <v>6</v>
      </c>
    </row>
    <row r="364" spans="1:10" x14ac:dyDescent="0.2">
      <c r="A364" s="6">
        <v>43342</v>
      </c>
      <c r="B364">
        <v>2003</v>
      </c>
      <c r="C364">
        <v>1740</v>
      </c>
      <c r="D364">
        <v>363</v>
      </c>
      <c r="E364">
        <v>10100</v>
      </c>
      <c r="F364" t="s">
        <v>25</v>
      </c>
      <c r="G364">
        <v>3</v>
      </c>
      <c r="H364" t="s">
        <v>68</v>
      </c>
      <c r="I364">
        <v>16</v>
      </c>
      <c r="J364" s="10">
        <f t="shared" si="5"/>
        <v>3</v>
      </c>
    </row>
    <row r="365" spans="1:10" x14ac:dyDescent="0.2">
      <c r="A365" s="6">
        <v>43266</v>
      </c>
      <c r="B365">
        <v>2005</v>
      </c>
      <c r="C365">
        <v>1740</v>
      </c>
      <c r="D365">
        <v>364</v>
      </c>
      <c r="E365">
        <v>10700</v>
      </c>
      <c r="F365" t="s">
        <v>25</v>
      </c>
      <c r="G365">
        <v>12</v>
      </c>
      <c r="H365" t="s">
        <v>68</v>
      </c>
      <c r="I365">
        <v>14</v>
      </c>
      <c r="J365" s="10">
        <f t="shared" si="5"/>
        <v>12</v>
      </c>
    </row>
    <row r="366" spans="1:10" x14ac:dyDescent="0.2">
      <c r="A366" s="6">
        <v>43237</v>
      </c>
      <c r="B366">
        <v>2003</v>
      </c>
      <c r="C366">
        <v>1740</v>
      </c>
      <c r="D366">
        <v>365</v>
      </c>
      <c r="E366">
        <v>10500</v>
      </c>
      <c r="F366" t="s">
        <v>25</v>
      </c>
      <c r="G366">
        <v>4</v>
      </c>
      <c r="H366" t="s">
        <v>68</v>
      </c>
      <c r="I366">
        <v>16</v>
      </c>
      <c r="J366" s="10">
        <f t="shared" si="5"/>
        <v>4</v>
      </c>
    </row>
    <row r="367" spans="1:10" x14ac:dyDescent="0.2">
      <c r="A367" s="6">
        <v>43234</v>
      </c>
      <c r="B367">
        <v>2000</v>
      </c>
      <c r="C367">
        <v>1740</v>
      </c>
      <c r="D367">
        <v>366</v>
      </c>
      <c r="E367">
        <v>10500</v>
      </c>
      <c r="F367" t="s">
        <v>25</v>
      </c>
      <c r="G367">
        <v>6</v>
      </c>
      <c r="H367" t="s">
        <v>68</v>
      </c>
      <c r="I367">
        <v>19</v>
      </c>
      <c r="J367" s="10">
        <f t="shared" si="5"/>
        <v>6</v>
      </c>
    </row>
    <row r="368" spans="1:10" x14ac:dyDescent="0.2">
      <c r="A368" s="6">
        <v>43234</v>
      </c>
      <c r="B368">
        <v>2000</v>
      </c>
      <c r="C368">
        <v>1740</v>
      </c>
      <c r="D368">
        <v>367</v>
      </c>
      <c r="E368">
        <v>10500</v>
      </c>
      <c r="F368" t="s">
        <v>25</v>
      </c>
      <c r="G368">
        <v>6</v>
      </c>
      <c r="H368" t="s">
        <v>68</v>
      </c>
      <c r="I368">
        <v>19</v>
      </c>
      <c r="J368" s="10">
        <f t="shared" si="5"/>
        <v>6</v>
      </c>
    </row>
    <row r="369" spans="1:10" x14ac:dyDescent="0.2">
      <c r="A369" s="6">
        <v>43173</v>
      </c>
      <c r="B369">
        <v>2003</v>
      </c>
      <c r="C369">
        <v>1740</v>
      </c>
      <c r="D369">
        <v>368</v>
      </c>
      <c r="E369">
        <v>10200</v>
      </c>
      <c r="F369" t="s">
        <v>25</v>
      </c>
      <c r="G369">
        <v>5</v>
      </c>
      <c r="H369" t="s">
        <v>68</v>
      </c>
      <c r="I369">
        <v>16</v>
      </c>
      <c r="J369" s="10">
        <f t="shared" si="5"/>
        <v>5</v>
      </c>
    </row>
    <row r="370" spans="1:10" x14ac:dyDescent="0.2">
      <c r="A370" s="6">
        <v>43151</v>
      </c>
      <c r="B370">
        <v>2000</v>
      </c>
      <c r="C370">
        <v>1740</v>
      </c>
      <c r="D370">
        <v>369</v>
      </c>
      <c r="E370">
        <v>9500</v>
      </c>
      <c r="F370" t="s">
        <v>25</v>
      </c>
      <c r="G370">
        <v>4</v>
      </c>
      <c r="H370" t="s">
        <v>68</v>
      </c>
      <c r="I370">
        <v>19</v>
      </c>
      <c r="J370" s="10">
        <f t="shared" si="5"/>
        <v>4</v>
      </c>
    </row>
    <row r="371" spans="1:10" x14ac:dyDescent="0.2">
      <c r="A371" s="6">
        <v>43144</v>
      </c>
      <c r="B371">
        <v>2003</v>
      </c>
      <c r="C371">
        <v>1740</v>
      </c>
      <c r="D371">
        <v>370</v>
      </c>
      <c r="E371">
        <v>9250</v>
      </c>
      <c r="F371" t="s">
        <v>25</v>
      </c>
      <c r="G371">
        <v>7</v>
      </c>
      <c r="H371" t="s">
        <v>68</v>
      </c>
      <c r="I371">
        <v>16</v>
      </c>
      <c r="J371" s="10">
        <f t="shared" si="5"/>
        <v>7</v>
      </c>
    </row>
    <row r="372" spans="1:10" x14ac:dyDescent="0.2">
      <c r="A372" s="6">
        <v>43131</v>
      </c>
      <c r="B372">
        <v>2000</v>
      </c>
      <c r="C372">
        <v>1740</v>
      </c>
      <c r="D372">
        <v>371</v>
      </c>
      <c r="E372">
        <v>9500</v>
      </c>
      <c r="F372" t="s">
        <v>25</v>
      </c>
      <c r="G372">
        <v>8</v>
      </c>
      <c r="H372" t="s">
        <v>68</v>
      </c>
      <c r="I372">
        <v>19</v>
      </c>
      <c r="J372" s="10">
        <f t="shared" si="5"/>
        <v>8</v>
      </c>
    </row>
    <row r="373" spans="1:10" x14ac:dyDescent="0.2">
      <c r="A373" s="6">
        <v>43111</v>
      </c>
      <c r="B373">
        <v>2000</v>
      </c>
      <c r="C373">
        <v>1740</v>
      </c>
      <c r="D373">
        <v>372</v>
      </c>
      <c r="E373">
        <v>9500</v>
      </c>
      <c r="F373" t="s">
        <v>25</v>
      </c>
      <c r="G373">
        <v>4</v>
      </c>
      <c r="H373" t="s">
        <v>68</v>
      </c>
      <c r="I373">
        <v>19</v>
      </c>
      <c r="J373" s="10">
        <f t="shared" si="5"/>
        <v>4</v>
      </c>
    </row>
    <row r="374" spans="1:10" x14ac:dyDescent="0.2">
      <c r="A374" s="6">
        <v>43062</v>
      </c>
      <c r="B374">
        <v>2004</v>
      </c>
      <c r="C374">
        <v>1740</v>
      </c>
      <c r="D374">
        <v>373</v>
      </c>
      <c r="E374">
        <v>8250</v>
      </c>
      <c r="F374" t="s">
        <v>25</v>
      </c>
      <c r="G374">
        <v>6</v>
      </c>
      <c r="H374" t="s">
        <v>68</v>
      </c>
      <c r="I374">
        <v>15</v>
      </c>
      <c r="J374" s="10">
        <f t="shared" si="5"/>
        <v>6</v>
      </c>
    </row>
    <row r="375" spans="1:10" x14ac:dyDescent="0.2">
      <c r="A375" s="6">
        <v>43054</v>
      </c>
      <c r="B375">
        <v>2005</v>
      </c>
      <c r="C375">
        <v>1740</v>
      </c>
      <c r="D375">
        <v>374</v>
      </c>
      <c r="E375">
        <v>7650</v>
      </c>
      <c r="F375" t="s">
        <v>25</v>
      </c>
      <c r="G375">
        <v>10</v>
      </c>
      <c r="H375" t="s">
        <v>68</v>
      </c>
      <c r="I375">
        <v>14</v>
      </c>
      <c r="J375" s="10">
        <f t="shared" si="5"/>
        <v>10</v>
      </c>
    </row>
    <row r="376" spans="1:10" x14ac:dyDescent="0.2">
      <c r="A376" s="6">
        <v>43009</v>
      </c>
      <c r="B376">
        <v>2002</v>
      </c>
      <c r="C376">
        <v>1740</v>
      </c>
      <c r="D376">
        <v>375</v>
      </c>
      <c r="E376">
        <v>7950</v>
      </c>
      <c r="F376" t="s">
        <v>25</v>
      </c>
      <c r="G376">
        <v>9</v>
      </c>
      <c r="H376" t="s">
        <v>68</v>
      </c>
      <c r="I376">
        <v>17</v>
      </c>
      <c r="J376" s="10">
        <f t="shared" si="5"/>
        <v>9</v>
      </c>
    </row>
    <row r="377" spans="1:10" x14ac:dyDescent="0.2">
      <c r="A377" s="6">
        <v>42948</v>
      </c>
      <c r="B377">
        <v>2003</v>
      </c>
      <c r="C377">
        <v>1740</v>
      </c>
      <c r="D377">
        <v>376</v>
      </c>
      <c r="E377">
        <v>7000</v>
      </c>
      <c r="F377" t="s">
        <v>25</v>
      </c>
      <c r="G377">
        <v>8</v>
      </c>
      <c r="H377" t="s">
        <v>68</v>
      </c>
      <c r="I377">
        <v>16</v>
      </c>
      <c r="J377" s="10">
        <f t="shared" si="5"/>
        <v>8</v>
      </c>
    </row>
    <row r="378" spans="1:10" x14ac:dyDescent="0.2">
      <c r="A378" s="6">
        <v>42944</v>
      </c>
      <c r="B378">
        <v>2004</v>
      </c>
      <c r="C378">
        <v>1740</v>
      </c>
      <c r="D378">
        <v>377</v>
      </c>
      <c r="E378">
        <v>6950</v>
      </c>
      <c r="F378" t="s">
        <v>25</v>
      </c>
      <c r="G378">
        <v>3</v>
      </c>
      <c r="H378" t="s">
        <v>68</v>
      </c>
      <c r="I378">
        <v>15</v>
      </c>
      <c r="J378" s="10">
        <f t="shared" si="5"/>
        <v>3</v>
      </c>
    </row>
    <row r="379" spans="1:10" x14ac:dyDescent="0.2">
      <c r="A379" s="6">
        <v>42933</v>
      </c>
      <c r="B379">
        <v>2000</v>
      </c>
      <c r="C379">
        <v>1740</v>
      </c>
      <c r="D379">
        <v>378</v>
      </c>
      <c r="E379">
        <v>7000</v>
      </c>
      <c r="F379" t="s">
        <v>25</v>
      </c>
      <c r="G379">
        <v>7</v>
      </c>
      <c r="H379" t="s">
        <v>68</v>
      </c>
      <c r="I379">
        <v>19</v>
      </c>
      <c r="J379" s="10">
        <f t="shared" si="5"/>
        <v>7</v>
      </c>
    </row>
    <row r="380" spans="1:10" x14ac:dyDescent="0.2">
      <c r="A380" s="6">
        <v>42927</v>
      </c>
      <c r="B380">
        <v>2000</v>
      </c>
      <c r="C380">
        <v>1740</v>
      </c>
      <c r="D380">
        <v>379</v>
      </c>
      <c r="E380">
        <v>7000</v>
      </c>
      <c r="F380" t="s">
        <v>25</v>
      </c>
      <c r="G380">
        <v>6</v>
      </c>
      <c r="H380" t="s">
        <v>68</v>
      </c>
      <c r="I380">
        <v>19</v>
      </c>
      <c r="J380" s="10">
        <f t="shared" si="5"/>
        <v>6</v>
      </c>
    </row>
    <row r="381" spans="1:10" x14ac:dyDescent="0.2">
      <c r="A381" s="6">
        <v>42898</v>
      </c>
      <c r="B381">
        <v>2005</v>
      </c>
      <c r="C381">
        <v>1740</v>
      </c>
      <c r="D381">
        <v>380</v>
      </c>
      <c r="E381">
        <v>7250</v>
      </c>
      <c r="F381" t="s">
        <v>25</v>
      </c>
      <c r="G381">
        <v>12</v>
      </c>
      <c r="H381" t="s">
        <v>68</v>
      </c>
      <c r="I381">
        <v>14</v>
      </c>
      <c r="J381" s="10">
        <f t="shared" si="5"/>
        <v>12</v>
      </c>
    </row>
    <row r="382" spans="1:10" x14ac:dyDescent="0.2">
      <c r="A382" s="6">
        <v>42872</v>
      </c>
      <c r="B382">
        <v>2003</v>
      </c>
      <c r="C382">
        <v>1740</v>
      </c>
      <c r="D382">
        <v>381</v>
      </c>
      <c r="E382">
        <v>6200</v>
      </c>
      <c r="F382" t="s">
        <v>25</v>
      </c>
      <c r="G382">
        <v>12</v>
      </c>
      <c r="H382" t="s">
        <v>68</v>
      </c>
      <c r="I382">
        <v>16</v>
      </c>
      <c r="J382" s="10">
        <f t="shared" si="5"/>
        <v>12</v>
      </c>
    </row>
    <row r="383" spans="1:10" x14ac:dyDescent="0.2">
      <c r="A383" s="6">
        <v>42844</v>
      </c>
      <c r="B383">
        <v>2000</v>
      </c>
      <c r="C383">
        <v>1740</v>
      </c>
      <c r="D383">
        <v>382</v>
      </c>
      <c r="E383">
        <v>7500</v>
      </c>
      <c r="F383" t="s">
        <v>25</v>
      </c>
      <c r="G383">
        <v>6</v>
      </c>
      <c r="H383" t="s">
        <v>68</v>
      </c>
      <c r="I383">
        <v>19</v>
      </c>
      <c r="J383" s="10">
        <f t="shared" si="5"/>
        <v>6</v>
      </c>
    </row>
    <row r="384" spans="1:10" x14ac:dyDescent="0.2">
      <c r="A384" s="6">
        <v>42831</v>
      </c>
      <c r="B384">
        <v>2002</v>
      </c>
      <c r="C384">
        <v>1740</v>
      </c>
      <c r="D384">
        <v>383</v>
      </c>
      <c r="E384">
        <v>7050</v>
      </c>
      <c r="F384" t="s">
        <v>25</v>
      </c>
      <c r="G384">
        <v>7</v>
      </c>
      <c r="H384" t="s">
        <v>68</v>
      </c>
      <c r="I384">
        <v>17</v>
      </c>
      <c r="J384" s="10">
        <f t="shared" si="5"/>
        <v>7</v>
      </c>
    </row>
    <row r="385" spans="1:10" x14ac:dyDescent="0.2">
      <c r="A385" s="6">
        <v>42828</v>
      </c>
      <c r="B385">
        <v>2005</v>
      </c>
      <c r="C385">
        <v>1740</v>
      </c>
      <c r="D385">
        <v>384</v>
      </c>
      <c r="E385">
        <v>7200</v>
      </c>
      <c r="F385" t="s">
        <v>25</v>
      </c>
      <c r="G385">
        <v>7</v>
      </c>
      <c r="H385" t="s">
        <v>68</v>
      </c>
      <c r="I385">
        <v>14</v>
      </c>
      <c r="J385" s="10">
        <f t="shared" si="5"/>
        <v>7</v>
      </c>
    </row>
    <row r="386" spans="1:10" x14ac:dyDescent="0.2">
      <c r="A386" s="6">
        <v>42755</v>
      </c>
      <c r="B386">
        <v>2002</v>
      </c>
      <c r="C386">
        <v>1740</v>
      </c>
      <c r="D386">
        <v>385</v>
      </c>
      <c r="E386">
        <v>6350</v>
      </c>
      <c r="F386" t="s">
        <v>25</v>
      </c>
      <c r="G386">
        <v>5</v>
      </c>
      <c r="H386" t="s">
        <v>68</v>
      </c>
      <c r="I386">
        <v>17</v>
      </c>
      <c r="J386" s="10">
        <f t="shared" ref="J386:J449" si="6">IF(H386="days",ROUND(G386/30,0),IF(H386="years",G386*12,G386))</f>
        <v>5</v>
      </c>
    </row>
    <row r="387" spans="1:10" x14ac:dyDescent="0.2">
      <c r="A387" s="6">
        <v>42706</v>
      </c>
      <c r="B387">
        <v>2003</v>
      </c>
      <c r="C387">
        <v>1740</v>
      </c>
      <c r="D387">
        <v>386</v>
      </c>
      <c r="E387">
        <v>6250</v>
      </c>
      <c r="F387" t="s">
        <v>25</v>
      </c>
      <c r="G387">
        <v>6</v>
      </c>
      <c r="H387" t="s">
        <v>68</v>
      </c>
      <c r="I387">
        <v>16</v>
      </c>
      <c r="J387" s="10">
        <f t="shared" si="6"/>
        <v>6</v>
      </c>
    </row>
    <row r="388" spans="1:10" x14ac:dyDescent="0.2">
      <c r="A388" s="6">
        <v>42705</v>
      </c>
      <c r="B388">
        <v>2005</v>
      </c>
      <c r="C388">
        <v>1740</v>
      </c>
      <c r="D388">
        <v>387</v>
      </c>
      <c r="E388">
        <v>6250</v>
      </c>
      <c r="F388" t="s">
        <v>25</v>
      </c>
      <c r="G388">
        <v>7</v>
      </c>
      <c r="H388" t="s">
        <v>68</v>
      </c>
      <c r="I388">
        <v>14</v>
      </c>
      <c r="J388" s="10">
        <f t="shared" si="6"/>
        <v>7</v>
      </c>
    </row>
    <row r="389" spans="1:10" x14ac:dyDescent="0.2">
      <c r="A389" s="6">
        <v>42675</v>
      </c>
      <c r="B389">
        <v>2000</v>
      </c>
      <c r="C389">
        <v>1740</v>
      </c>
      <c r="D389">
        <v>388</v>
      </c>
      <c r="E389">
        <v>6500</v>
      </c>
      <c r="F389" t="s">
        <v>25</v>
      </c>
      <c r="G389">
        <v>49</v>
      </c>
      <c r="H389" t="s">
        <v>26</v>
      </c>
      <c r="I389">
        <v>19</v>
      </c>
      <c r="J389" s="10">
        <f t="shared" si="6"/>
        <v>2</v>
      </c>
    </row>
    <row r="390" spans="1:10" x14ac:dyDescent="0.2">
      <c r="A390" s="6">
        <v>42657</v>
      </c>
      <c r="B390">
        <v>2004</v>
      </c>
      <c r="C390">
        <v>1740</v>
      </c>
      <c r="D390">
        <v>389</v>
      </c>
      <c r="E390">
        <v>6700</v>
      </c>
      <c r="F390" t="s">
        <v>25</v>
      </c>
      <c r="G390">
        <v>5</v>
      </c>
      <c r="H390" t="s">
        <v>68</v>
      </c>
      <c r="I390">
        <v>15</v>
      </c>
      <c r="J390" s="10">
        <f t="shared" si="6"/>
        <v>5</v>
      </c>
    </row>
    <row r="391" spans="1:10" x14ac:dyDescent="0.2">
      <c r="A391" s="6">
        <v>42641</v>
      </c>
      <c r="B391">
        <v>2005</v>
      </c>
      <c r="C391">
        <v>1740</v>
      </c>
      <c r="D391">
        <v>390</v>
      </c>
      <c r="E391">
        <v>6000</v>
      </c>
      <c r="F391" t="s">
        <v>25</v>
      </c>
      <c r="G391">
        <v>3</v>
      </c>
      <c r="H391" t="s">
        <v>68</v>
      </c>
      <c r="I391">
        <v>14</v>
      </c>
      <c r="J391" s="10">
        <f t="shared" si="6"/>
        <v>3</v>
      </c>
    </row>
    <row r="392" spans="1:10" x14ac:dyDescent="0.2">
      <c r="A392" s="6">
        <v>42618</v>
      </c>
      <c r="B392">
        <v>2003</v>
      </c>
      <c r="C392">
        <v>1740</v>
      </c>
      <c r="D392">
        <v>391</v>
      </c>
      <c r="E392">
        <v>6400</v>
      </c>
      <c r="F392" t="s">
        <v>25</v>
      </c>
      <c r="G392">
        <v>6</v>
      </c>
      <c r="H392" t="s">
        <v>68</v>
      </c>
      <c r="I392">
        <v>16</v>
      </c>
      <c r="J392" s="10">
        <f t="shared" si="6"/>
        <v>6</v>
      </c>
    </row>
    <row r="393" spans="1:10" x14ac:dyDescent="0.2">
      <c r="A393" s="6">
        <v>42618</v>
      </c>
      <c r="B393">
        <v>2000</v>
      </c>
      <c r="C393">
        <v>1740</v>
      </c>
      <c r="D393">
        <v>392</v>
      </c>
      <c r="E393">
        <v>6400</v>
      </c>
      <c r="F393" t="s">
        <v>25</v>
      </c>
      <c r="G393">
        <v>8</v>
      </c>
      <c r="H393" t="s">
        <v>68</v>
      </c>
      <c r="I393">
        <v>19</v>
      </c>
      <c r="J393" s="10">
        <f t="shared" si="6"/>
        <v>8</v>
      </c>
    </row>
    <row r="394" spans="1:10" x14ac:dyDescent="0.2">
      <c r="A394" s="6">
        <v>42614</v>
      </c>
      <c r="B394">
        <v>2003</v>
      </c>
      <c r="C394">
        <v>1740</v>
      </c>
      <c r="D394">
        <v>393</v>
      </c>
      <c r="E394">
        <v>6750</v>
      </c>
      <c r="F394" t="s">
        <v>25</v>
      </c>
      <c r="G394">
        <v>9</v>
      </c>
      <c r="H394" t="s">
        <v>68</v>
      </c>
      <c r="I394">
        <v>16</v>
      </c>
      <c r="J394" s="10">
        <f t="shared" si="6"/>
        <v>9</v>
      </c>
    </row>
    <row r="395" spans="1:10" x14ac:dyDescent="0.2">
      <c r="A395" s="6">
        <v>42614</v>
      </c>
      <c r="B395">
        <v>2004</v>
      </c>
      <c r="C395">
        <v>1740</v>
      </c>
      <c r="D395">
        <v>394</v>
      </c>
      <c r="E395">
        <v>6900</v>
      </c>
      <c r="F395" t="s">
        <v>25</v>
      </c>
      <c r="G395">
        <v>8</v>
      </c>
      <c r="H395" t="s">
        <v>68</v>
      </c>
      <c r="I395">
        <v>15</v>
      </c>
      <c r="J395" s="10">
        <f t="shared" si="6"/>
        <v>8</v>
      </c>
    </row>
    <row r="396" spans="1:10" x14ac:dyDescent="0.2">
      <c r="A396" s="6">
        <v>42607</v>
      </c>
      <c r="B396">
        <v>2005</v>
      </c>
      <c r="C396">
        <v>1740</v>
      </c>
      <c r="D396">
        <v>395</v>
      </c>
      <c r="E396">
        <v>7000</v>
      </c>
      <c r="F396" t="s">
        <v>25</v>
      </c>
      <c r="G396">
        <v>6</v>
      </c>
      <c r="H396" t="s">
        <v>68</v>
      </c>
      <c r="I396">
        <v>14</v>
      </c>
      <c r="J396" s="10">
        <f t="shared" si="6"/>
        <v>6</v>
      </c>
    </row>
    <row r="397" spans="1:10" x14ac:dyDescent="0.2">
      <c r="A397" s="6">
        <v>42579</v>
      </c>
      <c r="B397">
        <v>2005</v>
      </c>
      <c r="C397">
        <v>1740</v>
      </c>
      <c r="D397">
        <v>396</v>
      </c>
      <c r="E397">
        <v>6000</v>
      </c>
      <c r="F397" t="s">
        <v>25</v>
      </c>
      <c r="G397">
        <v>2</v>
      </c>
      <c r="H397" t="s">
        <v>68</v>
      </c>
      <c r="I397">
        <v>14</v>
      </c>
      <c r="J397" s="10">
        <f t="shared" si="6"/>
        <v>2</v>
      </c>
    </row>
    <row r="398" spans="1:10" x14ac:dyDescent="0.2">
      <c r="A398" s="6">
        <v>42569</v>
      </c>
      <c r="B398">
        <v>2000</v>
      </c>
      <c r="C398">
        <v>1740</v>
      </c>
      <c r="D398">
        <v>397</v>
      </c>
      <c r="E398">
        <v>7250</v>
      </c>
      <c r="F398" t="s">
        <v>25</v>
      </c>
      <c r="G398">
        <v>5</v>
      </c>
      <c r="H398" t="s">
        <v>68</v>
      </c>
      <c r="I398">
        <v>19</v>
      </c>
      <c r="J398" s="10">
        <f t="shared" si="6"/>
        <v>5</v>
      </c>
    </row>
    <row r="399" spans="1:10" x14ac:dyDescent="0.2">
      <c r="A399" s="6">
        <v>42536</v>
      </c>
      <c r="B399">
        <v>2003</v>
      </c>
      <c r="C399">
        <v>1740</v>
      </c>
      <c r="D399">
        <v>398</v>
      </c>
      <c r="E399">
        <v>7500</v>
      </c>
      <c r="F399" t="s">
        <v>25</v>
      </c>
      <c r="G399">
        <v>10</v>
      </c>
      <c r="H399" t="s">
        <v>68</v>
      </c>
      <c r="I399">
        <v>16</v>
      </c>
      <c r="J399" s="10">
        <f t="shared" si="6"/>
        <v>10</v>
      </c>
    </row>
    <row r="400" spans="1:10" x14ac:dyDescent="0.2">
      <c r="A400" s="6">
        <v>42522</v>
      </c>
      <c r="B400">
        <v>2002</v>
      </c>
      <c r="C400">
        <v>1740</v>
      </c>
      <c r="D400">
        <v>399</v>
      </c>
      <c r="E400">
        <v>7750</v>
      </c>
      <c r="F400" t="s">
        <v>25</v>
      </c>
      <c r="G400">
        <v>9</v>
      </c>
      <c r="H400" t="s">
        <v>68</v>
      </c>
      <c r="I400">
        <v>17</v>
      </c>
      <c r="J400" s="10">
        <f t="shared" si="6"/>
        <v>9</v>
      </c>
    </row>
    <row r="401" spans="1:10" x14ac:dyDescent="0.2">
      <c r="A401" s="6">
        <v>42510</v>
      </c>
      <c r="B401">
        <v>2003</v>
      </c>
      <c r="C401">
        <v>1740</v>
      </c>
      <c r="D401">
        <v>400</v>
      </c>
      <c r="E401">
        <v>7200</v>
      </c>
      <c r="F401" t="s">
        <v>25</v>
      </c>
      <c r="G401">
        <v>3</v>
      </c>
      <c r="H401" t="s">
        <v>68</v>
      </c>
      <c r="I401">
        <v>16</v>
      </c>
      <c r="J401" s="10">
        <f t="shared" si="6"/>
        <v>3</v>
      </c>
    </row>
    <row r="402" spans="1:10" x14ac:dyDescent="0.2">
      <c r="A402" s="6">
        <v>42508</v>
      </c>
      <c r="B402">
        <v>2003</v>
      </c>
      <c r="C402">
        <v>1740</v>
      </c>
      <c r="D402">
        <v>401</v>
      </c>
      <c r="E402">
        <v>7500</v>
      </c>
      <c r="F402" t="s">
        <v>25</v>
      </c>
      <c r="G402">
        <v>9</v>
      </c>
      <c r="H402" t="s">
        <v>68</v>
      </c>
      <c r="I402">
        <v>16</v>
      </c>
      <c r="J402" s="10">
        <f t="shared" si="6"/>
        <v>9</v>
      </c>
    </row>
    <row r="403" spans="1:10" x14ac:dyDescent="0.2">
      <c r="A403" s="6">
        <v>42487</v>
      </c>
      <c r="B403">
        <v>2000</v>
      </c>
      <c r="C403">
        <v>1740</v>
      </c>
      <c r="D403">
        <v>402</v>
      </c>
      <c r="E403">
        <v>7000</v>
      </c>
      <c r="F403" t="s">
        <v>25</v>
      </c>
      <c r="G403">
        <v>3</v>
      </c>
      <c r="H403" t="s">
        <v>68</v>
      </c>
      <c r="I403">
        <v>19</v>
      </c>
      <c r="J403" s="10">
        <f t="shared" si="6"/>
        <v>3</v>
      </c>
    </row>
    <row r="404" spans="1:10" x14ac:dyDescent="0.2">
      <c r="A404" s="6">
        <v>42430</v>
      </c>
      <c r="B404">
        <v>2005</v>
      </c>
      <c r="C404">
        <v>1740</v>
      </c>
      <c r="D404">
        <v>403</v>
      </c>
      <c r="E404">
        <v>7500</v>
      </c>
      <c r="F404" t="s">
        <v>25</v>
      </c>
      <c r="G404">
        <v>7</v>
      </c>
      <c r="H404" t="s">
        <v>68</v>
      </c>
      <c r="I404">
        <v>14</v>
      </c>
      <c r="J404" s="10">
        <f t="shared" si="6"/>
        <v>7</v>
      </c>
    </row>
    <row r="405" spans="1:10" x14ac:dyDescent="0.2">
      <c r="A405" s="6">
        <v>42430</v>
      </c>
      <c r="B405">
        <v>2003</v>
      </c>
      <c r="C405">
        <v>1740</v>
      </c>
      <c r="D405">
        <v>404</v>
      </c>
      <c r="E405">
        <v>7250</v>
      </c>
      <c r="F405" t="s">
        <v>25</v>
      </c>
      <c r="G405">
        <v>7</v>
      </c>
      <c r="H405" t="s">
        <v>68</v>
      </c>
      <c r="I405">
        <v>16</v>
      </c>
      <c r="J405" s="10">
        <f t="shared" si="6"/>
        <v>7</v>
      </c>
    </row>
    <row r="406" spans="1:10" x14ac:dyDescent="0.2">
      <c r="A406" s="6">
        <v>42430</v>
      </c>
      <c r="B406">
        <v>2000</v>
      </c>
      <c r="C406">
        <v>1740</v>
      </c>
      <c r="D406">
        <v>405</v>
      </c>
      <c r="E406">
        <v>7000</v>
      </c>
      <c r="F406" t="s">
        <v>25</v>
      </c>
      <c r="G406">
        <v>18</v>
      </c>
      <c r="H406" t="s">
        <v>68</v>
      </c>
      <c r="I406">
        <v>19</v>
      </c>
      <c r="J406" s="10">
        <f t="shared" si="6"/>
        <v>18</v>
      </c>
    </row>
    <row r="407" spans="1:10" x14ac:dyDescent="0.2">
      <c r="A407" s="6">
        <v>42383</v>
      </c>
      <c r="B407">
        <v>2002</v>
      </c>
      <c r="C407">
        <v>1740</v>
      </c>
      <c r="D407">
        <v>406</v>
      </c>
      <c r="E407">
        <v>7500</v>
      </c>
      <c r="F407" t="s">
        <v>25</v>
      </c>
      <c r="G407">
        <v>5</v>
      </c>
      <c r="H407" t="s">
        <v>68</v>
      </c>
      <c r="I407">
        <v>17</v>
      </c>
      <c r="J407" s="10">
        <f t="shared" si="6"/>
        <v>5</v>
      </c>
    </row>
    <row r="408" spans="1:10" x14ac:dyDescent="0.2">
      <c r="A408" s="6">
        <v>42373</v>
      </c>
      <c r="B408">
        <v>2003</v>
      </c>
      <c r="C408">
        <v>1740</v>
      </c>
      <c r="D408">
        <v>407</v>
      </c>
      <c r="E408">
        <v>6500</v>
      </c>
      <c r="F408" t="s">
        <v>25</v>
      </c>
      <c r="G408">
        <v>6</v>
      </c>
      <c r="H408" t="s">
        <v>68</v>
      </c>
      <c r="I408">
        <v>16</v>
      </c>
      <c r="J408" s="10">
        <f t="shared" si="6"/>
        <v>6</v>
      </c>
    </row>
    <row r="409" spans="1:10" x14ac:dyDescent="0.2">
      <c r="A409" s="6">
        <v>43522</v>
      </c>
      <c r="B409">
        <v>2001</v>
      </c>
      <c r="C409">
        <v>1835</v>
      </c>
      <c r="D409">
        <v>408</v>
      </c>
      <c r="E409">
        <v>7400</v>
      </c>
      <c r="F409" t="s">
        <v>25</v>
      </c>
      <c r="G409">
        <v>5</v>
      </c>
      <c r="H409" t="s">
        <v>68</v>
      </c>
      <c r="I409">
        <v>18</v>
      </c>
      <c r="J409" s="10">
        <f t="shared" si="6"/>
        <v>5</v>
      </c>
    </row>
    <row r="410" spans="1:10" x14ac:dyDescent="0.2">
      <c r="A410" s="6">
        <v>43397</v>
      </c>
      <c r="B410">
        <v>2001</v>
      </c>
      <c r="C410">
        <v>1835</v>
      </c>
      <c r="D410">
        <v>409</v>
      </c>
      <c r="E410">
        <v>8500</v>
      </c>
      <c r="F410" t="s">
        <v>25</v>
      </c>
      <c r="G410">
        <v>4</v>
      </c>
      <c r="H410" t="s">
        <v>68</v>
      </c>
      <c r="I410">
        <v>18</v>
      </c>
      <c r="J410" s="10">
        <f t="shared" si="6"/>
        <v>4</v>
      </c>
    </row>
    <row r="411" spans="1:10" x14ac:dyDescent="0.2">
      <c r="A411" s="6">
        <v>43311</v>
      </c>
      <c r="B411">
        <v>2001</v>
      </c>
      <c r="C411">
        <v>1835</v>
      </c>
      <c r="D411">
        <v>410</v>
      </c>
      <c r="E411">
        <v>10000</v>
      </c>
      <c r="F411" t="s">
        <v>25</v>
      </c>
      <c r="G411">
        <v>35</v>
      </c>
      <c r="H411" t="s">
        <v>26</v>
      </c>
      <c r="I411">
        <v>18</v>
      </c>
      <c r="J411" s="10">
        <f t="shared" si="6"/>
        <v>1</v>
      </c>
    </row>
    <row r="412" spans="1:10" x14ac:dyDescent="0.2">
      <c r="A412" s="6">
        <v>43144</v>
      </c>
      <c r="B412">
        <v>2001</v>
      </c>
      <c r="C412">
        <v>1835</v>
      </c>
      <c r="D412">
        <v>411</v>
      </c>
      <c r="E412">
        <v>9000</v>
      </c>
      <c r="F412" t="s">
        <v>25</v>
      </c>
      <c r="G412">
        <v>6</v>
      </c>
      <c r="H412" t="s">
        <v>68</v>
      </c>
      <c r="I412">
        <v>18</v>
      </c>
      <c r="J412" s="10">
        <f t="shared" si="6"/>
        <v>6</v>
      </c>
    </row>
    <row r="413" spans="1:10" x14ac:dyDescent="0.2">
      <c r="A413" s="6">
        <v>43025</v>
      </c>
      <c r="B413">
        <v>2001</v>
      </c>
      <c r="C413">
        <v>1835</v>
      </c>
      <c r="D413">
        <v>412</v>
      </c>
      <c r="E413">
        <v>7800</v>
      </c>
      <c r="F413" t="s">
        <v>25</v>
      </c>
      <c r="G413">
        <v>12</v>
      </c>
      <c r="H413" t="s">
        <v>68</v>
      </c>
      <c r="I413">
        <v>18</v>
      </c>
      <c r="J413" s="10">
        <f t="shared" si="6"/>
        <v>12</v>
      </c>
    </row>
    <row r="414" spans="1:10" x14ac:dyDescent="0.2">
      <c r="A414" s="6">
        <v>42971</v>
      </c>
      <c r="B414">
        <v>2000</v>
      </c>
      <c r="C414">
        <v>1835</v>
      </c>
      <c r="D414">
        <v>413</v>
      </c>
      <c r="E414">
        <v>8000</v>
      </c>
      <c r="F414" t="s">
        <v>25</v>
      </c>
      <c r="G414">
        <v>7</v>
      </c>
      <c r="H414" t="s">
        <v>68</v>
      </c>
      <c r="I414">
        <v>19</v>
      </c>
      <c r="J414" s="10">
        <f t="shared" si="6"/>
        <v>7</v>
      </c>
    </row>
    <row r="415" spans="1:10" x14ac:dyDescent="0.2">
      <c r="A415" s="6">
        <v>42734</v>
      </c>
      <c r="B415">
        <v>2001</v>
      </c>
      <c r="C415">
        <v>1835</v>
      </c>
      <c r="D415">
        <v>414</v>
      </c>
      <c r="E415">
        <v>5600</v>
      </c>
      <c r="F415" t="s">
        <v>25</v>
      </c>
      <c r="G415">
        <v>12</v>
      </c>
      <c r="H415" t="s">
        <v>68</v>
      </c>
      <c r="I415">
        <v>18</v>
      </c>
      <c r="J415" s="10">
        <f t="shared" si="6"/>
        <v>12</v>
      </c>
    </row>
    <row r="416" spans="1:10" x14ac:dyDescent="0.2">
      <c r="A416" s="6">
        <v>42705</v>
      </c>
      <c r="B416">
        <v>2000</v>
      </c>
      <c r="C416">
        <v>1835</v>
      </c>
      <c r="D416">
        <v>415</v>
      </c>
      <c r="E416">
        <v>6500</v>
      </c>
      <c r="F416" t="s">
        <v>25</v>
      </c>
      <c r="G416">
        <v>8</v>
      </c>
      <c r="H416" t="s">
        <v>68</v>
      </c>
      <c r="I416">
        <v>19</v>
      </c>
      <c r="J416" s="10">
        <f t="shared" si="6"/>
        <v>8</v>
      </c>
    </row>
    <row r="417" spans="1:10" x14ac:dyDescent="0.2">
      <c r="A417" s="6">
        <v>42394</v>
      </c>
      <c r="B417">
        <v>2000</v>
      </c>
      <c r="C417">
        <v>1835</v>
      </c>
      <c r="D417">
        <v>416</v>
      </c>
      <c r="E417">
        <v>7000</v>
      </c>
      <c r="F417" t="s">
        <v>25</v>
      </c>
      <c r="G417">
        <v>2</v>
      </c>
      <c r="H417" t="s">
        <v>68</v>
      </c>
      <c r="I417">
        <v>19</v>
      </c>
      <c r="J417" s="10">
        <f t="shared" si="6"/>
        <v>2</v>
      </c>
    </row>
    <row r="418" spans="1:10" x14ac:dyDescent="0.2">
      <c r="A418" s="6">
        <v>42384</v>
      </c>
      <c r="B418">
        <v>2001</v>
      </c>
      <c r="C418">
        <v>1835</v>
      </c>
      <c r="D418">
        <v>417</v>
      </c>
      <c r="E418">
        <v>7000</v>
      </c>
      <c r="F418" t="s">
        <v>25</v>
      </c>
      <c r="G418">
        <v>5</v>
      </c>
      <c r="H418" t="s">
        <v>68</v>
      </c>
      <c r="I418">
        <v>18</v>
      </c>
      <c r="J418" s="10">
        <f t="shared" si="6"/>
        <v>5</v>
      </c>
    </row>
    <row r="419" spans="1:10" x14ac:dyDescent="0.2">
      <c r="A419" s="6">
        <v>43437</v>
      </c>
      <c r="B419">
        <v>2003</v>
      </c>
      <c r="C419">
        <v>1858</v>
      </c>
      <c r="D419">
        <v>418</v>
      </c>
      <c r="E419">
        <v>7500</v>
      </c>
      <c r="F419" t="s">
        <v>25</v>
      </c>
      <c r="G419">
        <v>6</v>
      </c>
      <c r="H419" t="s">
        <v>68</v>
      </c>
      <c r="I419">
        <v>16</v>
      </c>
      <c r="J419" s="10">
        <f t="shared" si="6"/>
        <v>6</v>
      </c>
    </row>
    <row r="420" spans="1:10" x14ac:dyDescent="0.2">
      <c r="A420" s="6">
        <v>43161</v>
      </c>
      <c r="B420">
        <v>2004</v>
      </c>
      <c r="C420">
        <v>1858</v>
      </c>
      <c r="D420">
        <v>419</v>
      </c>
      <c r="E420">
        <v>8500</v>
      </c>
      <c r="F420" t="s">
        <v>25</v>
      </c>
      <c r="G420">
        <v>5</v>
      </c>
      <c r="H420" t="s">
        <v>68</v>
      </c>
      <c r="I420">
        <v>15</v>
      </c>
      <c r="J420" s="10">
        <f t="shared" si="6"/>
        <v>5</v>
      </c>
    </row>
    <row r="421" spans="1:10" x14ac:dyDescent="0.2">
      <c r="A421" s="6">
        <v>43067</v>
      </c>
      <c r="B421">
        <v>2004</v>
      </c>
      <c r="C421">
        <v>1858</v>
      </c>
      <c r="D421">
        <v>420</v>
      </c>
      <c r="E421">
        <v>8000</v>
      </c>
      <c r="F421" t="s">
        <v>25</v>
      </c>
      <c r="G421">
        <v>5</v>
      </c>
      <c r="H421" t="s">
        <v>68</v>
      </c>
      <c r="I421">
        <v>15</v>
      </c>
      <c r="J421" s="10">
        <f t="shared" si="6"/>
        <v>5</v>
      </c>
    </row>
    <row r="422" spans="1:10" x14ac:dyDescent="0.2">
      <c r="A422" s="6">
        <v>43052</v>
      </c>
      <c r="B422">
        <v>2004</v>
      </c>
      <c r="C422">
        <v>1858</v>
      </c>
      <c r="D422">
        <v>421</v>
      </c>
      <c r="E422">
        <v>7200</v>
      </c>
      <c r="F422" t="s">
        <v>25</v>
      </c>
      <c r="G422">
        <v>4</v>
      </c>
      <c r="H422" t="s">
        <v>68</v>
      </c>
      <c r="I422">
        <v>15</v>
      </c>
      <c r="J422" s="10">
        <f t="shared" si="6"/>
        <v>4</v>
      </c>
    </row>
    <row r="423" spans="1:10" x14ac:dyDescent="0.2">
      <c r="A423" s="6">
        <v>42919</v>
      </c>
      <c r="B423">
        <v>2004</v>
      </c>
      <c r="C423">
        <v>1858</v>
      </c>
      <c r="D423">
        <v>422</v>
      </c>
      <c r="E423">
        <v>6800</v>
      </c>
      <c r="F423" t="s">
        <v>25</v>
      </c>
      <c r="G423">
        <v>40</v>
      </c>
      <c r="H423" t="s">
        <v>26</v>
      </c>
      <c r="I423">
        <v>15</v>
      </c>
      <c r="J423" s="10">
        <f t="shared" si="6"/>
        <v>1</v>
      </c>
    </row>
    <row r="424" spans="1:10" x14ac:dyDescent="0.2">
      <c r="A424" s="6">
        <v>42887</v>
      </c>
      <c r="B424">
        <v>2004</v>
      </c>
      <c r="C424">
        <v>1858</v>
      </c>
      <c r="D424">
        <v>423</v>
      </c>
      <c r="E424">
        <v>7450</v>
      </c>
      <c r="F424" t="s">
        <v>25</v>
      </c>
      <c r="G424">
        <v>6</v>
      </c>
      <c r="H424" t="s">
        <v>68</v>
      </c>
      <c r="I424">
        <v>15</v>
      </c>
      <c r="J424" s="10">
        <f t="shared" si="6"/>
        <v>6</v>
      </c>
    </row>
    <row r="425" spans="1:10" x14ac:dyDescent="0.2">
      <c r="A425" s="6">
        <v>42570</v>
      </c>
      <c r="B425">
        <v>2004</v>
      </c>
      <c r="C425">
        <v>1858</v>
      </c>
      <c r="D425">
        <v>424</v>
      </c>
      <c r="E425">
        <v>7000</v>
      </c>
      <c r="F425" t="s">
        <v>25</v>
      </c>
      <c r="G425">
        <v>4</v>
      </c>
      <c r="H425" t="s">
        <v>68</v>
      </c>
      <c r="I425">
        <v>15</v>
      </c>
      <c r="J425" s="10">
        <f t="shared" si="6"/>
        <v>4</v>
      </c>
    </row>
    <row r="426" spans="1:10" x14ac:dyDescent="0.2">
      <c r="A426" s="6">
        <v>42559</v>
      </c>
      <c r="B426">
        <v>2003</v>
      </c>
      <c r="C426">
        <v>1858</v>
      </c>
      <c r="D426">
        <v>425</v>
      </c>
      <c r="E426">
        <v>6750</v>
      </c>
      <c r="F426" t="s">
        <v>25</v>
      </c>
      <c r="G426">
        <v>8</v>
      </c>
      <c r="H426" t="s">
        <v>68</v>
      </c>
      <c r="I426">
        <v>16</v>
      </c>
      <c r="J426" s="10">
        <f t="shared" si="6"/>
        <v>8</v>
      </c>
    </row>
    <row r="427" spans="1:10" x14ac:dyDescent="0.2">
      <c r="A427" s="6">
        <v>43417</v>
      </c>
      <c r="B427">
        <v>2001</v>
      </c>
      <c r="C427">
        <v>2078</v>
      </c>
      <c r="D427">
        <v>426</v>
      </c>
      <c r="E427">
        <v>7650</v>
      </c>
      <c r="F427" t="s">
        <v>25</v>
      </c>
      <c r="G427">
        <v>12</v>
      </c>
      <c r="H427" t="s">
        <v>68</v>
      </c>
      <c r="I427">
        <v>18</v>
      </c>
      <c r="J427" s="10">
        <f t="shared" si="6"/>
        <v>12</v>
      </c>
    </row>
    <row r="428" spans="1:10" x14ac:dyDescent="0.2">
      <c r="A428" s="6">
        <v>43349</v>
      </c>
      <c r="B428">
        <v>2001</v>
      </c>
      <c r="C428">
        <v>2078</v>
      </c>
      <c r="D428">
        <v>427</v>
      </c>
      <c r="E428">
        <v>10000</v>
      </c>
      <c r="F428" t="s">
        <v>25</v>
      </c>
      <c r="G428">
        <v>9</v>
      </c>
      <c r="H428" t="s">
        <v>68</v>
      </c>
      <c r="I428">
        <v>18</v>
      </c>
      <c r="J428" s="10">
        <f t="shared" si="6"/>
        <v>9</v>
      </c>
    </row>
    <row r="429" spans="1:10" x14ac:dyDescent="0.2">
      <c r="A429" s="6">
        <v>43125</v>
      </c>
      <c r="B429">
        <v>2001</v>
      </c>
      <c r="C429">
        <v>2078</v>
      </c>
      <c r="D429">
        <v>428</v>
      </c>
      <c r="E429">
        <v>8350</v>
      </c>
      <c r="F429" t="s">
        <v>25</v>
      </c>
      <c r="G429">
        <v>4</v>
      </c>
      <c r="H429" t="s">
        <v>68</v>
      </c>
      <c r="I429">
        <v>18</v>
      </c>
      <c r="J429" s="10">
        <f t="shared" si="6"/>
        <v>4</v>
      </c>
    </row>
    <row r="430" spans="1:10" x14ac:dyDescent="0.2">
      <c r="A430" s="6">
        <v>42821</v>
      </c>
      <c r="B430">
        <v>2001</v>
      </c>
      <c r="C430">
        <v>2078</v>
      </c>
      <c r="D430">
        <v>429</v>
      </c>
      <c r="E430">
        <v>7000</v>
      </c>
      <c r="F430" t="s">
        <v>25</v>
      </c>
      <c r="G430">
        <v>12</v>
      </c>
      <c r="H430" t="s">
        <v>68</v>
      </c>
      <c r="I430">
        <v>18</v>
      </c>
      <c r="J430" s="10">
        <f t="shared" si="6"/>
        <v>12</v>
      </c>
    </row>
    <row r="431" spans="1:10" x14ac:dyDescent="0.2">
      <c r="A431" s="6">
        <v>42746</v>
      </c>
      <c r="B431">
        <v>2001</v>
      </c>
      <c r="C431">
        <v>2078</v>
      </c>
      <c r="D431">
        <v>430</v>
      </c>
      <c r="E431">
        <v>5900</v>
      </c>
      <c r="F431" t="s">
        <v>25</v>
      </c>
      <c r="G431">
        <v>90</v>
      </c>
      <c r="H431" t="s">
        <v>26</v>
      </c>
      <c r="I431">
        <v>18</v>
      </c>
      <c r="J431" s="10">
        <f t="shared" si="6"/>
        <v>3</v>
      </c>
    </row>
    <row r="432" spans="1:10" x14ac:dyDescent="0.2">
      <c r="A432" s="6">
        <v>42597</v>
      </c>
      <c r="B432">
        <v>2001</v>
      </c>
      <c r="C432">
        <v>2078</v>
      </c>
      <c r="D432">
        <v>431</v>
      </c>
      <c r="E432">
        <v>5850</v>
      </c>
      <c r="F432" t="s">
        <v>25</v>
      </c>
      <c r="G432">
        <v>8</v>
      </c>
      <c r="H432" t="s">
        <v>68</v>
      </c>
      <c r="I432">
        <v>18</v>
      </c>
      <c r="J432" s="10">
        <f t="shared" si="6"/>
        <v>8</v>
      </c>
    </row>
    <row r="433" spans="1:10" x14ac:dyDescent="0.2">
      <c r="A433" s="6">
        <v>42464</v>
      </c>
      <c r="B433">
        <v>2001</v>
      </c>
      <c r="C433">
        <v>2078</v>
      </c>
      <c r="D433">
        <v>432</v>
      </c>
      <c r="E433">
        <v>6000</v>
      </c>
      <c r="F433" t="s">
        <v>25</v>
      </c>
      <c r="G433">
        <v>6</v>
      </c>
      <c r="H433" t="s">
        <v>68</v>
      </c>
      <c r="I433">
        <v>18</v>
      </c>
      <c r="J433" s="10">
        <f t="shared" si="6"/>
        <v>6</v>
      </c>
    </row>
    <row r="434" spans="1:10" x14ac:dyDescent="0.2">
      <c r="A434" s="6">
        <v>42705</v>
      </c>
      <c r="B434">
        <v>2003</v>
      </c>
      <c r="C434">
        <v>2202</v>
      </c>
      <c r="D434">
        <v>433</v>
      </c>
      <c r="E434">
        <v>5500</v>
      </c>
      <c r="F434" t="s">
        <v>25</v>
      </c>
      <c r="G434">
        <v>9</v>
      </c>
      <c r="H434" t="s">
        <v>68</v>
      </c>
      <c r="I434">
        <v>16</v>
      </c>
      <c r="J434" s="10">
        <f t="shared" si="6"/>
        <v>9</v>
      </c>
    </row>
    <row r="435" spans="1:10" x14ac:dyDescent="0.2">
      <c r="A435" s="6">
        <v>42563</v>
      </c>
      <c r="B435">
        <v>2003</v>
      </c>
      <c r="C435">
        <v>2202</v>
      </c>
      <c r="D435">
        <v>434</v>
      </c>
      <c r="E435">
        <v>6300</v>
      </c>
      <c r="F435" t="s">
        <v>25</v>
      </c>
      <c r="G435">
        <v>11</v>
      </c>
      <c r="H435" t="s">
        <v>68</v>
      </c>
      <c r="I435">
        <v>16</v>
      </c>
      <c r="J435" s="10">
        <f t="shared" si="6"/>
        <v>11</v>
      </c>
    </row>
    <row r="436" spans="1:10" x14ac:dyDescent="0.2">
      <c r="A436" s="6">
        <v>43537</v>
      </c>
      <c r="B436">
        <v>2002</v>
      </c>
      <c r="C436">
        <v>2207</v>
      </c>
      <c r="D436">
        <v>435</v>
      </c>
      <c r="E436">
        <v>7200</v>
      </c>
      <c r="F436" t="s">
        <v>25</v>
      </c>
      <c r="G436">
        <v>7</v>
      </c>
      <c r="H436" t="s">
        <v>68</v>
      </c>
      <c r="I436">
        <v>17</v>
      </c>
      <c r="J436" s="10">
        <f t="shared" si="6"/>
        <v>7</v>
      </c>
    </row>
    <row r="437" spans="1:10" x14ac:dyDescent="0.2">
      <c r="A437" s="6">
        <v>43426</v>
      </c>
      <c r="B437">
        <v>2002</v>
      </c>
      <c r="C437">
        <v>2207</v>
      </c>
      <c r="D437">
        <v>436</v>
      </c>
      <c r="E437">
        <v>9800</v>
      </c>
      <c r="F437" t="s">
        <v>25</v>
      </c>
      <c r="G437">
        <v>12</v>
      </c>
      <c r="H437" t="s">
        <v>68</v>
      </c>
      <c r="I437">
        <v>17</v>
      </c>
      <c r="J437" s="10">
        <f t="shared" si="6"/>
        <v>12</v>
      </c>
    </row>
    <row r="438" spans="1:10" x14ac:dyDescent="0.2">
      <c r="A438" s="6">
        <v>43426</v>
      </c>
      <c r="B438">
        <v>2002</v>
      </c>
      <c r="C438">
        <v>2207</v>
      </c>
      <c r="D438">
        <v>437</v>
      </c>
      <c r="E438">
        <v>9800</v>
      </c>
      <c r="F438" t="s">
        <v>25</v>
      </c>
      <c r="G438">
        <v>12</v>
      </c>
      <c r="H438" t="s">
        <v>68</v>
      </c>
      <c r="I438">
        <v>17</v>
      </c>
      <c r="J438" s="10">
        <f t="shared" si="6"/>
        <v>12</v>
      </c>
    </row>
    <row r="439" spans="1:10" x14ac:dyDescent="0.2">
      <c r="A439" s="6">
        <v>43425</v>
      </c>
      <c r="B439">
        <v>2003</v>
      </c>
      <c r="C439">
        <v>2207</v>
      </c>
      <c r="D439">
        <v>438</v>
      </c>
      <c r="E439">
        <v>8450</v>
      </c>
      <c r="F439" t="s">
        <v>25</v>
      </c>
      <c r="G439">
        <v>10</v>
      </c>
      <c r="H439" t="s">
        <v>68</v>
      </c>
      <c r="I439">
        <v>16</v>
      </c>
      <c r="J439" s="10">
        <f t="shared" si="6"/>
        <v>10</v>
      </c>
    </row>
    <row r="440" spans="1:10" x14ac:dyDescent="0.2">
      <c r="A440" s="6">
        <v>43364</v>
      </c>
      <c r="B440">
        <v>2002</v>
      </c>
      <c r="C440">
        <v>2207</v>
      </c>
      <c r="D440">
        <v>439</v>
      </c>
      <c r="E440">
        <v>7800</v>
      </c>
      <c r="F440" t="s">
        <v>25</v>
      </c>
      <c r="G440">
        <v>5</v>
      </c>
      <c r="H440" t="s">
        <v>68</v>
      </c>
      <c r="I440">
        <v>17</v>
      </c>
      <c r="J440" s="10">
        <f t="shared" si="6"/>
        <v>5</v>
      </c>
    </row>
    <row r="441" spans="1:10" x14ac:dyDescent="0.2">
      <c r="A441" s="6">
        <v>43005</v>
      </c>
      <c r="B441">
        <v>2002</v>
      </c>
      <c r="C441">
        <v>2207</v>
      </c>
      <c r="D441">
        <v>440</v>
      </c>
      <c r="E441">
        <v>7800</v>
      </c>
      <c r="F441" t="s">
        <v>25</v>
      </c>
      <c r="G441">
        <v>12</v>
      </c>
      <c r="H441" t="s">
        <v>68</v>
      </c>
      <c r="I441">
        <v>17</v>
      </c>
      <c r="J441" s="10">
        <f t="shared" si="6"/>
        <v>12</v>
      </c>
    </row>
    <row r="442" spans="1:10" x14ac:dyDescent="0.2">
      <c r="A442" s="6">
        <v>43005</v>
      </c>
      <c r="B442">
        <v>2003</v>
      </c>
      <c r="C442">
        <v>2207</v>
      </c>
      <c r="D442">
        <v>441</v>
      </c>
      <c r="E442">
        <v>7800</v>
      </c>
      <c r="F442" t="s">
        <v>25</v>
      </c>
      <c r="G442">
        <v>12</v>
      </c>
      <c r="H442" t="s">
        <v>68</v>
      </c>
      <c r="I442">
        <v>16</v>
      </c>
      <c r="J442" s="10">
        <f t="shared" si="6"/>
        <v>12</v>
      </c>
    </row>
    <row r="443" spans="1:10" x14ac:dyDescent="0.2">
      <c r="A443" s="6">
        <v>42996</v>
      </c>
      <c r="B443">
        <v>2003</v>
      </c>
      <c r="C443">
        <v>2207</v>
      </c>
      <c r="D443">
        <v>442</v>
      </c>
      <c r="E443">
        <v>7800</v>
      </c>
      <c r="F443" t="s">
        <v>25</v>
      </c>
      <c r="G443">
        <v>12</v>
      </c>
      <c r="H443" t="s">
        <v>68</v>
      </c>
      <c r="I443">
        <v>16</v>
      </c>
      <c r="J443" s="10">
        <f t="shared" si="6"/>
        <v>12</v>
      </c>
    </row>
    <row r="444" spans="1:10" x14ac:dyDescent="0.2">
      <c r="A444" s="6">
        <v>43559</v>
      </c>
      <c r="B444">
        <v>2000</v>
      </c>
      <c r="C444">
        <v>2226</v>
      </c>
      <c r="D444">
        <v>443</v>
      </c>
      <c r="E444">
        <v>7900</v>
      </c>
      <c r="F444" t="s">
        <v>25</v>
      </c>
      <c r="G444">
        <v>6</v>
      </c>
      <c r="H444" t="s">
        <v>68</v>
      </c>
      <c r="I444">
        <v>19</v>
      </c>
      <c r="J444" s="10">
        <f t="shared" si="6"/>
        <v>6</v>
      </c>
    </row>
    <row r="445" spans="1:10" x14ac:dyDescent="0.2">
      <c r="A445" s="6">
        <v>43332</v>
      </c>
      <c r="B445">
        <v>2000</v>
      </c>
      <c r="C445">
        <v>2226</v>
      </c>
      <c r="D445">
        <v>444</v>
      </c>
      <c r="E445">
        <v>10000</v>
      </c>
      <c r="F445" t="s">
        <v>25</v>
      </c>
      <c r="G445">
        <v>6</v>
      </c>
      <c r="H445" t="s">
        <v>68</v>
      </c>
      <c r="I445">
        <v>19</v>
      </c>
      <c r="J445" s="10">
        <f t="shared" si="6"/>
        <v>6</v>
      </c>
    </row>
    <row r="446" spans="1:10" x14ac:dyDescent="0.2">
      <c r="A446" s="6">
        <v>43007</v>
      </c>
      <c r="B446">
        <v>2000</v>
      </c>
      <c r="C446">
        <v>2226</v>
      </c>
      <c r="D446">
        <v>445</v>
      </c>
      <c r="E446">
        <v>7700</v>
      </c>
      <c r="F446" t="s">
        <v>25</v>
      </c>
      <c r="G446">
        <v>10</v>
      </c>
      <c r="H446" t="s">
        <v>68</v>
      </c>
      <c r="I446">
        <v>19</v>
      </c>
      <c r="J446" s="10">
        <f t="shared" si="6"/>
        <v>10</v>
      </c>
    </row>
    <row r="447" spans="1:10" x14ac:dyDescent="0.2">
      <c r="A447" s="6">
        <v>42709</v>
      </c>
      <c r="B447">
        <v>2000</v>
      </c>
      <c r="C447">
        <v>2226</v>
      </c>
      <c r="D447">
        <v>446</v>
      </c>
      <c r="E447">
        <v>6250</v>
      </c>
      <c r="F447" t="s">
        <v>25</v>
      </c>
      <c r="G447">
        <v>10</v>
      </c>
      <c r="H447" t="s">
        <v>68</v>
      </c>
      <c r="I447">
        <v>19</v>
      </c>
      <c r="J447" s="10">
        <f t="shared" si="6"/>
        <v>10</v>
      </c>
    </row>
    <row r="448" spans="1:10" x14ac:dyDescent="0.2">
      <c r="A448" s="6">
        <v>42644</v>
      </c>
      <c r="B448">
        <v>2000</v>
      </c>
      <c r="C448">
        <v>2226</v>
      </c>
      <c r="D448">
        <v>447</v>
      </c>
      <c r="E448">
        <v>5800</v>
      </c>
      <c r="F448" t="s">
        <v>25</v>
      </c>
      <c r="G448">
        <v>12</v>
      </c>
      <c r="H448" t="s">
        <v>68</v>
      </c>
      <c r="I448">
        <v>19</v>
      </c>
      <c r="J448" s="10">
        <f t="shared" si="6"/>
        <v>12</v>
      </c>
    </row>
    <row r="449" spans="1:10" x14ac:dyDescent="0.2">
      <c r="A449" s="6">
        <v>42480</v>
      </c>
      <c r="B449">
        <v>2000</v>
      </c>
      <c r="C449">
        <v>2226</v>
      </c>
      <c r="D449">
        <v>448</v>
      </c>
      <c r="E449">
        <v>8750</v>
      </c>
      <c r="F449" t="s">
        <v>25</v>
      </c>
      <c r="G449">
        <v>7</v>
      </c>
      <c r="H449" t="s">
        <v>68</v>
      </c>
      <c r="I449">
        <v>19</v>
      </c>
      <c r="J449" s="10">
        <f t="shared" si="6"/>
        <v>7</v>
      </c>
    </row>
    <row r="450" spans="1:10" x14ac:dyDescent="0.2">
      <c r="A450" s="6">
        <v>42444</v>
      </c>
      <c r="B450">
        <v>2000</v>
      </c>
      <c r="C450">
        <v>2226</v>
      </c>
      <c r="D450">
        <v>449</v>
      </c>
      <c r="E450">
        <v>6000</v>
      </c>
      <c r="F450" t="s">
        <v>25</v>
      </c>
      <c r="G450">
        <v>12</v>
      </c>
      <c r="H450" t="s">
        <v>68</v>
      </c>
      <c r="I450">
        <v>19</v>
      </c>
      <c r="J450" s="10">
        <f t="shared" ref="J450:J513" si="7">IF(H450="days",ROUND(G450/30,0),IF(H450="years",G450*12,G450))</f>
        <v>12</v>
      </c>
    </row>
    <row r="451" spans="1:10" x14ac:dyDescent="0.2">
      <c r="A451" s="6">
        <v>42430</v>
      </c>
      <c r="B451">
        <v>2000</v>
      </c>
      <c r="C451">
        <v>2226</v>
      </c>
      <c r="D451">
        <v>450</v>
      </c>
      <c r="E451">
        <v>6500</v>
      </c>
      <c r="F451" t="s">
        <v>25</v>
      </c>
      <c r="G451">
        <v>13</v>
      </c>
      <c r="H451" t="s">
        <v>68</v>
      </c>
      <c r="I451">
        <v>19</v>
      </c>
      <c r="J451" s="10">
        <f t="shared" si="7"/>
        <v>13</v>
      </c>
    </row>
    <row r="452" spans="1:10" x14ac:dyDescent="0.2">
      <c r="A452" s="6">
        <v>43557</v>
      </c>
      <c r="B452">
        <v>2005</v>
      </c>
      <c r="C452">
        <v>2378</v>
      </c>
      <c r="D452">
        <v>451</v>
      </c>
      <c r="E452">
        <v>8100</v>
      </c>
      <c r="F452" t="s">
        <v>25</v>
      </c>
      <c r="G452">
        <v>12</v>
      </c>
      <c r="H452" t="s">
        <v>68</v>
      </c>
      <c r="I452">
        <v>14</v>
      </c>
      <c r="J452" s="10">
        <f t="shared" si="7"/>
        <v>12</v>
      </c>
    </row>
    <row r="453" spans="1:10" x14ac:dyDescent="0.2">
      <c r="A453" s="6">
        <v>43552</v>
      </c>
      <c r="B453">
        <v>2005</v>
      </c>
      <c r="C453">
        <v>2378</v>
      </c>
      <c r="D453">
        <v>452</v>
      </c>
      <c r="E453">
        <v>8100</v>
      </c>
      <c r="F453" t="s">
        <v>25</v>
      </c>
      <c r="G453">
        <v>12</v>
      </c>
      <c r="H453" t="s">
        <v>68</v>
      </c>
      <c r="I453">
        <v>14</v>
      </c>
      <c r="J453" s="10">
        <f t="shared" si="7"/>
        <v>12</v>
      </c>
    </row>
    <row r="454" spans="1:10" x14ac:dyDescent="0.2">
      <c r="A454" s="6">
        <v>43180</v>
      </c>
      <c r="B454">
        <v>2005</v>
      </c>
      <c r="C454">
        <v>2378</v>
      </c>
      <c r="D454">
        <v>453</v>
      </c>
      <c r="E454">
        <v>9700</v>
      </c>
      <c r="F454" t="s">
        <v>25</v>
      </c>
      <c r="G454">
        <v>12</v>
      </c>
      <c r="H454" t="s">
        <v>68</v>
      </c>
      <c r="I454">
        <v>14</v>
      </c>
      <c r="J454" s="10">
        <f t="shared" si="7"/>
        <v>12</v>
      </c>
    </row>
    <row r="455" spans="1:10" x14ac:dyDescent="0.2">
      <c r="A455" s="6">
        <v>42773</v>
      </c>
      <c r="B455">
        <v>2005</v>
      </c>
      <c r="C455">
        <v>2378</v>
      </c>
      <c r="D455">
        <v>454</v>
      </c>
      <c r="E455">
        <v>6150</v>
      </c>
      <c r="F455" t="s">
        <v>25</v>
      </c>
      <c r="G455">
        <v>12</v>
      </c>
      <c r="H455" t="s">
        <v>68</v>
      </c>
      <c r="I455">
        <v>14</v>
      </c>
      <c r="J455" s="10">
        <f t="shared" si="7"/>
        <v>12</v>
      </c>
    </row>
    <row r="456" spans="1:10" x14ac:dyDescent="0.2">
      <c r="A456" s="6">
        <v>42760</v>
      </c>
      <c r="B456">
        <v>2005</v>
      </c>
      <c r="C456">
        <v>2378</v>
      </c>
      <c r="D456">
        <v>455</v>
      </c>
      <c r="E456">
        <v>5800</v>
      </c>
      <c r="F456" t="s">
        <v>25</v>
      </c>
      <c r="G456">
        <v>2</v>
      </c>
      <c r="H456" t="s">
        <v>68</v>
      </c>
      <c r="I456">
        <v>14</v>
      </c>
      <c r="J456" s="10">
        <f t="shared" si="7"/>
        <v>2</v>
      </c>
    </row>
    <row r="457" spans="1:10" x14ac:dyDescent="0.2">
      <c r="A457" s="6">
        <v>43535</v>
      </c>
      <c r="B457">
        <v>2000</v>
      </c>
      <c r="C457">
        <v>2442</v>
      </c>
      <c r="D457">
        <v>456</v>
      </c>
      <c r="E457">
        <v>8600</v>
      </c>
      <c r="F457" t="s">
        <v>25</v>
      </c>
      <c r="G457">
        <v>6</v>
      </c>
      <c r="H457" t="s">
        <v>68</v>
      </c>
      <c r="I457">
        <v>19</v>
      </c>
      <c r="J457" s="10">
        <f t="shared" si="7"/>
        <v>6</v>
      </c>
    </row>
    <row r="458" spans="1:10" x14ac:dyDescent="0.2">
      <c r="A458" s="6">
        <v>43305</v>
      </c>
      <c r="B458">
        <v>2000</v>
      </c>
      <c r="C458">
        <v>2442</v>
      </c>
      <c r="D458">
        <v>457</v>
      </c>
      <c r="E458">
        <v>12000</v>
      </c>
      <c r="F458" t="s">
        <v>25</v>
      </c>
      <c r="G458">
        <v>11.5</v>
      </c>
      <c r="H458" t="s">
        <v>68</v>
      </c>
      <c r="I458">
        <v>19</v>
      </c>
      <c r="J458" s="10">
        <f t="shared" si="7"/>
        <v>11.5</v>
      </c>
    </row>
    <row r="459" spans="1:10" x14ac:dyDescent="0.2">
      <c r="A459" s="6">
        <v>43231</v>
      </c>
      <c r="B459">
        <v>2000</v>
      </c>
      <c r="C459">
        <v>2442</v>
      </c>
      <c r="D459">
        <v>458</v>
      </c>
      <c r="E459">
        <v>11950</v>
      </c>
      <c r="F459" t="s">
        <v>25</v>
      </c>
      <c r="G459">
        <v>11</v>
      </c>
      <c r="H459" t="s">
        <v>68</v>
      </c>
      <c r="I459">
        <v>19</v>
      </c>
      <c r="J459" s="10">
        <f t="shared" si="7"/>
        <v>11</v>
      </c>
    </row>
    <row r="460" spans="1:10" x14ac:dyDescent="0.2">
      <c r="A460" s="6">
        <v>43018</v>
      </c>
      <c r="B460">
        <v>2000</v>
      </c>
      <c r="C460">
        <v>2442</v>
      </c>
      <c r="D460">
        <v>459</v>
      </c>
      <c r="E460">
        <v>9300</v>
      </c>
      <c r="F460" t="s">
        <v>25</v>
      </c>
      <c r="G460">
        <v>12</v>
      </c>
      <c r="H460" t="s">
        <v>68</v>
      </c>
      <c r="I460">
        <v>19</v>
      </c>
      <c r="J460" s="10">
        <f t="shared" si="7"/>
        <v>12</v>
      </c>
    </row>
    <row r="461" spans="1:10" x14ac:dyDescent="0.2">
      <c r="A461" s="6">
        <v>43005</v>
      </c>
      <c r="B461">
        <v>2000</v>
      </c>
      <c r="C461">
        <v>2442</v>
      </c>
      <c r="D461">
        <v>460</v>
      </c>
      <c r="E461">
        <v>9300</v>
      </c>
      <c r="F461" t="s">
        <v>25</v>
      </c>
      <c r="G461">
        <v>5</v>
      </c>
      <c r="H461" t="s">
        <v>68</v>
      </c>
      <c r="I461">
        <v>19</v>
      </c>
      <c r="J461" s="10">
        <f t="shared" si="7"/>
        <v>5</v>
      </c>
    </row>
    <row r="462" spans="1:10" x14ac:dyDescent="0.2">
      <c r="A462" s="6">
        <v>42844</v>
      </c>
      <c r="B462">
        <v>2000</v>
      </c>
      <c r="C462">
        <v>2442</v>
      </c>
      <c r="D462">
        <v>461</v>
      </c>
      <c r="E462">
        <v>9300</v>
      </c>
      <c r="F462" t="s">
        <v>25</v>
      </c>
      <c r="G462">
        <v>6</v>
      </c>
      <c r="H462" t="s">
        <v>68</v>
      </c>
      <c r="I462">
        <v>19</v>
      </c>
      <c r="J462" s="10">
        <f t="shared" si="7"/>
        <v>6</v>
      </c>
    </row>
    <row r="463" spans="1:10" x14ac:dyDescent="0.2">
      <c r="A463" s="6">
        <v>42641</v>
      </c>
      <c r="B463">
        <v>2000</v>
      </c>
      <c r="C463">
        <v>2442</v>
      </c>
      <c r="D463">
        <v>462</v>
      </c>
      <c r="E463">
        <v>6000</v>
      </c>
      <c r="F463" t="s">
        <v>25</v>
      </c>
      <c r="G463">
        <v>8</v>
      </c>
      <c r="H463" t="s">
        <v>68</v>
      </c>
      <c r="I463">
        <v>19</v>
      </c>
      <c r="J463" s="10">
        <f t="shared" si="7"/>
        <v>8</v>
      </c>
    </row>
    <row r="464" spans="1:10" x14ac:dyDescent="0.2">
      <c r="A464" s="6">
        <v>42537</v>
      </c>
      <c r="B464">
        <v>2000</v>
      </c>
      <c r="C464">
        <v>2442</v>
      </c>
      <c r="D464">
        <v>463</v>
      </c>
      <c r="E464">
        <v>7700</v>
      </c>
      <c r="F464" t="s">
        <v>25</v>
      </c>
      <c r="G464">
        <v>12</v>
      </c>
      <c r="H464" t="s">
        <v>68</v>
      </c>
      <c r="I464">
        <v>19</v>
      </c>
      <c r="J464" s="10">
        <f t="shared" si="7"/>
        <v>12</v>
      </c>
    </row>
    <row r="465" spans="1:10" x14ac:dyDescent="0.2">
      <c r="A465" s="6">
        <v>42408</v>
      </c>
      <c r="B465">
        <v>2000</v>
      </c>
      <c r="C465">
        <v>2442</v>
      </c>
      <c r="D465">
        <v>464</v>
      </c>
      <c r="E465">
        <v>6000</v>
      </c>
      <c r="F465" t="s">
        <v>25</v>
      </c>
      <c r="G465">
        <v>8</v>
      </c>
      <c r="H465" t="s">
        <v>68</v>
      </c>
      <c r="I465">
        <v>19</v>
      </c>
      <c r="J465" s="10">
        <f t="shared" si="7"/>
        <v>8</v>
      </c>
    </row>
    <row r="466" spans="1:10" x14ac:dyDescent="0.2">
      <c r="A466" s="6">
        <v>43579</v>
      </c>
      <c r="B466">
        <v>2002</v>
      </c>
      <c r="C466">
        <v>2452</v>
      </c>
      <c r="D466">
        <v>465</v>
      </c>
      <c r="E466">
        <v>9250</v>
      </c>
      <c r="F466" t="s">
        <v>25</v>
      </c>
      <c r="G466">
        <v>3</v>
      </c>
      <c r="H466" t="s">
        <v>68</v>
      </c>
      <c r="I466">
        <v>17</v>
      </c>
      <c r="J466" s="10">
        <f t="shared" si="7"/>
        <v>3</v>
      </c>
    </row>
    <row r="467" spans="1:10" x14ac:dyDescent="0.2">
      <c r="A467" s="6">
        <v>43514</v>
      </c>
      <c r="B467">
        <v>2002</v>
      </c>
      <c r="C467">
        <v>2452</v>
      </c>
      <c r="D467">
        <v>466</v>
      </c>
      <c r="E467">
        <v>8500</v>
      </c>
      <c r="F467" t="s">
        <v>25</v>
      </c>
      <c r="G467">
        <v>6</v>
      </c>
      <c r="H467" t="s">
        <v>68</v>
      </c>
      <c r="I467">
        <v>17</v>
      </c>
      <c r="J467" s="10">
        <f t="shared" si="7"/>
        <v>6</v>
      </c>
    </row>
    <row r="468" spans="1:10" x14ac:dyDescent="0.2">
      <c r="A468" s="6">
        <v>43389</v>
      </c>
      <c r="B468">
        <v>2001</v>
      </c>
      <c r="C468">
        <v>2452</v>
      </c>
      <c r="D468">
        <v>467</v>
      </c>
      <c r="E468">
        <v>11000</v>
      </c>
      <c r="F468" t="s">
        <v>25</v>
      </c>
      <c r="G468">
        <v>8</v>
      </c>
      <c r="H468" t="s">
        <v>68</v>
      </c>
      <c r="I468">
        <v>18</v>
      </c>
      <c r="J468" s="10">
        <f t="shared" si="7"/>
        <v>8</v>
      </c>
    </row>
    <row r="469" spans="1:10" x14ac:dyDescent="0.2">
      <c r="A469" s="6">
        <v>43374</v>
      </c>
      <c r="B469">
        <v>2002</v>
      </c>
      <c r="C469">
        <v>2452</v>
      </c>
      <c r="D469">
        <v>468</v>
      </c>
      <c r="E469">
        <v>10000</v>
      </c>
      <c r="F469" t="s">
        <v>25</v>
      </c>
      <c r="G469">
        <v>8</v>
      </c>
      <c r="H469" t="s">
        <v>68</v>
      </c>
      <c r="I469">
        <v>17</v>
      </c>
      <c r="J469" s="10">
        <f t="shared" si="7"/>
        <v>8</v>
      </c>
    </row>
    <row r="470" spans="1:10" x14ac:dyDescent="0.2">
      <c r="A470" s="6">
        <v>43214</v>
      </c>
      <c r="B470">
        <v>2002</v>
      </c>
      <c r="C470">
        <v>2452</v>
      </c>
      <c r="D470">
        <v>469</v>
      </c>
      <c r="E470">
        <v>11350</v>
      </c>
      <c r="F470" t="s">
        <v>25</v>
      </c>
      <c r="G470">
        <v>7</v>
      </c>
      <c r="H470" t="s">
        <v>68</v>
      </c>
      <c r="I470">
        <v>17</v>
      </c>
      <c r="J470" s="10">
        <f t="shared" si="7"/>
        <v>7</v>
      </c>
    </row>
    <row r="471" spans="1:10" x14ac:dyDescent="0.2">
      <c r="A471" s="6">
        <v>43185</v>
      </c>
      <c r="B471">
        <v>2001</v>
      </c>
      <c r="C471">
        <v>2452</v>
      </c>
      <c r="D471">
        <v>470</v>
      </c>
      <c r="E471">
        <v>10500</v>
      </c>
      <c r="F471" t="s">
        <v>25</v>
      </c>
      <c r="G471">
        <v>7</v>
      </c>
      <c r="H471" t="s">
        <v>68</v>
      </c>
      <c r="I471">
        <v>18</v>
      </c>
      <c r="J471" s="10">
        <f t="shared" si="7"/>
        <v>7</v>
      </c>
    </row>
    <row r="472" spans="1:10" x14ac:dyDescent="0.2">
      <c r="A472" s="6">
        <v>43059</v>
      </c>
      <c r="B472">
        <v>2002</v>
      </c>
      <c r="C472">
        <v>2452</v>
      </c>
      <c r="D472">
        <v>471</v>
      </c>
      <c r="E472">
        <v>8850</v>
      </c>
      <c r="F472" t="s">
        <v>25</v>
      </c>
      <c r="G472">
        <v>5</v>
      </c>
      <c r="H472" t="s">
        <v>68</v>
      </c>
      <c r="I472">
        <v>17</v>
      </c>
      <c r="J472" s="10">
        <f t="shared" si="7"/>
        <v>5</v>
      </c>
    </row>
    <row r="473" spans="1:10" x14ac:dyDescent="0.2">
      <c r="A473" s="6">
        <v>43021</v>
      </c>
      <c r="B473">
        <v>2002</v>
      </c>
      <c r="C473">
        <v>2452</v>
      </c>
      <c r="D473">
        <v>472</v>
      </c>
      <c r="E473">
        <v>8250</v>
      </c>
      <c r="F473" t="s">
        <v>25</v>
      </c>
      <c r="G473">
        <v>6</v>
      </c>
      <c r="H473" t="s">
        <v>68</v>
      </c>
      <c r="I473">
        <v>17</v>
      </c>
      <c r="J473" s="10">
        <f t="shared" si="7"/>
        <v>6</v>
      </c>
    </row>
    <row r="474" spans="1:10" x14ac:dyDescent="0.2">
      <c r="A474" s="6">
        <v>42998</v>
      </c>
      <c r="B474">
        <v>2002</v>
      </c>
      <c r="C474">
        <v>2452</v>
      </c>
      <c r="D474">
        <v>473</v>
      </c>
      <c r="E474">
        <v>8500</v>
      </c>
      <c r="F474" t="s">
        <v>25</v>
      </c>
      <c r="G474">
        <v>42</v>
      </c>
      <c r="H474" t="s">
        <v>26</v>
      </c>
      <c r="I474">
        <v>17</v>
      </c>
      <c r="J474" s="10">
        <f t="shared" si="7"/>
        <v>1</v>
      </c>
    </row>
    <row r="475" spans="1:10" x14ac:dyDescent="0.2">
      <c r="A475" s="6">
        <v>42900</v>
      </c>
      <c r="B475">
        <v>2001</v>
      </c>
      <c r="C475">
        <v>2452</v>
      </c>
      <c r="D475">
        <v>474</v>
      </c>
      <c r="E475">
        <v>9300</v>
      </c>
      <c r="F475" t="s">
        <v>25</v>
      </c>
      <c r="G475">
        <v>8</v>
      </c>
      <c r="H475" t="s">
        <v>68</v>
      </c>
      <c r="I475">
        <v>18</v>
      </c>
      <c r="J475" s="10">
        <f t="shared" si="7"/>
        <v>8</v>
      </c>
    </row>
    <row r="476" spans="1:10" x14ac:dyDescent="0.2">
      <c r="A476" s="6">
        <v>42887</v>
      </c>
      <c r="B476">
        <v>2002</v>
      </c>
      <c r="C476">
        <v>2452</v>
      </c>
      <c r="D476">
        <v>475</v>
      </c>
      <c r="E476">
        <v>9300</v>
      </c>
      <c r="F476" t="s">
        <v>25</v>
      </c>
      <c r="G476">
        <v>8</v>
      </c>
      <c r="H476" t="s">
        <v>68</v>
      </c>
      <c r="I476">
        <v>17</v>
      </c>
      <c r="J476" s="10">
        <f t="shared" si="7"/>
        <v>8</v>
      </c>
    </row>
    <row r="477" spans="1:10" x14ac:dyDescent="0.2">
      <c r="A477" s="6">
        <v>42779</v>
      </c>
      <c r="B477">
        <v>2002</v>
      </c>
      <c r="C477">
        <v>2452</v>
      </c>
      <c r="D477">
        <v>476</v>
      </c>
      <c r="E477">
        <v>6000</v>
      </c>
      <c r="F477" t="s">
        <v>25</v>
      </c>
      <c r="G477">
        <v>7</v>
      </c>
      <c r="H477" t="s">
        <v>68</v>
      </c>
      <c r="I477">
        <v>17</v>
      </c>
      <c r="J477" s="10">
        <f t="shared" si="7"/>
        <v>7</v>
      </c>
    </row>
    <row r="478" spans="1:10" x14ac:dyDescent="0.2">
      <c r="A478" s="6">
        <v>42709</v>
      </c>
      <c r="B478">
        <v>2002</v>
      </c>
      <c r="C478">
        <v>2452</v>
      </c>
      <c r="D478">
        <v>477</v>
      </c>
      <c r="E478">
        <v>5450</v>
      </c>
      <c r="F478" t="s">
        <v>25</v>
      </c>
      <c r="G478">
        <v>180</v>
      </c>
      <c r="H478" t="s">
        <v>26</v>
      </c>
      <c r="I478">
        <v>17</v>
      </c>
      <c r="J478" s="10">
        <f t="shared" si="7"/>
        <v>6</v>
      </c>
    </row>
    <row r="479" spans="1:10" x14ac:dyDescent="0.2">
      <c r="A479" s="6">
        <v>42688</v>
      </c>
      <c r="B479">
        <v>2002</v>
      </c>
      <c r="C479">
        <v>2452</v>
      </c>
      <c r="D479">
        <v>478</v>
      </c>
      <c r="E479">
        <v>5500</v>
      </c>
      <c r="F479" t="s">
        <v>25</v>
      </c>
      <c r="G479">
        <v>12</v>
      </c>
      <c r="H479" t="s">
        <v>68</v>
      </c>
      <c r="I479">
        <v>17</v>
      </c>
      <c r="J479" s="10">
        <f t="shared" si="7"/>
        <v>12</v>
      </c>
    </row>
    <row r="480" spans="1:10" x14ac:dyDescent="0.2">
      <c r="A480" s="6">
        <v>42563</v>
      </c>
      <c r="B480">
        <v>2002</v>
      </c>
      <c r="C480">
        <v>2452</v>
      </c>
      <c r="D480">
        <v>479</v>
      </c>
      <c r="E480">
        <v>6300</v>
      </c>
      <c r="F480" t="s">
        <v>25</v>
      </c>
      <c r="G480">
        <v>12</v>
      </c>
      <c r="H480" t="s">
        <v>68</v>
      </c>
      <c r="I480">
        <v>17</v>
      </c>
      <c r="J480" s="10">
        <f t="shared" si="7"/>
        <v>12</v>
      </c>
    </row>
    <row r="481" spans="1:10" x14ac:dyDescent="0.2">
      <c r="A481" s="6">
        <v>42436</v>
      </c>
      <c r="B481">
        <v>2002</v>
      </c>
      <c r="C481">
        <v>2452</v>
      </c>
      <c r="D481">
        <v>480</v>
      </c>
      <c r="E481">
        <v>6000</v>
      </c>
      <c r="F481" t="s">
        <v>25</v>
      </c>
      <c r="G481">
        <v>15</v>
      </c>
      <c r="H481" t="s">
        <v>68</v>
      </c>
      <c r="I481">
        <v>17</v>
      </c>
      <c r="J481" s="10">
        <f t="shared" si="7"/>
        <v>15</v>
      </c>
    </row>
    <row r="482" spans="1:10" x14ac:dyDescent="0.2">
      <c r="A482" s="6">
        <v>42433</v>
      </c>
      <c r="B482">
        <v>2002</v>
      </c>
      <c r="C482">
        <v>2452</v>
      </c>
      <c r="D482">
        <v>481</v>
      </c>
      <c r="E482">
        <v>6000</v>
      </c>
      <c r="F482" t="s">
        <v>25</v>
      </c>
      <c r="G482">
        <v>6</v>
      </c>
      <c r="H482" t="s">
        <v>68</v>
      </c>
      <c r="I482">
        <v>17</v>
      </c>
      <c r="J482" s="10">
        <f t="shared" si="7"/>
        <v>6</v>
      </c>
    </row>
    <row r="483" spans="1:10" x14ac:dyDescent="0.2">
      <c r="A483" s="6">
        <v>43579</v>
      </c>
      <c r="B483">
        <v>2001</v>
      </c>
      <c r="C483">
        <v>2456</v>
      </c>
      <c r="D483">
        <v>482</v>
      </c>
      <c r="E483">
        <v>8250</v>
      </c>
      <c r="F483" t="s">
        <v>25</v>
      </c>
      <c r="G483">
        <v>5</v>
      </c>
      <c r="H483" t="s">
        <v>68</v>
      </c>
      <c r="I483">
        <v>18</v>
      </c>
      <c r="J483" s="10">
        <f t="shared" si="7"/>
        <v>5</v>
      </c>
    </row>
    <row r="484" spans="1:10" x14ac:dyDescent="0.2">
      <c r="A484" s="6">
        <v>43493</v>
      </c>
      <c r="B484">
        <v>2001</v>
      </c>
      <c r="C484">
        <v>2456</v>
      </c>
      <c r="D484">
        <v>483</v>
      </c>
      <c r="E484">
        <v>9000</v>
      </c>
      <c r="F484" t="s">
        <v>25</v>
      </c>
      <c r="G484">
        <v>9</v>
      </c>
      <c r="H484" t="s">
        <v>68</v>
      </c>
      <c r="I484">
        <v>18</v>
      </c>
      <c r="J484" s="10">
        <f t="shared" si="7"/>
        <v>9</v>
      </c>
    </row>
    <row r="485" spans="1:10" x14ac:dyDescent="0.2">
      <c r="A485" s="6">
        <v>43424</v>
      </c>
      <c r="B485">
        <v>2001</v>
      </c>
      <c r="C485">
        <v>2456</v>
      </c>
      <c r="D485">
        <v>484</v>
      </c>
      <c r="E485">
        <v>9500</v>
      </c>
      <c r="F485" t="s">
        <v>25</v>
      </c>
      <c r="G485">
        <v>4</v>
      </c>
      <c r="H485" t="s">
        <v>68</v>
      </c>
      <c r="I485">
        <v>18</v>
      </c>
      <c r="J485" s="10">
        <f t="shared" si="7"/>
        <v>4</v>
      </c>
    </row>
    <row r="486" spans="1:10" x14ac:dyDescent="0.2">
      <c r="A486" s="6">
        <v>43322</v>
      </c>
      <c r="B486">
        <v>2002</v>
      </c>
      <c r="C486">
        <v>2456</v>
      </c>
      <c r="D486">
        <v>485</v>
      </c>
      <c r="E486">
        <v>10000</v>
      </c>
      <c r="F486" t="s">
        <v>25</v>
      </c>
      <c r="G486">
        <v>8</v>
      </c>
      <c r="H486" t="s">
        <v>68</v>
      </c>
      <c r="I486">
        <v>17</v>
      </c>
      <c r="J486" s="10">
        <f t="shared" si="7"/>
        <v>8</v>
      </c>
    </row>
    <row r="487" spans="1:10" x14ac:dyDescent="0.2">
      <c r="A487" s="6">
        <v>43207</v>
      </c>
      <c r="B487">
        <v>2001</v>
      </c>
      <c r="C487">
        <v>2456</v>
      </c>
      <c r="D487">
        <v>486</v>
      </c>
      <c r="E487">
        <v>10750</v>
      </c>
      <c r="F487" t="s">
        <v>25</v>
      </c>
      <c r="G487">
        <v>7</v>
      </c>
      <c r="H487" t="s">
        <v>68</v>
      </c>
      <c r="I487">
        <v>18</v>
      </c>
      <c r="J487" s="10">
        <f t="shared" si="7"/>
        <v>7</v>
      </c>
    </row>
    <row r="488" spans="1:10" x14ac:dyDescent="0.2">
      <c r="A488" s="6">
        <v>43018</v>
      </c>
      <c r="B488">
        <v>2001</v>
      </c>
      <c r="C488">
        <v>2456</v>
      </c>
      <c r="D488">
        <v>487</v>
      </c>
      <c r="E488">
        <v>9000</v>
      </c>
      <c r="F488" t="s">
        <v>25</v>
      </c>
      <c r="G488">
        <v>7</v>
      </c>
      <c r="H488" t="s">
        <v>68</v>
      </c>
      <c r="I488">
        <v>18</v>
      </c>
      <c r="J488" s="10">
        <f t="shared" si="7"/>
        <v>7</v>
      </c>
    </row>
    <row r="489" spans="1:10" x14ac:dyDescent="0.2">
      <c r="A489" s="6">
        <v>42860</v>
      </c>
      <c r="B489">
        <v>2001</v>
      </c>
      <c r="C489">
        <v>2456</v>
      </c>
      <c r="D489">
        <v>488</v>
      </c>
      <c r="E489">
        <v>9750</v>
      </c>
      <c r="F489" t="s">
        <v>25</v>
      </c>
      <c r="G489">
        <v>6</v>
      </c>
      <c r="H489" t="s">
        <v>68</v>
      </c>
      <c r="I489">
        <v>18</v>
      </c>
      <c r="J489" s="10">
        <f t="shared" si="7"/>
        <v>6</v>
      </c>
    </row>
    <row r="490" spans="1:10" x14ac:dyDescent="0.2">
      <c r="A490" s="6">
        <v>42689</v>
      </c>
      <c r="B490">
        <v>2002</v>
      </c>
      <c r="C490">
        <v>2456</v>
      </c>
      <c r="D490">
        <v>489</v>
      </c>
      <c r="E490">
        <v>5250</v>
      </c>
      <c r="F490" t="s">
        <v>25</v>
      </c>
      <c r="G490">
        <v>90</v>
      </c>
      <c r="H490" t="s">
        <v>26</v>
      </c>
      <c r="I490">
        <v>17</v>
      </c>
      <c r="J490" s="10">
        <f t="shared" si="7"/>
        <v>3</v>
      </c>
    </row>
    <row r="491" spans="1:10" x14ac:dyDescent="0.2">
      <c r="A491" s="6">
        <v>42626</v>
      </c>
      <c r="B491">
        <v>2001</v>
      </c>
      <c r="C491">
        <v>2456</v>
      </c>
      <c r="D491">
        <v>490</v>
      </c>
      <c r="E491">
        <v>5500</v>
      </c>
      <c r="F491" t="s">
        <v>25</v>
      </c>
      <c r="G491">
        <v>8</v>
      </c>
      <c r="H491" t="s">
        <v>68</v>
      </c>
      <c r="I491">
        <v>18</v>
      </c>
      <c r="J491" s="10">
        <f t="shared" si="7"/>
        <v>8</v>
      </c>
    </row>
    <row r="492" spans="1:10" x14ac:dyDescent="0.2">
      <c r="A492" s="6">
        <v>42478</v>
      </c>
      <c r="B492">
        <v>2002</v>
      </c>
      <c r="C492">
        <v>2456</v>
      </c>
      <c r="D492">
        <v>491</v>
      </c>
      <c r="E492">
        <v>6450</v>
      </c>
      <c r="F492" t="s">
        <v>25</v>
      </c>
      <c r="G492">
        <v>40</v>
      </c>
      <c r="H492" t="s">
        <v>26</v>
      </c>
      <c r="I492">
        <v>17</v>
      </c>
      <c r="J492" s="10">
        <f t="shared" si="7"/>
        <v>1</v>
      </c>
    </row>
    <row r="493" spans="1:10" x14ac:dyDescent="0.2">
      <c r="A493" s="6">
        <v>43598</v>
      </c>
      <c r="B493">
        <v>2002</v>
      </c>
      <c r="C493">
        <v>2468</v>
      </c>
      <c r="D493">
        <v>492</v>
      </c>
      <c r="E493">
        <v>8600</v>
      </c>
      <c r="F493" t="s">
        <v>25</v>
      </c>
      <c r="G493">
        <v>5</v>
      </c>
      <c r="H493" t="s">
        <v>68</v>
      </c>
      <c r="I493">
        <v>17</v>
      </c>
      <c r="J493" s="10">
        <f t="shared" si="7"/>
        <v>5</v>
      </c>
    </row>
    <row r="494" spans="1:10" x14ac:dyDescent="0.2">
      <c r="A494" s="6">
        <v>43473</v>
      </c>
      <c r="B494">
        <v>2002</v>
      </c>
      <c r="C494">
        <v>2468</v>
      </c>
      <c r="D494">
        <v>493</v>
      </c>
      <c r="E494">
        <v>9500</v>
      </c>
      <c r="F494" t="s">
        <v>25</v>
      </c>
      <c r="G494">
        <v>5</v>
      </c>
      <c r="H494" t="s">
        <v>68</v>
      </c>
      <c r="I494">
        <v>17</v>
      </c>
      <c r="J494" s="10">
        <f t="shared" si="7"/>
        <v>5</v>
      </c>
    </row>
    <row r="495" spans="1:10" x14ac:dyDescent="0.2">
      <c r="A495" s="6">
        <v>43368</v>
      </c>
      <c r="B495">
        <v>2002</v>
      </c>
      <c r="C495">
        <v>2468</v>
      </c>
      <c r="D495">
        <v>494</v>
      </c>
      <c r="E495">
        <v>11900</v>
      </c>
      <c r="F495" t="s">
        <v>25</v>
      </c>
      <c r="G495">
        <v>14</v>
      </c>
      <c r="H495" t="s">
        <v>68</v>
      </c>
      <c r="I495">
        <v>17</v>
      </c>
      <c r="J495" s="10">
        <f t="shared" si="7"/>
        <v>14</v>
      </c>
    </row>
    <row r="496" spans="1:10" x14ac:dyDescent="0.2">
      <c r="A496" s="6">
        <v>43164</v>
      </c>
      <c r="B496">
        <v>2002</v>
      </c>
      <c r="C496">
        <v>2468</v>
      </c>
      <c r="D496">
        <v>495</v>
      </c>
      <c r="E496">
        <v>9850</v>
      </c>
      <c r="F496" t="s">
        <v>25</v>
      </c>
      <c r="G496">
        <v>6</v>
      </c>
      <c r="H496" t="s">
        <v>68</v>
      </c>
      <c r="I496">
        <v>17</v>
      </c>
      <c r="J496" s="10">
        <f t="shared" si="7"/>
        <v>6</v>
      </c>
    </row>
    <row r="497" spans="1:10" x14ac:dyDescent="0.2">
      <c r="A497" s="6">
        <v>43104</v>
      </c>
      <c r="B497">
        <v>2002</v>
      </c>
      <c r="C497">
        <v>2468</v>
      </c>
      <c r="D497">
        <v>496</v>
      </c>
      <c r="E497">
        <v>9750</v>
      </c>
      <c r="F497" t="s">
        <v>25</v>
      </c>
      <c r="G497">
        <v>12</v>
      </c>
      <c r="H497" t="s">
        <v>68</v>
      </c>
      <c r="I497">
        <v>17</v>
      </c>
      <c r="J497" s="10">
        <f t="shared" si="7"/>
        <v>12</v>
      </c>
    </row>
    <row r="498" spans="1:10" x14ac:dyDescent="0.2">
      <c r="A498" s="6">
        <v>42748</v>
      </c>
      <c r="B498">
        <v>2002</v>
      </c>
      <c r="C498">
        <v>2468</v>
      </c>
      <c r="D498">
        <v>497</v>
      </c>
      <c r="E498">
        <v>5500</v>
      </c>
      <c r="F498" t="s">
        <v>25</v>
      </c>
      <c r="G498">
        <v>6</v>
      </c>
      <c r="H498" t="s">
        <v>68</v>
      </c>
      <c r="I498">
        <v>17</v>
      </c>
      <c r="J498" s="10">
        <f t="shared" si="7"/>
        <v>6</v>
      </c>
    </row>
    <row r="499" spans="1:10" x14ac:dyDescent="0.2">
      <c r="A499" s="6">
        <v>42675</v>
      </c>
      <c r="B499">
        <v>2002</v>
      </c>
      <c r="C499">
        <v>2468</v>
      </c>
      <c r="D499">
        <v>498</v>
      </c>
      <c r="E499">
        <v>5500</v>
      </c>
      <c r="F499" t="s">
        <v>25</v>
      </c>
      <c r="G499">
        <v>8</v>
      </c>
      <c r="H499" t="s">
        <v>68</v>
      </c>
      <c r="I499">
        <v>17</v>
      </c>
      <c r="J499" s="10">
        <f t="shared" si="7"/>
        <v>8</v>
      </c>
    </row>
    <row r="500" spans="1:10" x14ac:dyDescent="0.2">
      <c r="A500" s="6">
        <v>42584</v>
      </c>
      <c r="B500">
        <v>2002</v>
      </c>
      <c r="C500">
        <v>2468</v>
      </c>
      <c r="D500">
        <v>499</v>
      </c>
      <c r="E500">
        <v>6000</v>
      </c>
      <c r="F500" t="s">
        <v>25</v>
      </c>
      <c r="G500">
        <v>12</v>
      </c>
      <c r="H500" t="s">
        <v>68</v>
      </c>
      <c r="I500">
        <v>17</v>
      </c>
      <c r="J500" s="10">
        <f t="shared" si="7"/>
        <v>12</v>
      </c>
    </row>
    <row r="501" spans="1:10" x14ac:dyDescent="0.2">
      <c r="A501" s="6">
        <v>42419</v>
      </c>
      <c r="B501">
        <v>2002</v>
      </c>
      <c r="C501">
        <v>2468</v>
      </c>
      <c r="D501">
        <v>500</v>
      </c>
      <c r="E501">
        <v>6200</v>
      </c>
      <c r="F501" t="s">
        <v>25</v>
      </c>
      <c r="G501">
        <v>6</v>
      </c>
      <c r="H501" t="s">
        <v>68</v>
      </c>
      <c r="I501">
        <v>17</v>
      </c>
      <c r="J501" s="10">
        <f t="shared" si="7"/>
        <v>6</v>
      </c>
    </row>
    <row r="502" spans="1:10" x14ac:dyDescent="0.2">
      <c r="A502" s="6">
        <v>43523</v>
      </c>
      <c r="B502">
        <v>2000</v>
      </c>
      <c r="C502">
        <v>2470</v>
      </c>
      <c r="D502">
        <v>501</v>
      </c>
      <c r="E502">
        <v>10650</v>
      </c>
      <c r="F502" t="s">
        <v>25</v>
      </c>
      <c r="G502">
        <v>8</v>
      </c>
      <c r="H502" t="s">
        <v>68</v>
      </c>
      <c r="I502">
        <v>19</v>
      </c>
      <c r="J502" s="10">
        <f t="shared" si="7"/>
        <v>8</v>
      </c>
    </row>
    <row r="503" spans="1:10" x14ac:dyDescent="0.2">
      <c r="A503" s="6">
        <v>43159</v>
      </c>
      <c r="B503">
        <v>2000</v>
      </c>
      <c r="C503">
        <v>2470</v>
      </c>
      <c r="D503">
        <v>502</v>
      </c>
      <c r="E503">
        <v>10500</v>
      </c>
      <c r="F503" t="s">
        <v>25</v>
      </c>
      <c r="G503">
        <v>6</v>
      </c>
      <c r="H503" t="s">
        <v>68</v>
      </c>
      <c r="I503">
        <v>19</v>
      </c>
      <c r="J503" s="10">
        <f t="shared" si="7"/>
        <v>6</v>
      </c>
    </row>
    <row r="504" spans="1:10" x14ac:dyDescent="0.2">
      <c r="A504" s="6">
        <v>42745</v>
      </c>
      <c r="B504">
        <v>2000</v>
      </c>
      <c r="C504">
        <v>2470</v>
      </c>
      <c r="D504">
        <v>503</v>
      </c>
      <c r="E504">
        <v>6200</v>
      </c>
      <c r="F504" t="s">
        <v>25</v>
      </c>
      <c r="G504">
        <v>12</v>
      </c>
      <c r="H504" t="s">
        <v>68</v>
      </c>
      <c r="I504">
        <v>19</v>
      </c>
      <c r="J504" s="10">
        <f t="shared" si="7"/>
        <v>12</v>
      </c>
    </row>
    <row r="505" spans="1:10" x14ac:dyDescent="0.2">
      <c r="A505" s="6">
        <v>42681</v>
      </c>
      <c r="B505">
        <v>2000</v>
      </c>
      <c r="C505">
        <v>2470</v>
      </c>
      <c r="D505">
        <v>504</v>
      </c>
      <c r="E505">
        <v>5500</v>
      </c>
      <c r="F505" t="s">
        <v>25</v>
      </c>
      <c r="G505">
        <v>120</v>
      </c>
      <c r="H505" t="s">
        <v>26</v>
      </c>
      <c r="I505">
        <v>19</v>
      </c>
      <c r="J505" s="10">
        <f t="shared" si="7"/>
        <v>4</v>
      </c>
    </row>
    <row r="506" spans="1:10" x14ac:dyDescent="0.2">
      <c r="A506" s="6">
        <v>42423</v>
      </c>
      <c r="B506">
        <v>2000</v>
      </c>
      <c r="C506">
        <v>2470</v>
      </c>
      <c r="D506">
        <v>505</v>
      </c>
      <c r="E506">
        <v>6000</v>
      </c>
      <c r="F506" t="s">
        <v>25</v>
      </c>
      <c r="G506">
        <v>9</v>
      </c>
      <c r="H506" t="s">
        <v>68</v>
      </c>
      <c r="I506">
        <v>19</v>
      </c>
      <c r="J506" s="10">
        <f t="shared" si="7"/>
        <v>9</v>
      </c>
    </row>
    <row r="507" spans="1:10" x14ac:dyDescent="0.2">
      <c r="A507" s="6">
        <v>43536</v>
      </c>
      <c r="B507">
        <v>2005</v>
      </c>
      <c r="C507">
        <v>2474</v>
      </c>
      <c r="D507">
        <v>506</v>
      </c>
      <c r="E507">
        <v>9250</v>
      </c>
      <c r="F507" t="s">
        <v>25</v>
      </c>
      <c r="G507">
        <v>4</v>
      </c>
      <c r="H507" t="s">
        <v>68</v>
      </c>
      <c r="I507">
        <v>14</v>
      </c>
      <c r="J507" s="10">
        <f t="shared" si="7"/>
        <v>4</v>
      </c>
    </row>
    <row r="508" spans="1:10" x14ac:dyDescent="0.2">
      <c r="A508" s="6">
        <v>43524</v>
      </c>
      <c r="B508">
        <v>2004</v>
      </c>
      <c r="C508">
        <v>2474</v>
      </c>
      <c r="D508">
        <v>507</v>
      </c>
      <c r="E508">
        <v>10775</v>
      </c>
      <c r="F508" t="s">
        <v>25</v>
      </c>
      <c r="G508">
        <v>6</v>
      </c>
      <c r="H508" t="s">
        <v>68</v>
      </c>
      <c r="I508">
        <v>15</v>
      </c>
      <c r="J508" s="10">
        <f t="shared" si="7"/>
        <v>6</v>
      </c>
    </row>
    <row r="509" spans="1:10" x14ac:dyDescent="0.2">
      <c r="A509" s="6">
        <v>43419</v>
      </c>
      <c r="B509">
        <v>2000</v>
      </c>
      <c r="C509">
        <v>2474</v>
      </c>
      <c r="D509">
        <v>508</v>
      </c>
      <c r="E509">
        <v>9850</v>
      </c>
      <c r="F509" t="s">
        <v>25</v>
      </c>
      <c r="G509">
        <v>6</v>
      </c>
      <c r="H509" t="s">
        <v>68</v>
      </c>
      <c r="I509">
        <v>19</v>
      </c>
      <c r="J509" s="10">
        <f t="shared" si="7"/>
        <v>6</v>
      </c>
    </row>
    <row r="510" spans="1:10" x14ac:dyDescent="0.2">
      <c r="A510" s="6">
        <v>43389</v>
      </c>
      <c r="B510">
        <v>2001</v>
      </c>
      <c r="C510">
        <v>2474</v>
      </c>
      <c r="D510">
        <v>509</v>
      </c>
      <c r="E510">
        <v>12000</v>
      </c>
      <c r="F510" t="s">
        <v>25</v>
      </c>
      <c r="G510">
        <v>12</v>
      </c>
      <c r="H510" t="s">
        <v>68</v>
      </c>
      <c r="I510">
        <v>18</v>
      </c>
      <c r="J510" s="10">
        <f t="shared" si="7"/>
        <v>12</v>
      </c>
    </row>
    <row r="511" spans="1:10" x14ac:dyDescent="0.2">
      <c r="A511" s="6">
        <v>43341</v>
      </c>
      <c r="B511">
        <v>2005</v>
      </c>
      <c r="C511">
        <v>2474</v>
      </c>
      <c r="D511">
        <v>510</v>
      </c>
      <c r="E511">
        <v>10000</v>
      </c>
      <c r="F511" t="s">
        <v>25</v>
      </c>
      <c r="G511">
        <v>2</v>
      </c>
      <c r="H511" t="s">
        <v>68</v>
      </c>
      <c r="I511">
        <v>14</v>
      </c>
      <c r="J511" s="10">
        <f t="shared" si="7"/>
        <v>2</v>
      </c>
    </row>
    <row r="512" spans="1:10" x14ac:dyDescent="0.2">
      <c r="A512" s="6">
        <v>43341</v>
      </c>
      <c r="B512">
        <v>2005</v>
      </c>
      <c r="C512">
        <v>2474</v>
      </c>
      <c r="D512">
        <v>511</v>
      </c>
      <c r="E512">
        <v>10000</v>
      </c>
      <c r="F512" t="s">
        <v>25</v>
      </c>
      <c r="G512">
        <v>12</v>
      </c>
      <c r="H512" t="s">
        <v>68</v>
      </c>
      <c r="I512">
        <v>14</v>
      </c>
      <c r="J512" s="10">
        <f t="shared" si="7"/>
        <v>12</v>
      </c>
    </row>
    <row r="513" spans="1:10" x14ac:dyDescent="0.2">
      <c r="A513" s="6">
        <v>43294</v>
      </c>
      <c r="B513">
        <v>2004</v>
      </c>
      <c r="C513">
        <v>2474</v>
      </c>
      <c r="D513">
        <v>512</v>
      </c>
      <c r="E513">
        <v>12500</v>
      </c>
      <c r="F513" t="s">
        <v>25</v>
      </c>
      <c r="G513">
        <v>12</v>
      </c>
      <c r="H513" t="s">
        <v>68</v>
      </c>
      <c r="I513">
        <v>15</v>
      </c>
      <c r="J513" s="10">
        <f t="shared" si="7"/>
        <v>12</v>
      </c>
    </row>
    <row r="514" spans="1:10" x14ac:dyDescent="0.2">
      <c r="A514" s="6">
        <v>43206</v>
      </c>
      <c r="B514">
        <v>2005</v>
      </c>
      <c r="C514">
        <v>2474</v>
      </c>
      <c r="D514">
        <v>513</v>
      </c>
      <c r="E514">
        <v>11000</v>
      </c>
      <c r="F514" t="s">
        <v>25</v>
      </c>
      <c r="G514">
        <v>12</v>
      </c>
      <c r="H514" t="s">
        <v>68</v>
      </c>
      <c r="I514">
        <v>14</v>
      </c>
      <c r="J514" s="10">
        <f t="shared" ref="J514:J577" si="8">IF(H514="days",ROUND(G514/30,0),IF(H514="years",G514*12,G514))</f>
        <v>12</v>
      </c>
    </row>
    <row r="515" spans="1:10" x14ac:dyDescent="0.2">
      <c r="A515" s="6">
        <v>43180</v>
      </c>
      <c r="B515">
        <v>2005</v>
      </c>
      <c r="C515">
        <v>2474</v>
      </c>
      <c r="D515">
        <v>514</v>
      </c>
      <c r="E515">
        <v>8600</v>
      </c>
      <c r="F515" t="s">
        <v>25</v>
      </c>
      <c r="G515">
        <v>6</v>
      </c>
      <c r="H515" t="s">
        <v>68</v>
      </c>
      <c r="I515">
        <v>14</v>
      </c>
      <c r="J515" s="10">
        <f t="shared" si="8"/>
        <v>6</v>
      </c>
    </row>
    <row r="516" spans="1:10" x14ac:dyDescent="0.2">
      <c r="A516" s="6">
        <v>43180</v>
      </c>
      <c r="B516">
        <v>2004</v>
      </c>
      <c r="C516">
        <v>2474</v>
      </c>
      <c r="D516">
        <v>515</v>
      </c>
      <c r="E516">
        <v>10450</v>
      </c>
      <c r="F516" t="s">
        <v>25</v>
      </c>
      <c r="G516">
        <v>4</v>
      </c>
      <c r="H516" t="s">
        <v>68</v>
      </c>
      <c r="I516">
        <v>15</v>
      </c>
      <c r="J516" s="10">
        <f t="shared" si="8"/>
        <v>4</v>
      </c>
    </row>
    <row r="517" spans="1:10" x14ac:dyDescent="0.2">
      <c r="A517" s="6">
        <v>43180</v>
      </c>
      <c r="B517">
        <v>2001</v>
      </c>
      <c r="C517">
        <v>2474</v>
      </c>
      <c r="D517">
        <v>516</v>
      </c>
      <c r="E517">
        <v>10450</v>
      </c>
      <c r="F517" t="s">
        <v>25</v>
      </c>
      <c r="G517">
        <v>4</v>
      </c>
      <c r="H517" t="s">
        <v>68</v>
      </c>
      <c r="I517">
        <v>18</v>
      </c>
      <c r="J517" s="10">
        <f t="shared" si="8"/>
        <v>4</v>
      </c>
    </row>
    <row r="518" spans="1:10" x14ac:dyDescent="0.2">
      <c r="A518" s="6">
        <v>43160</v>
      </c>
      <c r="B518">
        <v>2000</v>
      </c>
      <c r="C518">
        <v>2474</v>
      </c>
      <c r="D518">
        <v>517</v>
      </c>
      <c r="E518">
        <v>9100</v>
      </c>
      <c r="F518" t="s">
        <v>25</v>
      </c>
      <c r="G518">
        <v>7</v>
      </c>
      <c r="H518" t="s">
        <v>68</v>
      </c>
      <c r="I518">
        <v>19</v>
      </c>
      <c r="J518" s="10">
        <f t="shared" si="8"/>
        <v>7</v>
      </c>
    </row>
    <row r="519" spans="1:10" x14ac:dyDescent="0.2">
      <c r="A519" s="6">
        <v>43140</v>
      </c>
      <c r="B519">
        <v>2005</v>
      </c>
      <c r="C519">
        <v>2474</v>
      </c>
      <c r="D519">
        <v>518</v>
      </c>
      <c r="E519">
        <v>10250</v>
      </c>
      <c r="F519" t="s">
        <v>25</v>
      </c>
      <c r="G519">
        <v>15</v>
      </c>
      <c r="H519" t="s">
        <v>68</v>
      </c>
      <c r="I519">
        <v>14</v>
      </c>
      <c r="J519" s="10">
        <f t="shared" si="8"/>
        <v>15</v>
      </c>
    </row>
    <row r="520" spans="1:10" x14ac:dyDescent="0.2">
      <c r="A520" s="6">
        <v>43102</v>
      </c>
      <c r="B520">
        <v>2005</v>
      </c>
      <c r="C520">
        <v>2474</v>
      </c>
      <c r="D520">
        <v>519</v>
      </c>
      <c r="E520">
        <v>8550</v>
      </c>
      <c r="F520" t="s">
        <v>25</v>
      </c>
      <c r="G520">
        <v>7</v>
      </c>
      <c r="H520" t="s">
        <v>68</v>
      </c>
      <c r="I520">
        <v>14</v>
      </c>
      <c r="J520" s="10">
        <f t="shared" si="8"/>
        <v>7</v>
      </c>
    </row>
    <row r="521" spans="1:10" x14ac:dyDescent="0.2">
      <c r="A521" s="6">
        <v>43055</v>
      </c>
      <c r="B521">
        <v>2004</v>
      </c>
      <c r="C521">
        <v>2474</v>
      </c>
      <c r="D521">
        <v>520</v>
      </c>
      <c r="E521">
        <v>8250</v>
      </c>
      <c r="F521" t="s">
        <v>25</v>
      </c>
      <c r="G521">
        <v>5</v>
      </c>
      <c r="H521" t="s">
        <v>68</v>
      </c>
      <c r="I521">
        <v>15</v>
      </c>
      <c r="J521" s="10">
        <f t="shared" si="8"/>
        <v>5</v>
      </c>
    </row>
    <row r="522" spans="1:10" x14ac:dyDescent="0.2">
      <c r="A522" s="6">
        <v>43055</v>
      </c>
      <c r="B522">
        <v>2001</v>
      </c>
      <c r="C522">
        <v>2474</v>
      </c>
      <c r="D522">
        <v>521</v>
      </c>
      <c r="E522">
        <v>8250</v>
      </c>
      <c r="F522" t="s">
        <v>25</v>
      </c>
      <c r="G522">
        <v>5</v>
      </c>
      <c r="H522" t="s">
        <v>68</v>
      </c>
      <c r="I522">
        <v>18</v>
      </c>
      <c r="J522" s="10">
        <f t="shared" si="8"/>
        <v>5</v>
      </c>
    </row>
    <row r="523" spans="1:10" x14ac:dyDescent="0.2">
      <c r="A523" s="6">
        <v>43028</v>
      </c>
      <c r="B523">
        <v>2005</v>
      </c>
      <c r="C523">
        <v>2474</v>
      </c>
      <c r="D523">
        <v>522</v>
      </c>
      <c r="E523">
        <v>8350</v>
      </c>
      <c r="F523" t="s">
        <v>25</v>
      </c>
      <c r="G523">
        <v>84</v>
      </c>
      <c r="H523" t="s">
        <v>26</v>
      </c>
      <c r="I523">
        <v>14</v>
      </c>
      <c r="J523" s="10">
        <f t="shared" si="8"/>
        <v>3</v>
      </c>
    </row>
    <row r="524" spans="1:10" x14ac:dyDescent="0.2">
      <c r="A524" s="6">
        <v>43021</v>
      </c>
      <c r="B524">
        <v>2005</v>
      </c>
      <c r="C524">
        <v>2474</v>
      </c>
      <c r="D524">
        <v>523</v>
      </c>
      <c r="E524">
        <v>8250</v>
      </c>
      <c r="F524" t="s">
        <v>25</v>
      </c>
      <c r="G524">
        <v>6</v>
      </c>
      <c r="H524" t="s">
        <v>68</v>
      </c>
      <c r="I524">
        <v>14</v>
      </c>
      <c r="J524" s="10">
        <f t="shared" si="8"/>
        <v>6</v>
      </c>
    </row>
    <row r="525" spans="1:10" x14ac:dyDescent="0.2">
      <c r="A525" s="6">
        <v>42962</v>
      </c>
      <c r="B525">
        <v>2005</v>
      </c>
      <c r="C525">
        <v>2474</v>
      </c>
      <c r="D525">
        <v>524</v>
      </c>
      <c r="E525">
        <v>8200</v>
      </c>
      <c r="F525" t="s">
        <v>25</v>
      </c>
      <c r="G525">
        <v>2</v>
      </c>
      <c r="H525" t="s">
        <v>68</v>
      </c>
      <c r="I525">
        <v>14</v>
      </c>
      <c r="J525" s="10">
        <f t="shared" si="8"/>
        <v>2</v>
      </c>
    </row>
    <row r="526" spans="1:10" x14ac:dyDescent="0.2">
      <c r="A526" s="6">
        <v>42948</v>
      </c>
      <c r="B526">
        <v>2005</v>
      </c>
      <c r="C526">
        <v>2474</v>
      </c>
      <c r="D526">
        <v>525</v>
      </c>
      <c r="E526">
        <v>8350</v>
      </c>
      <c r="F526" t="s">
        <v>25</v>
      </c>
      <c r="G526">
        <v>40</v>
      </c>
      <c r="H526" t="s">
        <v>26</v>
      </c>
      <c r="I526">
        <v>14</v>
      </c>
      <c r="J526" s="10">
        <f t="shared" si="8"/>
        <v>1</v>
      </c>
    </row>
    <row r="527" spans="1:10" x14ac:dyDescent="0.2">
      <c r="A527" s="6">
        <v>42931</v>
      </c>
      <c r="B527">
        <v>2000</v>
      </c>
      <c r="C527">
        <v>2474</v>
      </c>
      <c r="D527">
        <v>526</v>
      </c>
      <c r="E527">
        <v>8300</v>
      </c>
      <c r="F527" t="s">
        <v>25</v>
      </c>
      <c r="G527">
        <v>8</v>
      </c>
      <c r="H527" t="s">
        <v>68</v>
      </c>
      <c r="I527">
        <v>19</v>
      </c>
      <c r="J527" s="10">
        <f t="shared" si="8"/>
        <v>8</v>
      </c>
    </row>
    <row r="528" spans="1:10" x14ac:dyDescent="0.2">
      <c r="A528" s="6">
        <v>42878</v>
      </c>
      <c r="B528">
        <v>2005</v>
      </c>
      <c r="C528">
        <v>2474</v>
      </c>
      <c r="D528">
        <v>527</v>
      </c>
      <c r="E528">
        <v>9350</v>
      </c>
      <c r="F528" t="s">
        <v>25</v>
      </c>
      <c r="G528">
        <v>3</v>
      </c>
      <c r="H528" t="s">
        <v>68</v>
      </c>
      <c r="I528">
        <v>14</v>
      </c>
      <c r="J528" s="10">
        <f t="shared" si="8"/>
        <v>3</v>
      </c>
    </row>
    <row r="529" spans="1:10" x14ac:dyDescent="0.2">
      <c r="A529" s="6">
        <v>42822</v>
      </c>
      <c r="B529">
        <v>2005</v>
      </c>
      <c r="C529">
        <v>2474</v>
      </c>
      <c r="D529">
        <v>528</v>
      </c>
      <c r="E529">
        <v>9500</v>
      </c>
      <c r="F529" t="s">
        <v>25</v>
      </c>
      <c r="G529">
        <v>14</v>
      </c>
      <c r="H529" t="s">
        <v>68</v>
      </c>
      <c r="I529">
        <v>14</v>
      </c>
      <c r="J529" s="10">
        <f t="shared" si="8"/>
        <v>14</v>
      </c>
    </row>
    <row r="530" spans="1:10" x14ac:dyDescent="0.2">
      <c r="A530" s="6">
        <v>42748</v>
      </c>
      <c r="B530">
        <v>2005</v>
      </c>
      <c r="C530">
        <v>2474</v>
      </c>
      <c r="D530">
        <v>529</v>
      </c>
      <c r="E530">
        <v>6000</v>
      </c>
      <c r="F530" t="s">
        <v>25</v>
      </c>
      <c r="G530">
        <v>6</v>
      </c>
      <c r="H530" t="s">
        <v>68</v>
      </c>
      <c r="I530">
        <v>14</v>
      </c>
      <c r="J530" s="10">
        <f t="shared" si="8"/>
        <v>6</v>
      </c>
    </row>
    <row r="531" spans="1:10" x14ac:dyDescent="0.2">
      <c r="A531" s="6">
        <v>42738</v>
      </c>
      <c r="B531">
        <v>2005</v>
      </c>
      <c r="C531">
        <v>2474</v>
      </c>
      <c r="D531">
        <v>530</v>
      </c>
      <c r="E531">
        <v>6000</v>
      </c>
      <c r="F531" t="s">
        <v>25</v>
      </c>
      <c r="G531">
        <v>12</v>
      </c>
      <c r="H531" t="s">
        <v>68</v>
      </c>
      <c r="I531">
        <v>14</v>
      </c>
      <c r="J531" s="10">
        <f t="shared" si="8"/>
        <v>12</v>
      </c>
    </row>
    <row r="532" spans="1:10" x14ac:dyDescent="0.2">
      <c r="A532" s="6">
        <v>42689</v>
      </c>
      <c r="B532">
        <v>2001</v>
      </c>
      <c r="C532">
        <v>2474</v>
      </c>
      <c r="D532">
        <v>531</v>
      </c>
      <c r="E532">
        <v>5500</v>
      </c>
      <c r="F532" t="s">
        <v>25</v>
      </c>
      <c r="G532">
        <v>12</v>
      </c>
      <c r="H532" t="s">
        <v>68</v>
      </c>
      <c r="I532">
        <v>18</v>
      </c>
      <c r="J532" s="10">
        <f t="shared" si="8"/>
        <v>12</v>
      </c>
    </row>
    <row r="533" spans="1:10" x14ac:dyDescent="0.2">
      <c r="A533" s="6">
        <v>42689</v>
      </c>
      <c r="B533">
        <v>2004</v>
      </c>
      <c r="C533">
        <v>2474</v>
      </c>
      <c r="D533">
        <v>532</v>
      </c>
      <c r="E533">
        <v>5500</v>
      </c>
      <c r="F533" t="s">
        <v>25</v>
      </c>
      <c r="G533">
        <v>12</v>
      </c>
      <c r="H533" t="s">
        <v>68</v>
      </c>
      <c r="I533">
        <v>15</v>
      </c>
      <c r="J533" s="10">
        <f t="shared" si="8"/>
        <v>12</v>
      </c>
    </row>
    <row r="534" spans="1:10" x14ac:dyDescent="0.2">
      <c r="A534" s="6">
        <v>42671</v>
      </c>
      <c r="B534">
        <v>2005</v>
      </c>
      <c r="C534">
        <v>2474</v>
      </c>
      <c r="D534">
        <v>533</v>
      </c>
      <c r="E534">
        <v>7250</v>
      </c>
      <c r="F534" t="s">
        <v>25</v>
      </c>
      <c r="G534">
        <v>6</v>
      </c>
      <c r="H534" t="s">
        <v>68</v>
      </c>
      <c r="I534">
        <v>14</v>
      </c>
      <c r="J534" s="10">
        <f t="shared" si="8"/>
        <v>6</v>
      </c>
    </row>
    <row r="535" spans="1:10" x14ac:dyDescent="0.2">
      <c r="A535" s="6">
        <v>42663</v>
      </c>
      <c r="B535">
        <v>2005</v>
      </c>
      <c r="C535">
        <v>2474</v>
      </c>
      <c r="D535">
        <v>534</v>
      </c>
      <c r="E535">
        <v>5500</v>
      </c>
      <c r="F535" t="s">
        <v>25</v>
      </c>
      <c r="G535">
        <v>12</v>
      </c>
      <c r="H535" t="s">
        <v>68</v>
      </c>
      <c r="I535">
        <v>14</v>
      </c>
      <c r="J535" s="10">
        <f t="shared" si="8"/>
        <v>12</v>
      </c>
    </row>
    <row r="536" spans="1:10" x14ac:dyDescent="0.2">
      <c r="A536" s="6">
        <v>42626</v>
      </c>
      <c r="B536">
        <v>2005</v>
      </c>
      <c r="C536">
        <v>2474</v>
      </c>
      <c r="D536">
        <v>535</v>
      </c>
      <c r="E536">
        <v>5900</v>
      </c>
      <c r="F536" t="s">
        <v>25</v>
      </c>
      <c r="G536">
        <v>6</v>
      </c>
      <c r="H536" t="s">
        <v>68</v>
      </c>
      <c r="I536">
        <v>14</v>
      </c>
      <c r="J536" s="10">
        <f t="shared" si="8"/>
        <v>6</v>
      </c>
    </row>
    <row r="537" spans="1:10" x14ac:dyDescent="0.2">
      <c r="A537" s="6">
        <v>42558</v>
      </c>
      <c r="B537">
        <v>2005</v>
      </c>
      <c r="C537">
        <v>2474</v>
      </c>
      <c r="D537">
        <v>536</v>
      </c>
      <c r="E537">
        <v>6000</v>
      </c>
      <c r="F537" t="s">
        <v>25</v>
      </c>
      <c r="G537">
        <v>12</v>
      </c>
      <c r="H537" t="s">
        <v>68</v>
      </c>
      <c r="I537">
        <v>14</v>
      </c>
      <c r="J537" s="10">
        <f t="shared" si="8"/>
        <v>12</v>
      </c>
    </row>
    <row r="538" spans="1:10" x14ac:dyDescent="0.2">
      <c r="A538" s="6">
        <v>42444</v>
      </c>
      <c r="B538">
        <v>2000</v>
      </c>
      <c r="C538">
        <v>2474</v>
      </c>
      <c r="D538">
        <v>537</v>
      </c>
      <c r="E538">
        <v>6000</v>
      </c>
      <c r="F538" t="s">
        <v>25</v>
      </c>
      <c r="G538">
        <v>9</v>
      </c>
      <c r="H538" t="s">
        <v>68</v>
      </c>
      <c r="I538">
        <v>19</v>
      </c>
      <c r="J538" s="10">
        <f t="shared" si="8"/>
        <v>9</v>
      </c>
    </row>
    <row r="539" spans="1:10" x14ac:dyDescent="0.2">
      <c r="A539" s="6">
        <v>42433</v>
      </c>
      <c r="B539">
        <v>2005</v>
      </c>
      <c r="C539">
        <v>2474</v>
      </c>
      <c r="D539">
        <v>538</v>
      </c>
      <c r="E539">
        <v>6000</v>
      </c>
      <c r="F539" t="s">
        <v>25</v>
      </c>
      <c r="G539">
        <v>10</v>
      </c>
      <c r="H539" t="s">
        <v>68</v>
      </c>
      <c r="I539">
        <v>14</v>
      </c>
      <c r="J539" s="10">
        <f t="shared" si="8"/>
        <v>10</v>
      </c>
    </row>
    <row r="540" spans="1:10" x14ac:dyDescent="0.2">
      <c r="A540" s="6">
        <v>42433</v>
      </c>
      <c r="B540">
        <v>2005</v>
      </c>
      <c r="C540">
        <v>2474</v>
      </c>
      <c r="D540">
        <v>539</v>
      </c>
      <c r="E540">
        <v>6000</v>
      </c>
      <c r="F540" t="s">
        <v>25</v>
      </c>
      <c r="G540">
        <v>10</v>
      </c>
      <c r="H540" t="s">
        <v>68</v>
      </c>
      <c r="I540">
        <v>14</v>
      </c>
      <c r="J540" s="10">
        <f t="shared" si="8"/>
        <v>10</v>
      </c>
    </row>
    <row r="541" spans="1:10" x14ac:dyDescent="0.2">
      <c r="A541" s="6">
        <v>42423</v>
      </c>
      <c r="B541">
        <v>2004</v>
      </c>
      <c r="C541">
        <v>2474</v>
      </c>
      <c r="D541">
        <v>540</v>
      </c>
      <c r="E541">
        <v>6000</v>
      </c>
      <c r="F541" t="s">
        <v>25</v>
      </c>
      <c r="G541">
        <v>9</v>
      </c>
      <c r="H541" t="s">
        <v>68</v>
      </c>
      <c r="I541">
        <v>15</v>
      </c>
      <c r="J541" s="10">
        <f t="shared" si="8"/>
        <v>9</v>
      </c>
    </row>
    <row r="542" spans="1:10" x14ac:dyDescent="0.2">
      <c r="A542" s="6">
        <v>42423</v>
      </c>
      <c r="B542">
        <v>2005</v>
      </c>
      <c r="C542">
        <v>2474</v>
      </c>
      <c r="D542">
        <v>541</v>
      </c>
      <c r="E542">
        <v>6000</v>
      </c>
      <c r="F542" t="s">
        <v>25</v>
      </c>
      <c r="G542">
        <v>9</v>
      </c>
      <c r="H542" t="s">
        <v>68</v>
      </c>
      <c r="I542">
        <v>14</v>
      </c>
      <c r="J542" s="10">
        <f t="shared" si="8"/>
        <v>9</v>
      </c>
    </row>
    <row r="543" spans="1:10" x14ac:dyDescent="0.2">
      <c r="A543" s="6">
        <v>42401</v>
      </c>
      <c r="B543">
        <v>2005</v>
      </c>
      <c r="C543">
        <v>2474</v>
      </c>
      <c r="D543">
        <v>542</v>
      </c>
      <c r="E543">
        <v>6000</v>
      </c>
      <c r="F543" t="s">
        <v>25</v>
      </c>
      <c r="G543">
        <v>7</v>
      </c>
      <c r="H543" t="s">
        <v>68</v>
      </c>
      <c r="I543">
        <v>14</v>
      </c>
      <c r="J543" s="10">
        <f t="shared" si="8"/>
        <v>7</v>
      </c>
    </row>
    <row r="544" spans="1:10" x14ac:dyDescent="0.2">
      <c r="A544" s="6">
        <v>42377</v>
      </c>
      <c r="B544">
        <v>2005</v>
      </c>
      <c r="C544">
        <v>2474</v>
      </c>
      <c r="D544">
        <v>543</v>
      </c>
      <c r="E544">
        <v>9250</v>
      </c>
      <c r="F544" t="s">
        <v>25</v>
      </c>
      <c r="G544">
        <v>9</v>
      </c>
      <c r="H544" t="s">
        <v>68</v>
      </c>
      <c r="I544">
        <v>14</v>
      </c>
      <c r="J544" s="10">
        <f t="shared" si="8"/>
        <v>9</v>
      </c>
    </row>
    <row r="545" spans="1:10" x14ac:dyDescent="0.2">
      <c r="A545" s="6">
        <v>43613</v>
      </c>
      <c r="B545">
        <v>2005</v>
      </c>
      <c r="C545">
        <v>2478</v>
      </c>
      <c r="D545">
        <v>544</v>
      </c>
      <c r="E545">
        <v>8800</v>
      </c>
      <c r="F545" t="s">
        <v>25</v>
      </c>
      <c r="G545">
        <v>5</v>
      </c>
      <c r="H545" t="s">
        <v>68</v>
      </c>
      <c r="I545">
        <v>14</v>
      </c>
      <c r="J545" s="10">
        <f t="shared" si="8"/>
        <v>5</v>
      </c>
    </row>
    <row r="546" spans="1:10" x14ac:dyDescent="0.2">
      <c r="A546" s="6">
        <v>43605</v>
      </c>
      <c r="B546">
        <v>2003</v>
      </c>
      <c r="C546">
        <v>2478</v>
      </c>
      <c r="D546">
        <v>545</v>
      </c>
      <c r="E546">
        <v>8500</v>
      </c>
      <c r="F546" t="s">
        <v>25</v>
      </c>
      <c r="G546">
        <v>4</v>
      </c>
      <c r="H546" t="s">
        <v>68</v>
      </c>
      <c r="I546">
        <v>16</v>
      </c>
      <c r="J546" s="10">
        <f t="shared" si="8"/>
        <v>4</v>
      </c>
    </row>
    <row r="547" spans="1:10" x14ac:dyDescent="0.2">
      <c r="A547" s="6">
        <v>43605</v>
      </c>
      <c r="B547">
        <v>2003</v>
      </c>
      <c r="C547">
        <v>2478</v>
      </c>
      <c r="D547">
        <v>546</v>
      </c>
      <c r="E547">
        <v>10000</v>
      </c>
      <c r="F547" t="s">
        <v>25</v>
      </c>
      <c r="G547">
        <v>5</v>
      </c>
      <c r="H547" t="s">
        <v>68</v>
      </c>
      <c r="I547">
        <v>16</v>
      </c>
      <c r="J547" s="10">
        <f t="shared" si="8"/>
        <v>5</v>
      </c>
    </row>
    <row r="548" spans="1:10" x14ac:dyDescent="0.2">
      <c r="A548" s="6">
        <v>43517</v>
      </c>
      <c r="B548">
        <v>2005</v>
      </c>
      <c r="C548">
        <v>2478</v>
      </c>
      <c r="D548">
        <v>547</v>
      </c>
      <c r="E548">
        <v>9500</v>
      </c>
      <c r="F548" t="s">
        <v>25</v>
      </c>
      <c r="G548">
        <v>46</v>
      </c>
      <c r="H548" t="s">
        <v>26</v>
      </c>
      <c r="I548">
        <v>14</v>
      </c>
      <c r="J548" s="10">
        <f t="shared" si="8"/>
        <v>2</v>
      </c>
    </row>
    <row r="549" spans="1:10" x14ac:dyDescent="0.2">
      <c r="A549" s="6">
        <v>43403</v>
      </c>
      <c r="B549">
        <v>2005</v>
      </c>
      <c r="C549">
        <v>2478</v>
      </c>
      <c r="D549">
        <v>548</v>
      </c>
      <c r="E549">
        <v>10750</v>
      </c>
      <c r="F549" t="s">
        <v>25</v>
      </c>
      <c r="G549">
        <v>6</v>
      </c>
      <c r="H549" t="s">
        <v>68</v>
      </c>
      <c r="I549">
        <v>14</v>
      </c>
      <c r="J549" s="10">
        <f t="shared" si="8"/>
        <v>6</v>
      </c>
    </row>
    <row r="550" spans="1:10" x14ac:dyDescent="0.2">
      <c r="A550" s="6">
        <v>43397</v>
      </c>
      <c r="B550">
        <v>2005</v>
      </c>
      <c r="C550">
        <v>2478</v>
      </c>
      <c r="D550">
        <v>549</v>
      </c>
      <c r="E550">
        <v>9500</v>
      </c>
      <c r="F550" t="s">
        <v>25</v>
      </c>
      <c r="G550">
        <v>42</v>
      </c>
      <c r="H550" t="s">
        <v>26</v>
      </c>
      <c r="I550">
        <v>14</v>
      </c>
      <c r="J550" s="10">
        <f t="shared" si="8"/>
        <v>1</v>
      </c>
    </row>
    <row r="551" spans="1:10" x14ac:dyDescent="0.2">
      <c r="A551" s="6">
        <v>43332</v>
      </c>
      <c r="B551">
        <v>2003</v>
      </c>
      <c r="C551">
        <v>2478</v>
      </c>
      <c r="D551">
        <v>550</v>
      </c>
      <c r="E551">
        <v>12250</v>
      </c>
      <c r="F551" t="s">
        <v>25</v>
      </c>
      <c r="G551">
        <v>18</v>
      </c>
      <c r="H551" t="s">
        <v>68</v>
      </c>
      <c r="I551">
        <v>16</v>
      </c>
      <c r="J551" s="10">
        <f t="shared" si="8"/>
        <v>18</v>
      </c>
    </row>
    <row r="552" spans="1:10" x14ac:dyDescent="0.2">
      <c r="A552" s="6">
        <v>43290</v>
      </c>
      <c r="B552">
        <v>2000</v>
      </c>
      <c r="C552">
        <v>2478</v>
      </c>
      <c r="D552">
        <v>551</v>
      </c>
      <c r="E552">
        <v>12150</v>
      </c>
      <c r="F552" t="s">
        <v>25</v>
      </c>
      <c r="G552">
        <v>12</v>
      </c>
      <c r="H552" t="s">
        <v>68</v>
      </c>
      <c r="I552">
        <v>19</v>
      </c>
      <c r="J552" s="10">
        <f t="shared" si="8"/>
        <v>12</v>
      </c>
    </row>
    <row r="553" spans="1:10" x14ac:dyDescent="0.2">
      <c r="A553" s="6">
        <v>43266</v>
      </c>
      <c r="B553">
        <v>2000</v>
      </c>
      <c r="C553">
        <v>2478</v>
      </c>
      <c r="D553">
        <v>552</v>
      </c>
      <c r="E553">
        <v>12500</v>
      </c>
      <c r="F553" t="s">
        <v>25</v>
      </c>
      <c r="G553">
        <v>42</v>
      </c>
      <c r="H553" t="s">
        <v>26</v>
      </c>
      <c r="I553">
        <v>19</v>
      </c>
      <c r="J553" s="10">
        <f t="shared" si="8"/>
        <v>1</v>
      </c>
    </row>
    <row r="554" spans="1:10" x14ac:dyDescent="0.2">
      <c r="A554" s="6">
        <v>43255</v>
      </c>
      <c r="B554">
        <v>2005</v>
      </c>
      <c r="C554">
        <v>2478</v>
      </c>
      <c r="D554">
        <v>553</v>
      </c>
      <c r="E554">
        <v>12500</v>
      </c>
      <c r="F554" t="s">
        <v>25</v>
      </c>
      <c r="G554">
        <v>10</v>
      </c>
      <c r="H554" t="s">
        <v>68</v>
      </c>
      <c r="I554">
        <v>14</v>
      </c>
      <c r="J554" s="10">
        <f t="shared" si="8"/>
        <v>10</v>
      </c>
    </row>
    <row r="555" spans="1:10" x14ac:dyDescent="0.2">
      <c r="A555" s="6">
        <v>43250</v>
      </c>
      <c r="B555">
        <v>2003</v>
      </c>
      <c r="C555">
        <v>2478</v>
      </c>
      <c r="D555">
        <v>554</v>
      </c>
      <c r="E555">
        <v>11900</v>
      </c>
      <c r="F555" t="s">
        <v>25</v>
      </c>
      <c r="G555">
        <v>5</v>
      </c>
      <c r="H555" t="s">
        <v>68</v>
      </c>
      <c r="I555">
        <v>16</v>
      </c>
      <c r="J555" s="10">
        <f t="shared" si="8"/>
        <v>5</v>
      </c>
    </row>
    <row r="556" spans="1:10" x14ac:dyDescent="0.2">
      <c r="A556" s="6">
        <v>43238</v>
      </c>
      <c r="B556">
        <v>2003</v>
      </c>
      <c r="C556">
        <v>2478</v>
      </c>
      <c r="D556">
        <v>555</v>
      </c>
      <c r="E556">
        <v>11500</v>
      </c>
      <c r="F556" t="s">
        <v>25</v>
      </c>
      <c r="G556">
        <v>13</v>
      </c>
      <c r="H556" t="s">
        <v>68</v>
      </c>
      <c r="I556">
        <v>16</v>
      </c>
      <c r="J556" s="10">
        <f t="shared" si="8"/>
        <v>13</v>
      </c>
    </row>
    <row r="557" spans="1:10" x14ac:dyDescent="0.2">
      <c r="A557" s="6">
        <v>43116</v>
      </c>
      <c r="B557">
        <v>2005</v>
      </c>
      <c r="C557">
        <v>2478</v>
      </c>
      <c r="D557">
        <v>556</v>
      </c>
      <c r="E557">
        <v>8800</v>
      </c>
      <c r="F557" t="s">
        <v>25</v>
      </c>
      <c r="G557">
        <v>10</v>
      </c>
      <c r="H557" t="s">
        <v>68</v>
      </c>
      <c r="I557">
        <v>14</v>
      </c>
      <c r="J557" s="10">
        <f t="shared" si="8"/>
        <v>10</v>
      </c>
    </row>
    <row r="558" spans="1:10" x14ac:dyDescent="0.2">
      <c r="A558" s="6">
        <v>43054</v>
      </c>
      <c r="B558">
        <v>2000</v>
      </c>
      <c r="C558">
        <v>2478</v>
      </c>
      <c r="D558">
        <v>557</v>
      </c>
      <c r="E558">
        <v>9650</v>
      </c>
      <c r="F558" t="s">
        <v>25</v>
      </c>
      <c r="G558">
        <v>150</v>
      </c>
      <c r="H558" t="s">
        <v>26</v>
      </c>
      <c r="I558">
        <v>19</v>
      </c>
      <c r="J558" s="10">
        <f t="shared" si="8"/>
        <v>5</v>
      </c>
    </row>
    <row r="559" spans="1:10" x14ac:dyDescent="0.2">
      <c r="A559" s="6">
        <v>43021</v>
      </c>
      <c r="B559">
        <v>2003</v>
      </c>
      <c r="C559">
        <v>2478</v>
      </c>
      <c r="D559">
        <v>558</v>
      </c>
      <c r="E559">
        <v>8250</v>
      </c>
      <c r="F559" t="s">
        <v>25</v>
      </c>
      <c r="G559">
        <v>7</v>
      </c>
      <c r="H559" t="s">
        <v>68</v>
      </c>
      <c r="I559">
        <v>16</v>
      </c>
      <c r="J559" s="10">
        <f t="shared" si="8"/>
        <v>7</v>
      </c>
    </row>
    <row r="560" spans="1:10" x14ac:dyDescent="0.2">
      <c r="A560" s="6">
        <v>43010</v>
      </c>
      <c r="B560">
        <v>2003</v>
      </c>
      <c r="C560">
        <v>2478</v>
      </c>
      <c r="D560">
        <v>559</v>
      </c>
      <c r="E560">
        <v>8250</v>
      </c>
      <c r="F560" t="s">
        <v>25</v>
      </c>
      <c r="G560">
        <v>6</v>
      </c>
      <c r="H560" t="s">
        <v>68</v>
      </c>
      <c r="I560">
        <v>16</v>
      </c>
      <c r="J560" s="10">
        <f t="shared" si="8"/>
        <v>6</v>
      </c>
    </row>
    <row r="561" spans="1:10" x14ac:dyDescent="0.2">
      <c r="A561" s="6">
        <v>42996</v>
      </c>
      <c r="B561">
        <v>2005</v>
      </c>
      <c r="C561">
        <v>2478</v>
      </c>
      <c r="D561">
        <v>560</v>
      </c>
      <c r="E561">
        <v>8250</v>
      </c>
      <c r="F561" t="s">
        <v>25</v>
      </c>
      <c r="G561">
        <v>5</v>
      </c>
      <c r="H561" t="s">
        <v>68</v>
      </c>
      <c r="I561">
        <v>14</v>
      </c>
      <c r="J561" s="10">
        <f t="shared" si="8"/>
        <v>5</v>
      </c>
    </row>
    <row r="562" spans="1:10" x14ac:dyDescent="0.2">
      <c r="A562" s="6">
        <v>42983</v>
      </c>
      <c r="B562">
        <v>2003</v>
      </c>
      <c r="C562">
        <v>2478</v>
      </c>
      <c r="D562">
        <v>561</v>
      </c>
      <c r="E562">
        <v>8250</v>
      </c>
      <c r="F562" t="s">
        <v>25</v>
      </c>
      <c r="G562">
        <v>8</v>
      </c>
      <c r="H562" t="s">
        <v>68</v>
      </c>
      <c r="I562">
        <v>16</v>
      </c>
      <c r="J562" s="10">
        <f t="shared" si="8"/>
        <v>8</v>
      </c>
    </row>
    <row r="563" spans="1:10" x14ac:dyDescent="0.2">
      <c r="A563" s="6">
        <v>42962</v>
      </c>
      <c r="B563">
        <v>2004</v>
      </c>
      <c r="C563">
        <v>2478</v>
      </c>
      <c r="D563">
        <v>562</v>
      </c>
      <c r="E563">
        <v>9150</v>
      </c>
      <c r="F563" t="s">
        <v>25</v>
      </c>
      <c r="G563">
        <v>7</v>
      </c>
      <c r="H563" t="s">
        <v>68</v>
      </c>
      <c r="I563">
        <v>15</v>
      </c>
      <c r="J563" s="10">
        <f t="shared" si="8"/>
        <v>7</v>
      </c>
    </row>
    <row r="564" spans="1:10" x14ac:dyDescent="0.2">
      <c r="A564" s="6">
        <v>42962</v>
      </c>
      <c r="B564">
        <v>2004</v>
      </c>
      <c r="C564">
        <v>2478</v>
      </c>
      <c r="D564">
        <v>563</v>
      </c>
      <c r="E564">
        <v>9150</v>
      </c>
      <c r="F564" t="s">
        <v>25</v>
      </c>
      <c r="G564">
        <v>7</v>
      </c>
      <c r="H564" t="s">
        <v>68</v>
      </c>
      <c r="I564">
        <v>15</v>
      </c>
      <c r="J564" s="10">
        <f t="shared" si="8"/>
        <v>7</v>
      </c>
    </row>
    <row r="565" spans="1:10" x14ac:dyDescent="0.2">
      <c r="A565" s="6">
        <v>42951</v>
      </c>
      <c r="B565">
        <v>2003</v>
      </c>
      <c r="C565">
        <v>2478</v>
      </c>
      <c r="D565">
        <v>564</v>
      </c>
      <c r="E565">
        <v>8500</v>
      </c>
      <c r="F565" t="s">
        <v>25</v>
      </c>
      <c r="G565">
        <v>12</v>
      </c>
      <c r="H565" t="s">
        <v>68</v>
      </c>
      <c r="I565">
        <v>16</v>
      </c>
      <c r="J565" s="10">
        <f t="shared" si="8"/>
        <v>12</v>
      </c>
    </row>
    <row r="566" spans="1:10" x14ac:dyDescent="0.2">
      <c r="A566" s="6">
        <v>42944</v>
      </c>
      <c r="B566">
        <v>2004</v>
      </c>
      <c r="C566">
        <v>2478</v>
      </c>
      <c r="D566">
        <v>565</v>
      </c>
      <c r="E566">
        <v>8500</v>
      </c>
      <c r="F566" t="s">
        <v>25</v>
      </c>
      <c r="G566">
        <v>6</v>
      </c>
      <c r="H566" t="s">
        <v>68</v>
      </c>
      <c r="I566">
        <v>15</v>
      </c>
      <c r="J566" s="10">
        <f t="shared" si="8"/>
        <v>6</v>
      </c>
    </row>
    <row r="567" spans="1:10" x14ac:dyDescent="0.2">
      <c r="A567" s="6">
        <v>42879</v>
      </c>
      <c r="B567">
        <v>2000</v>
      </c>
      <c r="C567">
        <v>2478</v>
      </c>
      <c r="D567">
        <v>566</v>
      </c>
      <c r="E567">
        <v>9650</v>
      </c>
      <c r="F567" t="s">
        <v>25</v>
      </c>
      <c r="G567">
        <v>5</v>
      </c>
      <c r="H567" t="s">
        <v>68</v>
      </c>
      <c r="I567">
        <v>19</v>
      </c>
      <c r="J567" s="10">
        <f t="shared" si="8"/>
        <v>5</v>
      </c>
    </row>
    <row r="568" spans="1:10" x14ac:dyDescent="0.2">
      <c r="A568" s="6">
        <v>42782</v>
      </c>
      <c r="B568">
        <v>2003</v>
      </c>
      <c r="C568">
        <v>2478</v>
      </c>
      <c r="D568">
        <v>567</v>
      </c>
      <c r="E568">
        <v>6450</v>
      </c>
      <c r="F568" t="s">
        <v>25</v>
      </c>
      <c r="G568">
        <v>7</v>
      </c>
      <c r="H568" t="s">
        <v>68</v>
      </c>
      <c r="I568">
        <v>16</v>
      </c>
      <c r="J568" s="10">
        <f t="shared" si="8"/>
        <v>7</v>
      </c>
    </row>
    <row r="569" spans="1:10" x14ac:dyDescent="0.2">
      <c r="A569" s="6">
        <v>42768</v>
      </c>
      <c r="B569">
        <v>2005</v>
      </c>
      <c r="C569">
        <v>2478</v>
      </c>
      <c r="D569">
        <v>568</v>
      </c>
      <c r="E569">
        <v>5750</v>
      </c>
      <c r="F569" t="s">
        <v>25</v>
      </c>
      <c r="G569">
        <v>12</v>
      </c>
      <c r="H569" t="s">
        <v>68</v>
      </c>
      <c r="I569">
        <v>14</v>
      </c>
      <c r="J569" s="10">
        <f t="shared" si="8"/>
        <v>12</v>
      </c>
    </row>
    <row r="570" spans="1:10" x14ac:dyDescent="0.2">
      <c r="A570" s="6">
        <v>42739</v>
      </c>
      <c r="B570">
        <v>2004</v>
      </c>
      <c r="C570">
        <v>2478</v>
      </c>
      <c r="D570">
        <v>569</v>
      </c>
      <c r="E570">
        <v>5500</v>
      </c>
      <c r="F570" t="s">
        <v>25</v>
      </c>
      <c r="G570">
        <v>3</v>
      </c>
      <c r="H570" t="s">
        <v>68</v>
      </c>
      <c r="I570">
        <v>15</v>
      </c>
      <c r="J570" s="10">
        <f t="shared" si="8"/>
        <v>3</v>
      </c>
    </row>
    <row r="571" spans="1:10" x14ac:dyDescent="0.2">
      <c r="A571" s="6">
        <v>42739</v>
      </c>
      <c r="B571">
        <v>2005</v>
      </c>
      <c r="C571">
        <v>2478</v>
      </c>
      <c r="D571">
        <v>570</v>
      </c>
      <c r="E571">
        <v>5500</v>
      </c>
      <c r="F571" t="s">
        <v>25</v>
      </c>
      <c r="G571">
        <v>12</v>
      </c>
      <c r="H571" t="s">
        <v>68</v>
      </c>
      <c r="I571">
        <v>14</v>
      </c>
      <c r="J571" s="10">
        <f t="shared" si="8"/>
        <v>12</v>
      </c>
    </row>
    <row r="572" spans="1:10" x14ac:dyDescent="0.2">
      <c r="A572" s="6">
        <v>42712</v>
      </c>
      <c r="B572">
        <v>2004</v>
      </c>
      <c r="C572">
        <v>2478</v>
      </c>
      <c r="D572">
        <v>571</v>
      </c>
      <c r="E572">
        <v>5500</v>
      </c>
      <c r="F572" t="s">
        <v>25</v>
      </c>
      <c r="G572">
        <v>12</v>
      </c>
      <c r="H572" t="s">
        <v>68</v>
      </c>
      <c r="I572">
        <v>15</v>
      </c>
      <c r="J572" s="10">
        <f t="shared" si="8"/>
        <v>12</v>
      </c>
    </row>
    <row r="573" spans="1:10" x14ac:dyDescent="0.2">
      <c r="A573" s="6">
        <v>42705</v>
      </c>
      <c r="B573">
        <v>2005</v>
      </c>
      <c r="C573">
        <v>2478</v>
      </c>
      <c r="D573">
        <v>572</v>
      </c>
      <c r="E573">
        <v>5500</v>
      </c>
      <c r="F573" t="s">
        <v>25</v>
      </c>
      <c r="G573">
        <v>12</v>
      </c>
      <c r="H573" t="s">
        <v>68</v>
      </c>
      <c r="I573">
        <v>14</v>
      </c>
      <c r="J573" s="10">
        <f t="shared" si="8"/>
        <v>12</v>
      </c>
    </row>
    <row r="574" spans="1:10" x14ac:dyDescent="0.2">
      <c r="A574" s="6">
        <v>42699</v>
      </c>
      <c r="B574">
        <v>2004</v>
      </c>
      <c r="C574">
        <v>2478</v>
      </c>
      <c r="D574">
        <v>573</v>
      </c>
      <c r="E574">
        <v>5500</v>
      </c>
      <c r="F574" t="s">
        <v>25</v>
      </c>
      <c r="G574">
        <v>12</v>
      </c>
      <c r="H574" t="s">
        <v>68</v>
      </c>
      <c r="I574">
        <v>15</v>
      </c>
      <c r="J574" s="10">
        <f t="shared" si="8"/>
        <v>12</v>
      </c>
    </row>
    <row r="575" spans="1:10" x14ac:dyDescent="0.2">
      <c r="A575" s="6">
        <v>42696</v>
      </c>
      <c r="B575">
        <v>2004</v>
      </c>
      <c r="C575">
        <v>2478</v>
      </c>
      <c r="D575">
        <v>574</v>
      </c>
      <c r="E575">
        <v>5300</v>
      </c>
      <c r="F575" t="s">
        <v>25</v>
      </c>
      <c r="G575">
        <v>12</v>
      </c>
      <c r="H575" t="s">
        <v>68</v>
      </c>
      <c r="I575">
        <v>15</v>
      </c>
      <c r="J575" s="10">
        <f t="shared" si="8"/>
        <v>12</v>
      </c>
    </row>
    <row r="576" spans="1:10" x14ac:dyDescent="0.2">
      <c r="A576" s="6">
        <v>42663</v>
      </c>
      <c r="B576">
        <v>2003</v>
      </c>
      <c r="C576">
        <v>2478</v>
      </c>
      <c r="D576">
        <v>575</v>
      </c>
      <c r="E576">
        <v>5500</v>
      </c>
      <c r="F576" t="s">
        <v>25</v>
      </c>
      <c r="G576">
        <v>12</v>
      </c>
      <c r="H576" t="s">
        <v>68</v>
      </c>
      <c r="I576">
        <v>16</v>
      </c>
      <c r="J576" s="10">
        <f t="shared" si="8"/>
        <v>12</v>
      </c>
    </row>
    <row r="577" spans="1:10" x14ac:dyDescent="0.2">
      <c r="A577" s="6">
        <v>42663</v>
      </c>
      <c r="B577">
        <v>2003</v>
      </c>
      <c r="C577">
        <v>2478</v>
      </c>
      <c r="D577">
        <v>576</v>
      </c>
      <c r="E577">
        <v>5500</v>
      </c>
      <c r="F577" t="s">
        <v>25</v>
      </c>
      <c r="G577">
        <v>12</v>
      </c>
      <c r="H577" t="s">
        <v>68</v>
      </c>
      <c r="I577">
        <v>16</v>
      </c>
      <c r="J577" s="10">
        <f t="shared" si="8"/>
        <v>12</v>
      </c>
    </row>
    <row r="578" spans="1:10" x14ac:dyDescent="0.2">
      <c r="A578" s="6">
        <v>42663</v>
      </c>
      <c r="B578">
        <v>2000</v>
      </c>
      <c r="C578">
        <v>2478</v>
      </c>
      <c r="D578">
        <v>577</v>
      </c>
      <c r="E578">
        <v>6000</v>
      </c>
      <c r="F578" t="s">
        <v>25</v>
      </c>
      <c r="G578">
        <v>9</v>
      </c>
      <c r="H578" t="s">
        <v>68</v>
      </c>
      <c r="I578">
        <v>19</v>
      </c>
      <c r="J578" s="10">
        <f t="shared" ref="J578:J641" si="9">IF(H578="days",ROUND(G578/30,0),IF(H578="years",G578*12,G578))</f>
        <v>9</v>
      </c>
    </row>
    <row r="579" spans="1:10" x14ac:dyDescent="0.2">
      <c r="A579" s="6">
        <v>42657</v>
      </c>
      <c r="B579">
        <v>2004</v>
      </c>
      <c r="C579">
        <v>2478</v>
      </c>
      <c r="D579">
        <v>578</v>
      </c>
      <c r="E579">
        <v>5500</v>
      </c>
      <c r="F579" t="s">
        <v>25</v>
      </c>
      <c r="G579">
        <v>6</v>
      </c>
      <c r="H579" t="s">
        <v>68</v>
      </c>
      <c r="I579">
        <v>15</v>
      </c>
      <c r="J579" s="10">
        <f t="shared" si="9"/>
        <v>6</v>
      </c>
    </row>
    <row r="580" spans="1:10" x14ac:dyDescent="0.2">
      <c r="A580" s="6">
        <v>42649</v>
      </c>
      <c r="B580">
        <v>2004</v>
      </c>
      <c r="C580">
        <v>2478</v>
      </c>
      <c r="D580">
        <v>579</v>
      </c>
      <c r="E580">
        <v>5500</v>
      </c>
      <c r="F580" t="s">
        <v>25</v>
      </c>
      <c r="G580">
        <v>10</v>
      </c>
      <c r="H580" t="s">
        <v>68</v>
      </c>
      <c r="I580">
        <v>15</v>
      </c>
      <c r="J580" s="10">
        <f t="shared" si="9"/>
        <v>10</v>
      </c>
    </row>
    <row r="581" spans="1:10" x14ac:dyDescent="0.2">
      <c r="A581" s="6">
        <v>42644</v>
      </c>
      <c r="B581">
        <v>2004</v>
      </c>
      <c r="C581">
        <v>2478</v>
      </c>
      <c r="D581">
        <v>580</v>
      </c>
      <c r="E581">
        <v>5500</v>
      </c>
      <c r="F581" t="s">
        <v>25</v>
      </c>
      <c r="G581">
        <v>12</v>
      </c>
      <c r="H581" t="s">
        <v>68</v>
      </c>
      <c r="I581">
        <v>15</v>
      </c>
      <c r="J581" s="10">
        <f t="shared" si="9"/>
        <v>12</v>
      </c>
    </row>
    <row r="582" spans="1:10" x14ac:dyDescent="0.2">
      <c r="A582" s="6">
        <v>42643</v>
      </c>
      <c r="B582">
        <v>2004</v>
      </c>
      <c r="C582">
        <v>2478</v>
      </c>
      <c r="D582">
        <v>581</v>
      </c>
      <c r="E582">
        <v>5500</v>
      </c>
      <c r="F582" t="s">
        <v>25</v>
      </c>
      <c r="G582">
        <v>10</v>
      </c>
      <c r="H582" t="s">
        <v>68</v>
      </c>
      <c r="I582">
        <v>15</v>
      </c>
      <c r="J582" s="10">
        <f t="shared" si="9"/>
        <v>10</v>
      </c>
    </row>
    <row r="583" spans="1:10" x14ac:dyDescent="0.2">
      <c r="A583" s="6">
        <v>42640</v>
      </c>
      <c r="B583">
        <v>2005</v>
      </c>
      <c r="C583">
        <v>2478</v>
      </c>
      <c r="D583">
        <v>582</v>
      </c>
      <c r="E583">
        <v>5500</v>
      </c>
      <c r="F583" t="s">
        <v>25</v>
      </c>
      <c r="G583">
        <v>12</v>
      </c>
      <c r="H583" t="s">
        <v>68</v>
      </c>
      <c r="I583">
        <v>14</v>
      </c>
      <c r="J583" s="10">
        <f t="shared" si="9"/>
        <v>12</v>
      </c>
    </row>
    <row r="584" spans="1:10" x14ac:dyDescent="0.2">
      <c r="A584" s="6">
        <v>42602</v>
      </c>
      <c r="B584">
        <v>2004</v>
      </c>
      <c r="C584">
        <v>2478</v>
      </c>
      <c r="D584">
        <v>583</v>
      </c>
      <c r="E584">
        <v>5750</v>
      </c>
      <c r="F584" t="s">
        <v>25</v>
      </c>
      <c r="G584">
        <v>12</v>
      </c>
      <c r="H584" t="s">
        <v>68</v>
      </c>
      <c r="I584">
        <v>15</v>
      </c>
      <c r="J584" s="10">
        <f t="shared" si="9"/>
        <v>12</v>
      </c>
    </row>
    <row r="585" spans="1:10" x14ac:dyDescent="0.2">
      <c r="A585" s="6">
        <v>42597</v>
      </c>
      <c r="B585">
        <v>2003</v>
      </c>
      <c r="C585">
        <v>2478</v>
      </c>
      <c r="D585">
        <v>584</v>
      </c>
      <c r="E585">
        <v>6500</v>
      </c>
      <c r="F585" t="s">
        <v>25</v>
      </c>
      <c r="G585">
        <v>50</v>
      </c>
      <c r="H585" t="s">
        <v>26</v>
      </c>
      <c r="I585">
        <v>16</v>
      </c>
      <c r="J585" s="10">
        <f t="shared" si="9"/>
        <v>2</v>
      </c>
    </row>
    <row r="586" spans="1:10" x14ac:dyDescent="0.2">
      <c r="A586" s="6">
        <v>42580</v>
      </c>
      <c r="B586">
        <v>2004</v>
      </c>
      <c r="C586">
        <v>2478</v>
      </c>
      <c r="D586">
        <v>585</v>
      </c>
      <c r="E586">
        <v>6050</v>
      </c>
      <c r="F586" t="s">
        <v>25</v>
      </c>
      <c r="G586">
        <v>11</v>
      </c>
      <c r="H586" t="s">
        <v>68</v>
      </c>
      <c r="I586">
        <v>15</v>
      </c>
      <c r="J586" s="10">
        <f t="shared" si="9"/>
        <v>11</v>
      </c>
    </row>
    <row r="587" spans="1:10" x14ac:dyDescent="0.2">
      <c r="A587" s="6">
        <v>42577</v>
      </c>
      <c r="B587">
        <v>2003</v>
      </c>
      <c r="C587">
        <v>2478</v>
      </c>
      <c r="D587">
        <v>586</v>
      </c>
      <c r="E587">
        <v>6000</v>
      </c>
      <c r="F587" t="s">
        <v>25</v>
      </c>
      <c r="G587">
        <v>12</v>
      </c>
      <c r="H587" t="s">
        <v>68</v>
      </c>
      <c r="I587">
        <v>16</v>
      </c>
      <c r="J587" s="10">
        <f t="shared" si="9"/>
        <v>12</v>
      </c>
    </row>
    <row r="588" spans="1:10" x14ac:dyDescent="0.2">
      <c r="A588" s="6">
        <v>42561</v>
      </c>
      <c r="B588">
        <v>2003</v>
      </c>
      <c r="C588">
        <v>2478</v>
      </c>
      <c r="D588">
        <v>587</v>
      </c>
      <c r="E588">
        <v>6950</v>
      </c>
      <c r="F588" t="s">
        <v>25</v>
      </c>
      <c r="G588">
        <v>12</v>
      </c>
      <c r="H588" t="s">
        <v>68</v>
      </c>
      <c r="I588">
        <v>16</v>
      </c>
      <c r="J588" s="10">
        <f t="shared" si="9"/>
        <v>12</v>
      </c>
    </row>
    <row r="589" spans="1:10" x14ac:dyDescent="0.2">
      <c r="A589" s="6">
        <v>42552</v>
      </c>
      <c r="B589">
        <v>2003</v>
      </c>
      <c r="C589">
        <v>2478</v>
      </c>
      <c r="D589">
        <v>588</v>
      </c>
      <c r="E589">
        <v>6500</v>
      </c>
      <c r="F589" t="s">
        <v>25</v>
      </c>
      <c r="G589">
        <v>56</v>
      </c>
      <c r="H589" t="s">
        <v>26</v>
      </c>
      <c r="I589">
        <v>16</v>
      </c>
      <c r="J589" s="10">
        <f t="shared" si="9"/>
        <v>2</v>
      </c>
    </row>
    <row r="590" spans="1:10" x14ac:dyDescent="0.2">
      <c r="A590" s="6">
        <v>42528</v>
      </c>
      <c r="B590">
        <v>2004</v>
      </c>
      <c r="C590">
        <v>2478</v>
      </c>
      <c r="D590">
        <v>589</v>
      </c>
      <c r="E590">
        <v>6500</v>
      </c>
      <c r="F590" t="s">
        <v>25</v>
      </c>
      <c r="G590">
        <v>60</v>
      </c>
      <c r="H590" t="s">
        <v>26</v>
      </c>
      <c r="I590">
        <v>15</v>
      </c>
      <c r="J590" s="10">
        <f t="shared" si="9"/>
        <v>2</v>
      </c>
    </row>
    <row r="591" spans="1:10" x14ac:dyDescent="0.2">
      <c r="A591" s="6">
        <v>42526</v>
      </c>
      <c r="B591">
        <v>2004</v>
      </c>
      <c r="C591">
        <v>2478</v>
      </c>
      <c r="D591">
        <v>590</v>
      </c>
      <c r="E591">
        <v>6350</v>
      </c>
      <c r="F591" t="s">
        <v>25</v>
      </c>
      <c r="G591">
        <v>8</v>
      </c>
      <c r="H591" t="s">
        <v>68</v>
      </c>
      <c r="I591">
        <v>15</v>
      </c>
      <c r="J591" s="10">
        <f t="shared" si="9"/>
        <v>8</v>
      </c>
    </row>
    <row r="592" spans="1:10" x14ac:dyDescent="0.2">
      <c r="A592" s="6">
        <v>42508</v>
      </c>
      <c r="B592">
        <v>2005</v>
      </c>
      <c r="C592">
        <v>2478</v>
      </c>
      <c r="D592">
        <v>591</v>
      </c>
      <c r="E592">
        <v>6500</v>
      </c>
      <c r="F592" t="s">
        <v>25</v>
      </c>
      <c r="G592">
        <v>10</v>
      </c>
      <c r="H592" t="s">
        <v>68</v>
      </c>
      <c r="I592">
        <v>14</v>
      </c>
      <c r="J592" s="10">
        <f t="shared" si="9"/>
        <v>10</v>
      </c>
    </row>
    <row r="593" spans="1:10" x14ac:dyDescent="0.2">
      <c r="A593" s="6">
        <v>42482</v>
      </c>
      <c r="B593">
        <v>2003</v>
      </c>
      <c r="C593">
        <v>2478</v>
      </c>
      <c r="D593">
        <v>592</v>
      </c>
      <c r="E593">
        <v>6500</v>
      </c>
      <c r="F593" t="s">
        <v>25</v>
      </c>
      <c r="G593">
        <v>4</v>
      </c>
      <c r="H593" t="s">
        <v>68</v>
      </c>
      <c r="I593">
        <v>16</v>
      </c>
      <c r="J593" s="10">
        <f t="shared" si="9"/>
        <v>4</v>
      </c>
    </row>
    <row r="594" spans="1:10" x14ac:dyDescent="0.2">
      <c r="A594" s="6">
        <v>42480</v>
      </c>
      <c r="B594">
        <v>2005</v>
      </c>
      <c r="C594">
        <v>2478</v>
      </c>
      <c r="D594">
        <v>593</v>
      </c>
      <c r="E594">
        <v>6000</v>
      </c>
      <c r="F594" t="s">
        <v>25</v>
      </c>
      <c r="G594">
        <v>6</v>
      </c>
      <c r="H594" t="s">
        <v>68</v>
      </c>
      <c r="I594">
        <v>14</v>
      </c>
      <c r="J594" s="10">
        <f t="shared" si="9"/>
        <v>6</v>
      </c>
    </row>
    <row r="595" spans="1:10" x14ac:dyDescent="0.2">
      <c r="A595" s="6">
        <v>42480</v>
      </c>
      <c r="B595">
        <v>2004</v>
      </c>
      <c r="C595">
        <v>2478</v>
      </c>
      <c r="D595">
        <v>594</v>
      </c>
      <c r="E595">
        <v>6000</v>
      </c>
      <c r="F595" t="s">
        <v>25</v>
      </c>
      <c r="G595">
        <v>7</v>
      </c>
      <c r="H595" t="s">
        <v>68</v>
      </c>
      <c r="I595">
        <v>15</v>
      </c>
      <c r="J595" s="10">
        <f t="shared" si="9"/>
        <v>7</v>
      </c>
    </row>
    <row r="596" spans="1:10" x14ac:dyDescent="0.2">
      <c r="A596" s="6">
        <v>42459</v>
      </c>
      <c r="B596">
        <v>2004</v>
      </c>
      <c r="C596">
        <v>2478</v>
      </c>
      <c r="D596">
        <v>595</v>
      </c>
      <c r="E596">
        <v>6200</v>
      </c>
      <c r="F596" t="s">
        <v>25</v>
      </c>
      <c r="G596">
        <v>6</v>
      </c>
      <c r="H596" t="s">
        <v>68</v>
      </c>
      <c r="I596">
        <v>15</v>
      </c>
      <c r="J596" s="10">
        <f t="shared" si="9"/>
        <v>6</v>
      </c>
    </row>
    <row r="597" spans="1:10" x14ac:dyDescent="0.2">
      <c r="A597" s="6">
        <v>42449</v>
      </c>
      <c r="B597">
        <v>2005</v>
      </c>
      <c r="C597">
        <v>2478</v>
      </c>
      <c r="D597">
        <v>596</v>
      </c>
      <c r="E597">
        <v>6000</v>
      </c>
      <c r="F597" t="s">
        <v>25</v>
      </c>
      <c r="G597">
        <v>12</v>
      </c>
      <c r="H597" t="s">
        <v>68</v>
      </c>
      <c r="I597">
        <v>14</v>
      </c>
      <c r="J597" s="10">
        <f t="shared" si="9"/>
        <v>12</v>
      </c>
    </row>
    <row r="598" spans="1:10" x14ac:dyDescent="0.2">
      <c r="A598" s="6">
        <v>42449</v>
      </c>
      <c r="B598">
        <v>2003</v>
      </c>
      <c r="C598">
        <v>2478</v>
      </c>
      <c r="D598">
        <v>597</v>
      </c>
      <c r="E598">
        <v>6150</v>
      </c>
      <c r="F598" t="s">
        <v>25</v>
      </c>
      <c r="G598">
        <v>8</v>
      </c>
      <c r="H598" t="s">
        <v>68</v>
      </c>
      <c r="I598">
        <v>16</v>
      </c>
      <c r="J598" s="10">
        <f t="shared" si="9"/>
        <v>8</v>
      </c>
    </row>
    <row r="599" spans="1:10" x14ac:dyDescent="0.2">
      <c r="A599" s="6">
        <v>42444</v>
      </c>
      <c r="B599">
        <v>2005</v>
      </c>
      <c r="C599">
        <v>2478</v>
      </c>
      <c r="D599">
        <v>598</v>
      </c>
      <c r="E599">
        <v>6250</v>
      </c>
      <c r="F599" t="s">
        <v>25</v>
      </c>
      <c r="G599">
        <v>45</v>
      </c>
      <c r="H599" t="s">
        <v>26</v>
      </c>
      <c r="I599">
        <v>14</v>
      </c>
      <c r="J599" s="10">
        <f t="shared" si="9"/>
        <v>2</v>
      </c>
    </row>
    <row r="600" spans="1:10" s="234" customFormat="1" x14ac:dyDescent="0.2">
      <c r="A600" s="233">
        <v>42431</v>
      </c>
      <c r="B600" s="234">
        <v>2005</v>
      </c>
      <c r="C600" s="234">
        <v>2478</v>
      </c>
      <c r="D600" s="234">
        <v>599</v>
      </c>
      <c r="E600" s="234">
        <v>6250</v>
      </c>
      <c r="F600" s="234" t="s">
        <v>25</v>
      </c>
      <c r="G600" s="234">
        <v>6</v>
      </c>
      <c r="H600" s="234" t="s">
        <v>68</v>
      </c>
      <c r="I600" s="234">
        <v>14</v>
      </c>
      <c r="J600" s="235">
        <f t="shared" si="9"/>
        <v>6</v>
      </c>
    </row>
    <row r="601" spans="1:10" x14ac:dyDescent="0.2">
      <c r="A601" s="6">
        <v>42397</v>
      </c>
      <c r="B601">
        <v>2003</v>
      </c>
      <c r="C601">
        <v>2478</v>
      </c>
      <c r="D601">
        <v>600</v>
      </c>
      <c r="E601">
        <v>6000</v>
      </c>
      <c r="F601" t="s">
        <v>25</v>
      </c>
      <c r="G601">
        <v>12</v>
      </c>
      <c r="H601" t="s">
        <v>68</v>
      </c>
      <c r="I601">
        <v>16</v>
      </c>
      <c r="J601" s="10">
        <f t="shared" si="9"/>
        <v>12</v>
      </c>
    </row>
    <row r="602" spans="1:10" x14ac:dyDescent="0.2">
      <c r="A602" s="6">
        <v>42397</v>
      </c>
      <c r="B602">
        <v>2003</v>
      </c>
      <c r="C602">
        <v>2478</v>
      </c>
      <c r="D602">
        <v>601</v>
      </c>
      <c r="E602">
        <v>6000</v>
      </c>
      <c r="F602" t="s">
        <v>25</v>
      </c>
      <c r="G602">
        <v>12</v>
      </c>
      <c r="H602" t="s">
        <v>68</v>
      </c>
      <c r="I602">
        <v>16</v>
      </c>
      <c r="J602" s="10">
        <f t="shared" si="9"/>
        <v>12</v>
      </c>
    </row>
    <row r="603" spans="1:10" x14ac:dyDescent="0.2">
      <c r="A603" s="6">
        <v>43627</v>
      </c>
      <c r="B603">
        <v>2005</v>
      </c>
      <c r="C603">
        <v>2490</v>
      </c>
      <c r="D603">
        <v>602</v>
      </c>
      <c r="E603">
        <v>9500</v>
      </c>
      <c r="F603" t="s">
        <v>25</v>
      </c>
      <c r="G603">
        <v>3</v>
      </c>
      <c r="H603" t="s">
        <v>68</v>
      </c>
      <c r="I603">
        <v>14</v>
      </c>
      <c r="J603" s="10">
        <f t="shared" si="9"/>
        <v>3</v>
      </c>
    </row>
    <row r="604" spans="1:10" x14ac:dyDescent="0.2">
      <c r="A604" s="6">
        <v>43614</v>
      </c>
      <c r="B604">
        <v>2002</v>
      </c>
      <c r="C604">
        <v>2490</v>
      </c>
      <c r="D604">
        <v>603</v>
      </c>
      <c r="E604">
        <v>9000</v>
      </c>
      <c r="F604" t="s">
        <v>25</v>
      </c>
      <c r="G604">
        <v>6</v>
      </c>
      <c r="H604" t="s">
        <v>68</v>
      </c>
      <c r="I604">
        <v>17</v>
      </c>
      <c r="J604" s="10">
        <f t="shared" si="9"/>
        <v>6</v>
      </c>
    </row>
    <row r="605" spans="1:10" x14ac:dyDescent="0.2">
      <c r="A605" s="6">
        <v>43075</v>
      </c>
      <c r="B605">
        <v>2004</v>
      </c>
      <c r="C605">
        <v>2490</v>
      </c>
      <c r="D605">
        <v>604</v>
      </c>
      <c r="E605">
        <v>9600</v>
      </c>
      <c r="F605" t="s">
        <v>25</v>
      </c>
      <c r="G605">
        <v>11</v>
      </c>
      <c r="H605" t="s">
        <v>68</v>
      </c>
      <c r="I605">
        <v>15</v>
      </c>
      <c r="J605" s="10">
        <f t="shared" si="9"/>
        <v>11</v>
      </c>
    </row>
    <row r="606" spans="1:10" x14ac:dyDescent="0.2">
      <c r="A606" s="6">
        <v>42736</v>
      </c>
      <c r="B606">
        <v>2002</v>
      </c>
      <c r="C606">
        <v>2490</v>
      </c>
      <c r="D606">
        <v>605</v>
      </c>
      <c r="E606">
        <v>6000</v>
      </c>
      <c r="F606" t="s">
        <v>25</v>
      </c>
      <c r="G606">
        <v>12</v>
      </c>
      <c r="H606" t="s">
        <v>68</v>
      </c>
      <c r="I606">
        <v>17</v>
      </c>
      <c r="J606" s="10">
        <f t="shared" si="9"/>
        <v>12</v>
      </c>
    </row>
    <row r="607" spans="1:10" x14ac:dyDescent="0.2">
      <c r="A607" s="6">
        <v>42452</v>
      </c>
      <c r="B607">
        <v>2004</v>
      </c>
      <c r="C607">
        <v>2490</v>
      </c>
      <c r="D607">
        <v>606</v>
      </c>
      <c r="E607">
        <v>6600</v>
      </c>
      <c r="F607" t="s">
        <v>25</v>
      </c>
      <c r="G607">
        <v>6</v>
      </c>
      <c r="H607" t="s">
        <v>68</v>
      </c>
      <c r="I607">
        <v>15</v>
      </c>
      <c r="J607" s="10">
        <f t="shared" si="9"/>
        <v>6</v>
      </c>
    </row>
    <row r="608" spans="1:10" x14ac:dyDescent="0.2">
      <c r="A608" s="6">
        <v>42444</v>
      </c>
      <c r="B608">
        <v>2005</v>
      </c>
      <c r="C608">
        <v>2490</v>
      </c>
      <c r="D608">
        <v>607</v>
      </c>
      <c r="E608">
        <v>8500</v>
      </c>
      <c r="F608" t="s">
        <v>25</v>
      </c>
      <c r="G608">
        <v>3</v>
      </c>
      <c r="H608" t="s">
        <v>68</v>
      </c>
      <c r="I608">
        <v>14</v>
      </c>
      <c r="J608" s="10">
        <f t="shared" si="9"/>
        <v>3</v>
      </c>
    </row>
    <row r="609" spans="1:10" x14ac:dyDescent="0.2">
      <c r="A609" s="6">
        <v>42383</v>
      </c>
      <c r="B609">
        <v>2004</v>
      </c>
      <c r="C609">
        <v>2490</v>
      </c>
      <c r="D609">
        <v>608</v>
      </c>
      <c r="E609">
        <v>6950</v>
      </c>
      <c r="F609" t="s">
        <v>25</v>
      </c>
      <c r="G609">
        <v>4</v>
      </c>
      <c r="H609" t="s">
        <v>68</v>
      </c>
      <c r="I609">
        <v>15</v>
      </c>
      <c r="J609" s="10">
        <f t="shared" si="9"/>
        <v>4</v>
      </c>
    </row>
    <row r="610" spans="1:10" x14ac:dyDescent="0.2">
      <c r="A610" s="6">
        <v>43508</v>
      </c>
      <c r="B610">
        <v>2003</v>
      </c>
      <c r="C610">
        <v>2495</v>
      </c>
      <c r="D610">
        <v>609</v>
      </c>
      <c r="E610">
        <v>8750</v>
      </c>
      <c r="F610" t="s">
        <v>25</v>
      </c>
      <c r="G610">
        <v>6</v>
      </c>
      <c r="H610" t="s">
        <v>68</v>
      </c>
      <c r="I610">
        <v>16</v>
      </c>
      <c r="J610" s="10">
        <f t="shared" si="9"/>
        <v>6</v>
      </c>
    </row>
    <row r="611" spans="1:10" x14ac:dyDescent="0.2">
      <c r="A611" s="6">
        <v>43355</v>
      </c>
      <c r="B611">
        <v>2003</v>
      </c>
      <c r="C611">
        <v>2495</v>
      </c>
      <c r="D611">
        <v>610</v>
      </c>
      <c r="E611">
        <v>10500</v>
      </c>
      <c r="F611" t="s">
        <v>25</v>
      </c>
      <c r="G611">
        <v>8</v>
      </c>
      <c r="H611" t="s">
        <v>68</v>
      </c>
      <c r="I611">
        <v>16</v>
      </c>
      <c r="J611" s="10">
        <f t="shared" si="9"/>
        <v>8</v>
      </c>
    </row>
    <row r="612" spans="1:10" x14ac:dyDescent="0.2">
      <c r="A612" s="6">
        <v>43265</v>
      </c>
      <c r="B612">
        <v>2003</v>
      </c>
      <c r="C612">
        <v>2495</v>
      </c>
      <c r="D612">
        <v>611</v>
      </c>
      <c r="E612">
        <v>12500</v>
      </c>
      <c r="F612" t="s">
        <v>25</v>
      </c>
      <c r="G612">
        <v>5</v>
      </c>
      <c r="H612" t="s">
        <v>68</v>
      </c>
      <c r="I612">
        <v>16</v>
      </c>
      <c r="J612" s="10">
        <f t="shared" si="9"/>
        <v>5</v>
      </c>
    </row>
    <row r="613" spans="1:10" x14ac:dyDescent="0.2">
      <c r="A613" s="6">
        <v>43023</v>
      </c>
      <c r="B613">
        <v>2003</v>
      </c>
      <c r="C613">
        <v>2495</v>
      </c>
      <c r="D613">
        <v>612</v>
      </c>
      <c r="E613">
        <v>8750</v>
      </c>
      <c r="F613" t="s">
        <v>25</v>
      </c>
      <c r="G613">
        <v>7</v>
      </c>
      <c r="H613" t="s">
        <v>68</v>
      </c>
      <c r="I613">
        <v>16</v>
      </c>
      <c r="J613" s="10">
        <f t="shared" si="9"/>
        <v>7</v>
      </c>
    </row>
    <row r="614" spans="1:10" x14ac:dyDescent="0.2">
      <c r="A614" s="6">
        <v>42990</v>
      </c>
      <c r="B614">
        <v>2003</v>
      </c>
      <c r="C614">
        <v>2495</v>
      </c>
      <c r="D614">
        <v>613</v>
      </c>
      <c r="E614">
        <v>8250</v>
      </c>
      <c r="F614" t="s">
        <v>25</v>
      </c>
      <c r="G614">
        <v>2</v>
      </c>
      <c r="H614" t="s">
        <v>68</v>
      </c>
      <c r="I614">
        <v>16</v>
      </c>
      <c r="J614" s="10">
        <f t="shared" si="9"/>
        <v>2</v>
      </c>
    </row>
    <row r="615" spans="1:10" x14ac:dyDescent="0.2">
      <c r="A615" s="6">
        <v>42822</v>
      </c>
      <c r="B615">
        <v>2003</v>
      </c>
      <c r="C615">
        <v>2495</v>
      </c>
      <c r="D615">
        <v>614</v>
      </c>
      <c r="E615">
        <v>9250</v>
      </c>
      <c r="F615" t="s">
        <v>25</v>
      </c>
      <c r="G615">
        <v>7</v>
      </c>
      <c r="H615" t="s">
        <v>68</v>
      </c>
      <c r="I615">
        <v>16</v>
      </c>
      <c r="J615" s="10">
        <f t="shared" si="9"/>
        <v>7</v>
      </c>
    </row>
    <row r="616" spans="1:10" x14ac:dyDescent="0.2">
      <c r="A616" s="6">
        <v>42570</v>
      </c>
      <c r="B616">
        <v>2003</v>
      </c>
      <c r="C616">
        <v>2495</v>
      </c>
      <c r="D616">
        <v>615</v>
      </c>
      <c r="E616">
        <v>6100</v>
      </c>
      <c r="F616" t="s">
        <v>25</v>
      </c>
      <c r="G616">
        <v>6</v>
      </c>
      <c r="H616" t="s">
        <v>68</v>
      </c>
      <c r="I616">
        <v>16</v>
      </c>
      <c r="J616" s="10">
        <f t="shared" si="9"/>
        <v>6</v>
      </c>
    </row>
    <row r="617" spans="1:10" x14ac:dyDescent="0.2">
      <c r="A617" s="6">
        <v>42446</v>
      </c>
      <c r="B617">
        <v>2003</v>
      </c>
      <c r="C617">
        <v>2495</v>
      </c>
      <c r="D617">
        <v>616</v>
      </c>
      <c r="E617">
        <v>5500</v>
      </c>
      <c r="F617" t="s">
        <v>25</v>
      </c>
      <c r="G617">
        <v>12</v>
      </c>
      <c r="H617" t="s">
        <v>68</v>
      </c>
      <c r="I617">
        <v>16</v>
      </c>
      <c r="J617" s="10">
        <f t="shared" si="9"/>
        <v>12</v>
      </c>
    </row>
    <row r="618" spans="1:10" x14ac:dyDescent="0.2">
      <c r="A618" s="6">
        <v>43538</v>
      </c>
      <c r="B618">
        <v>2002</v>
      </c>
      <c r="C618">
        <v>2496</v>
      </c>
      <c r="D618">
        <v>617</v>
      </c>
      <c r="E618">
        <v>9750</v>
      </c>
      <c r="F618" t="s">
        <v>25</v>
      </c>
      <c r="G618">
        <v>7</v>
      </c>
      <c r="H618" t="s">
        <v>68</v>
      </c>
      <c r="I618">
        <v>17</v>
      </c>
      <c r="J618" s="10">
        <f t="shared" si="9"/>
        <v>7</v>
      </c>
    </row>
    <row r="619" spans="1:10" x14ac:dyDescent="0.2">
      <c r="A619" s="6">
        <v>43510</v>
      </c>
      <c r="B619">
        <v>2003</v>
      </c>
      <c r="C619">
        <v>2496</v>
      </c>
      <c r="D619">
        <v>618</v>
      </c>
      <c r="E619">
        <v>8500</v>
      </c>
      <c r="F619" t="s">
        <v>25</v>
      </c>
      <c r="G619">
        <v>6</v>
      </c>
      <c r="H619" t="s">
        <v>68</v>
      </c>
      <c r="I619">
        <v>16</v>
      </c>
      <c r="J619" s="10">
        <f t="shared" si="9"/>
        <v>6</v>
      </c>
    </row>
    <row r="620" spans="1:10" x14ac:dyDescent="0.2">
      <c r="A620" s="6">
        <v>43439</v>
      </c>
      <c r="B620">
        <v>2002</v>
      </c>
      <c r="C620">
        <v>2496</v>
      </c>
      <c r="D620">
        <v>619</v>
      </c>
      <c r="E620">
        <v>9500</v>
      </c>
      <c r="F620" t="s">
        <v>25</v>
      </c>
      <c r="G620">
        <v>12</v>
      </c>
      <c r="H620" t="s">
        <v>68</v>
      </c>
      <c r="I620">
        <v>17</v>
      </c>
      <c r="J620" s="10">
        <f t="shared" si="9"/>
        <v>12</v>
      </c>
    </row>
    <row r="621" spans="1:10" x14ac:dyDescent="0.2">
      <c r="A621" s="6">
        <v>43433</v>
      </c>
      <c r="B621">
        <v>2003</v>
      </c>
      <c r="C621">
        <v>2496</v>
      </c>
      <c r="D621">
        <v>620</v>
      </c>
      <c r="E621">
        <v>9500</v>
      </c>
      <c r="F621" t="s">
        <v>25</v>
      </c>
      <c r="G621">
        <v>45</v>
      </c>
      <c r="H621" t="s">
        <v>26</v>
      </c>
      <c r="I621">
        <v>16</v>
      </c>
      <c r="J621" s="10">
        <f t="shared" si="9"/>
        <v>2</v>
      </c>
    </row>
    <row r="622" spans="1:10" x14ac:dyDescent="0.2">
      <c r="A622" s="6">
        <v>43395</v>
      </c>
      <c r="B622">
        <v>2003</v>
      </c>
      <c r="C622">
        <v>2496</v>
      </c>
      <c r="D622">
        <v>621</v>
      </c>
      <c r="E622">
        <v>10000</v>
      </c>
      <c r="F622" t="s">
        <v>25</v>
      </c>
      <c r="G622">
        <v>30</v>
      </c>
      <c r="H622" t="s">
        <v>26</v>
      </c>
      <c r="I622">
        <v>16</v>
      </c>
      <c r="J622" s="10">
        <f t="shared" si="9"/>
        <v>1</v>
      </c>
    </row>
    <row r="623" spans="1:10" x14ac:dyDescent="0.2">
      <c r="A623" s="6">
        <v>43361</v>
      </c>
      <c r="B623">
        <v>2003</v>
      </c>
      <c r="C623">
        <v>2496</v>
      </c>
      <c r="D623">
        <v>622</v>
      </c>
      <c r="E623">
        <v>10900</v>
      </c>
      <c r="F623" t="s">
        <v>25</v>
      </c>
      <c r="G623">
        <v>9</v>
      </c>
      <c r="H623" t="s">
        <v>68</v>
      </c>
      <c r="I623">
        <v>16</v>
      </c>
      <c r="J623" s="10">
        <f t="shared" si="9"/>
        <v>9</v>
      </c>
    </row>
    <row r="624" spans="1:10" x14ac:dyDescent="0.2">
      <c r="A624" s="6">
        <v>43327</v>
      </c>
      <c r="B624">
        <v>2002</v>
      </c>
      <c r="C624">
        <v>2496</v>
      </c>
      <c r="D624">
        <v>623</v>
      </c>
      <c r="E624">
        <v>11200</v>
      </c>
      <c r="F624" t="s">
        <v>25</v>
      </c>
      <c r="G624">
        <v>12</v>
      </c>
      <c r="H624" t="s">
        <v>68</v>
      </c>
      <c r="I624">
        <v>17</v>
      </c>
      <c r="J624" s="10">
        <f t="shared" si="9"/>
        <v>12</v>
      </c>
    </row>
    <row r="625" spans="1:10" x14ac:dyDescent="0.2">
      <c r="A625" s="6">
        <v>43224</v>
      </c>
      <c r="B625">
        <v>2002</v>
      </c>
      <c r="C625">
        <v>2496</v>
      </c>
      <c r="D625">
        <v>624</v>
      </c>
      <c r="E625">
        <v>11200</v>
      </c>
      <c r="F625" t="s">
        <v>25</v>
      </c>
      <c r="G625">
        <v>12</v>
      </c>
      <c r="H625" t="s">
        <v>68</v>
      </c>
      <c r="I625">
        <v>17</v>
      </c>
      <c r="J625" s="10">
        <f t="shared" si="9"/>
        <v>12</v>
      </c>
    </row>
    <row r="626" spans="1:10" x14ac:dyDescent="0.2">
      <c r="A626" s="6">
        <v>43187</v>
      </c>
      <c r="B626">
        <v>2003</v>
      </c>
      <c r="C626">
        <v>2496</v>
      </c>
      <c r="D626">
        <v>625</v>
      </c>
      <c r="E626">
        <v>10250</v>
      </c>
      <c r="F626" t="s">
        <v>25</v>
      </c>
      <c r="G626">
        <v>6</v>
      </c>
      <c r="H626" t="s">
        <v>68</v>
      </c>
      <c r="I626">
        <v>16</v>
      </c>
      <c r="J626" s="10">
        <f t="shared" si="9"/>
        <v>6</v>
      </c>
    </row>
    <row r="627" spans="1:10" x14ac:dyDescent="0.2">
      <c r="A627" s="6">
        <v>43164</v>
      </c>
      <c r="B627">
        <v>2003</v>
      </c>
      <c r="C627">
        <v>2496</v>
      </c>
      <c r="D627">
        <v>626</v>
      </c>
      <c r="E627">
        <v>9250</v>
      </c>
      <c r="F627" t="s">
        <v>25</v>
      </c>
      <c r="G627">
        <v>8</v>
      </c>
      <c r="H627" t="s">
        <v>68</v>
      </c>
      <c r="I627">
        <v>16</v>
      </c>
      <c r="J627" s="10">
        <f t="shared" si="9"/>
        <v>8</v>
      </c>
    </row>
    <row r="628" spans="1:10" x14ac:dyDescent="0.2">
      <c r="A628" s="6">
        <v>43083</v>
      </c>
      <c r="B628">
        <v>2002</v>
      </c>
      <c r="C628">
        <v>2496</v>
      </c>
      <c r="D628">
        <v>627</v>
      </c>
      <c r="E628">
        <v>9750</v>
      </c>
      <c r="F628" t="s">
        <v>25</v>
      </c>
      <c r="G628">
        <v>5</v>
      </c>
      <c r="H628" t="s">
        <v>68</v>
      </c>
      <c r="I628">
        <v>17</v>
      </c>
      <c r="J628" s="10">
        <f t="shared" si="9"/>
        <v>5</v>
      </c>
    </row>
    <row r="629" spans="1:10" x14ac:dyDescent="0.2">
      <c r="A629" s="6">
        <v>43064</v>
      </c>
      <c r="B629">
        <v>2002</v>
      </c>
      <c r="C629">
        <v>2496</v>
      </c>
      <c r="D629">
        <v>628</v>
      </c>
      <c r="E629">
        <v>10500</v>
      </c>
      <c r="F629" t="s">
        <v>25</v>
      </c>
      <c r="G629">
        <v>40</v>
      </c>
      <c r="H629" t="s">
        <v>26</v>
      </c>
      <c r="I629">
        <v>17</v>
      </c>
      <c r="J629" s="10">
        <f t="shared" si="9"/>
        <v>1</v>
      </c>
    </row>
    <row r="630" spans="1:10" x14ac:dyDescent="0.2">
      <c r="A630" s="6">
        <v>43040</v>
      </c>
      <c r="B630">
        <v>2003</v>
      </c>
      <c r="C630">
        <v>2496</v>
      </c>
      <c r="D630">
        <v>629</v>
      </c>
      <c r="E630">
        <v>8500</v>
      </c>
      <c r="F630" t="s">
        <v>25</v>
      </c>
      <c r="G630">
        <v>3</v>
      </c>
      <c r="H630" t="s">
        <v>68</v>
      </c>
      <c r="I630">
        <v>16</v>
      </c>
      <c r="J630" s="10">
        <f t="shared" si="9"/>
        <v>3</v>
      </c>
    </row>
    <row r="631" spans="1:10" x14ac:dyDescent="0.2">
      <c r="A631" s="6">
        <v>42972</v>
      </c>
      <c r="B631">
        <v>2002</v>
      </c>
      <c r="C631">
        <v>2496</v>
      </c>
      <c r="D631">
        <v>630</v>
      </c>
      <c r="E631">
        <v>8950</v>
      </c>
      <c r="F631" t="s">
        <v>25</v>
      </c>
      <c r="G631">
        <v>8</v>
      </c>
      <c r="H631" t="s">
        <v>68</v>
      </c>
      <c r="I631">
        <v>17</v>
      </c>
      <c r="J631" s="10">
        <f t="shared" si="9"/>
        <v>8</v>
      </c>
    </row>
    <row r="632" spans="1:10" x14ac:dyDescent="0.2">
      <c r="A632" s="6">
        <v>42788</v>
      </c>
      <c r="B632">
        <v>2003</v>
      </c>
      <c r="C632">
        <v>2496</v>
      </c>
      <c r="D632">
        <v>631</v>
      </c>
      <c r="E632">
        <v>6000</v>
      </c>
      <c r="F632" t="s">
        <v>25</v>
      </c>
      <c r="G632">
        <v>12</v>
      </c>
      <c r="H632" t="s">
        <v>68</v>
      </c>
      <c r="I632">
        <v>16</v>
      </c>
      <c r="J632" s="10">
        <f t="shared" si="9"/>
        <v>12</v>
      </c>
    </row>
    <row r="633" spans="1:10" x14ac:dyDescent="0.2">
      <c r="A633" s="6">
        <v>42675</v>
      </c>
      <c r="B633">
        <v>2003</v>
      </c>
      <c r="C633">
        <v>2496</v>
      </c>
      <c r="D633">
        <v>632</v>
      </c>
      <c r="E633">
        <v>5500</v>
      </c>
      <c r="F633" t="s">
        <v>25</v>
      </c>
      <c r="G633">
        <v>12</v>
      </c>
      <c r="H633" t="s">
        <v>68</v>
      </c>
      <c r="I633">
        <v>16</v>
      </c>
      <c r="J633" s="10">
        <f t="shared" si="9"/>
        <v>12</v>
      </c>
    </row>
    <row r="634" spans="1:10" x14ac:dyDescent="0.2">
      <c r="A634" s="6">
        <v>42515</v>
      </c>
      <c r="B634">
        <v>2003</v>
      </c>
      <c r="C634">
        <v>2496</v>
      </c>
      <c r="D634">
        <v>633</v>
      </c>
      <c r="E634">
        <v>6400</v>
      </c>
      <c r="F634" t="s">
        <v>25</v>
      </c>
      <c r="G634">
        <v>11</v>
      </c>
      <c r="H634" t="s">
        <v>68</v>
      </c>
      <c r="I634">
        <v>16</v>
      </c>
      <c r="J634" s="10">
        <f t="shared" si="9"/>
        <v>11</v>
      </c>
    </row>
    <row r="635" spans="1:10" x14ac:dyDescent="0.2">
      <c r="A635" s="6">
        <v>42508</v>
      </c>
      <c r="B635">
        <v>2003</v>
      </c>
      <c r="C635">
        <v>2496</v>
      </c>
      <c r="D635">
        <v>634</v>
      </c>
      <c r="E635">
        <v>6000</v>
      </c>
      <c r="F635" t="s">
        <v>25</v>
      </c>
      <c r="G635">
        <v>12</v>
      </c>
      <c r="H635" t="s">
        <v>68</v>
      </c>
      <c r="I635">
        <v>16</v>
      </c>
      <c r="J635" s="10">
        <f t="shared" si="9"/>
        <v>12</v>
      </c>
    </row>
    <row r="636" spans="1:10" x14ac:dyDescent="0.2">
      <c r="A636" s="6">
        <v>42486</v>
      </c>
      <c r="B636">
        <v>2003</v>
      </c>
      <c r="C636">
        <v>2496</v>
      </c>
      <c r="D636">
        <v>635</v>
      </c>
      <c r="E636">
        <v>6750</v>
      </c>
      <c r="F636" t="s">
        <v>25</v>
      </c>
      <c r="G636">
        <v>45</v>
      </c>
      <c r="H636" t="s">
        <v>26</v>
      </c>
      <c r="I636">
        <v>16</v>
      </c>
      <c r="J636" s="10">
        <f t="shared" si="9"/>
        <v>2</v>
      </c>
    </row>
    <row r="637" spans="1:10" x14ac:dyDescent="0.2">
      <c r="A637" s="6">
        <v>42439</v>
      </c>
      <c r="B637">
        <v>2002</v>
      </c>
      <c r="C637">
        <v>2496</v>
      </c>
      <c r="D637">
        <v>636</v>
      </c>
      <c r="E637">
        <v>5500</v>
      </c>
      <c r="F637" t="s">
        <v>25</v>
      </c>
      <c r="G637">
        <v>6</v>
      </c>
      <c r="H637" t="s">
        <v>68</v>
      </c>
      <c r="I637">
        <v>17</v>
      </c>
      <c r="J637" s="10">
        <f t="shared" si="9"/>
        <v>6</v>
      </c>
    </row>
    <row r="638" spans="1:10" x14ac:dyDescent="0.2">
      <c r="A638" s="6">
        <v>42425</v>
      </c>
      <c r="B638">
        <v>2003</v>
      </c>
      <c r="C638">
        <v>2496</v>
      </c>
      <c r="D638">
        <v>637</v>
      </c>
      <c r="E638">
        <v>6000</v>
      </c>
      <c r="F638" t="s">
        <v>25</v>
      </c>
      <c r="G638">
        <v>10</v>
      </c>
      <c r="H638" t="s">
        <v>68</v>
      </c>
      <c r="I638">
        <v>16</v>
      </c>
      <c r="J638" s="10">
        <f t="shared" si="9"/>
        <v>10</v>
      </c>
    </row>
    <row r="639" spans="1:10" x14ac:dyDescent="0.2">
      <c r="A639" s="6">
        <v>42382</v>
      </c>
      <c r="B639">
        <v>2002</v>
      </c>
      <c r="C639">
        <v>2496</v>
      </c>
      <c r="D639">
        <v>638</v>
      </c>
      <c r="E639">
        <v>6000</v>
      </c>
      <c r="F639" t="s">
        <v>25</v>
      </c>
      <c r="G639">
        <v>3</v>
      </c>
      <c r="H639" t="s">
        <v>68</v>
      </c>
      <c r="I639">
        <v>17</v>
      </c>
      <c r="J639" s="10">
        <f t="shared" si="9"/>
        <v>3</v>
      </c>
    </row>
    <row r="640" spans="1:10" x14ac:dyDescent="0.2">
      <c r="A640" s="6">
        <v>43537</v>
      </c>
      <c r="B640">
        <v>2001</v>
      </c>
      <c r="C640">
        <v>2500</v>
      </c>
      <c r="D640">
        <v>639</v>
      </c>
      <c r="E640">
        <v>9000</v>
      </c>
      <c r="F640" t="s">
        <v>25</v>
      </c>
      <c r="G640">
        <v>13</v>
      </c>
      <c r="H640" t="s">
        <v>68</v>
      </c>
      <c r="I640">
        <v>18</v>
      </c>
      <c r="J640" s="10">
        <f t="shared" si="9"/>
        <v>13</v>
      </c>
    </row>
    <row r="641" spans="1:10" x14ac:dyDescent="0.2">
      <c r="A641" s="6">
        <v>42705</v>
      </c>
      <c r="B641">
        <v>2001</v>
      </c>
      <c r="C641">
        <v>2500</v>
      </c>
      <c r="D641">
        <v>640</v>
      </c>
      <c r="E641">
        <v>6350</v>
      </c>
      <c r="F641" t="s">
        <v>25</v>
      </c>
      <c r="G641">
        <v>13</v>
      </c>
      <c r="H641" t="s">
        <v>68</v>
      </c>
      <c r="I641">
        <v>18</v>
      </c>
      <c r="J641" s="10">
        <f t="shared" si="9"/>
        <v>13</v>
      </c>
    </row>
    <row r="642" spans="1:10" x14ac:dyDescent="0.2">
      <c r="A642" s="6">
        <v>42489</v>
      </c>
      <c r="B642">
        <v>2001</v>
      </c>
      <c r="C642">
        <v>2500</v>
      </c>
      <c r="D642">
        <v>641</v>
      </c>
      <c r="E642">
        <v>6500</v>
      </c>
      <c r="F642" t="s">
        <v>25</v>
      </c>
      <c r="G642">
        <v>12</v>
      </c>
      <c r="H642" t="s">
        <v>68</v>
      </c>
      <c r="I642">
        <v>18</v>
      </c>
      <c r="J642" s="10">
        <f t="shared" ref="J642:J705" si="10">IF(H642="days",ROUND(G642/30,0),IF(H642="years",G642*12,G642))</f>
        <v>12</v>
      </c>
    </row>
    <row r="643" spans="1:10" x14ac:dyDescent="0.2">
      <c r="A643" s="6">
        <v>43613</v>
      </c>
      <c r="B643">
        <v>2000</v>
      </c>
      <c r="C643">
        <v>2506</v>
      </c>
      <c r="D643">
        <v>642</v>
      </c>
      <c r="E643">
        <v>8700</v>
      </c>
      <c r="F643" t="s">
        <v>25</v>
      </c>
      <c r="G643">
        <v>12</v>
      </c>
      <c r="H643" t="s">
        <v>68</v>
      </c>
      <c r="I643">
        <v>19</v>
      </c>
      <c r="J643" s="10">
        <f t="shared" si="10"/>
        <v>12</v>
      </c>
    </row>
    <row r="644" spans="1:10" x14ac:dyDescent="0.2">
      <c r="A644" s="6">
        <v>43537</v>
      </c>
      <c r="B644">
        <v>2000</v>
      </c>
      <c r="C644">
        <v>2506</v>
      </c>
      <c r="D644">
        <v>643</v>
      </c>
      <c r="E644">
        <v>9000</v>
      </c>
      <c r="F644" t="s">
        <v>25</v>
      </c>
      <c r="G644">
        <v>13</v>
      </c>
      <c r="H644" t="s">
        <v>68</v>
      </c>
      <c r="I644">
        <v>19</v>
      </c>
      <c r="J644" s="10">
        <f t="shared" si="10"/>
        <v>13</v>
      </c>
    </row>
    <row r="645" spans="1:10" x14ac:dyDescent="0.2">
      <c r="A645" s="6">
        <v>43419</v>
      </c>
      <c r="B645">
        <v>2000</v>
      </c>
      <c r="C645">
        <v>2506</v>
      </c>
      <c r="D645">
        <v>644</v>
      </c>
      <c r="E645">
        <v>9500</v>
      </c>
      <c r="F645" t="s">
        <v>25</v>
      </c>
      <c r="G645">
        <v>10</v>
      </c>
      <c r="H645" t="s">
        <v>68</v>
      </c>
      <c r="I645">
        <v>19</v>
      </c>
      <c r="J645" s="10">
        <f t="shared" si="10"/>
        <v>10</v>
      </c>
    </row>
    <row r="646" spans="1:10" x14ac:dyDescent="0.2">
      <c r="A646" s="6">
        <v>43195</v>
      </c>
      <c r="B646">
        <v>2000</v>
      </c>
      <c r="C646">
        <v>2506</v>
      </c>
      <c r="D646">
        <v>645</v>
      </c>
      <c r="E646">
        <v>10500</v>
      </c>
      <c r="F646" t="s">
        <v>25</v>
      </c>
      <c r="G646">
        <v>12</v>
      </c>
      <c r="H646" t="s">
        <v>68</v>
      </c>
      <c r="I646">
        <v>19</v>
      </c>
      <c r="J646" s="10">
        <f t="shared" si="10"/>
        <v>12</v>
      </c>
    </row>
    <row r="647" spans="1:10" x14ac:dyDescent="0.2">
      <c r="A647" s="6">
        <v>43151</v>
      </c>
      <c r="B647">
        <v>2000</v>
      </c>
      <c r="C647">
        <v>2506</v>
      </c>
      <c r="D647">
        <v>646</v>
      </c>
      <c r="E647">
        <v>9000</v>
      </c>
      <c r="F647" t="s">
        <v>25</v>
      </c>
      <c r="G647">
        <v>12</v>
      </c>
      <c r="H647" t="s">
        <v>68</v>
      </c>
      <c r="I647">
        <v>19</v>
      </c>
      <c r="J647" s="10">
        <f t="shared" si="10"/>
        <v>12</v>
      </c>
    </row>
    <row r="648" spans="1:10" x14ac:dyDescent="0.2">
      <c r="A648" s="6">
        <v>43017</v>
      </c>
      <c r="B648">
        <v>2000</v>
      </c>
      <c r="C648">
        <v>2506</v>
      </c>
      <c r="D648">
        <v>647</v>
      </c>
      <c r="E648">
        <v>8500</v>
      </c>
      <c r="F648" t="s">
        <v>25</v>
      </c>
      <c r="G648">
        <v>13</v>
      </c>
      <c r="H648" t="s">
        <v>68</v>
      </c>
      <c r="I648">
        <v>19</v>
      </c>
      <c r="J648" s="10">
        <f t="shared" si="10"/>
        <v>13</v>
      </c>
    </row>
    <row r="649" spans="1:10" x14ac:dyDescent="0.2">
      <c r="A649" s="6">
        <v>42954</v>
      </c>
      <c r="B649">
        <v>2000</v>
      </c>
      <c r="C649">
        <v>2506</v>
      </c>
      <c r="D649">
        <v>648</v>
      </c>
      <c r="E649">
        <v>8500</v>
      </c>
      <c r="F649" t="s">
        <v>25</v>
      </c>
      <c r="G649">
        <v>45</v>
      </c>
      <c r="H649" t="s">
        <v>26</v>
      </c>
      <c r="I649">
        <v>19</v>
      </c>
      <c r="J649" s="10">
        <f t="shared" si="10"/>
        <v>2</v>
      </c>
    </row>
    <row r="650" spans="1:10" x14ac:dyDescent="0.2">
      <c r="A650" s="6">
        <v>42786</v>
      </c>
      <c r="B650">
        <v>2000</v>
      </c>
      <c r="C650">
        <v>2506</v>
      </c>
      <c r="D650">
        <v>649</v>
      </c>
      <c r="E650">
        <v>6000</v>
      </c>
      <c r="F650" t="s">
        <v>25</v>
      </c>
      <c r="G650">
        <v>6</v>
      </c>
      <c r="H650" t="s">
        <v>68</v>
      </c>
      <c r="I650">
        <v>19</v>
      </c>
      <c r="J650" s="10">
        <f t="shared" si="10"/>
        <v>6</v>
      </c>
    </row>
    <row r="651" spans="1:10" x14ac:dyDescent="0.2">
      <c r="A651" s="6">
        <v>42730</v>
      </c>
      <c r="B651">
        <v>2000</v>
      </c>
      <c r="C651">
        <v>2506</v>
      </c>
      <c r="D651">
        <v>650</v>
      </c>
      <c r="E651">
        <v>6200</v>
      </c>
      <c r="F651" t="s">
        <v>25</v>
      </c>
      <c r="G651">
        <v>12</v>
      </c>
      <c r="H651" t="s">
        <v>68</v>
      </c>
      <c r="I651">
        <v>19</v>
      </c>
      <c r="J651" s="10">
        <f t="shared" si="10"/>
        <v>12</v>
      </c>
    </row>
    <row r="652" spans="1:10" x14ac:dyDescent="0.2">
      <c r="A652" s="6">
        <v>42705</v>
      </c>
      <c r="B652">
        <v>2000</v>
      </c>
      <c r="C652">
        <v>2506</v>
      </c>
      <c r="D652">
        <v>651</v>
      </c>
      <c r="E652">
        <v>6350</v>
      </c>
      <c r="F652" t="s">
        <v>25</v>
      </c>
      <c r="G652">
        <v>12</v>
      </c>
      <c r="H652" t="s">
        <v>68</v>
      </c>
      <c r="I652">
        <v>19</v>
      </c>
      <c r="J652" s="10">
        <f t="shared" si="10"/>
        <v>12</v>
      </c>
    </row>
    <row r="653" spans="1:10" x14ac:dyDescent="0.2">
      <c r="A653" s="6">
        <v>42702</v>
      </c>
      <c r="B653">
        <v>2000</v>
      </c>
      <c r="C653">
        <v>2506</v>
      </c>
      <c r="D653">
        <v>652</v>
      </c>
      <c r="E653">
        <v>5500</v>
      </c>
      <c r="F653" t="s">
        <v>25</v>
      </c>
      <c r="G653">
        <v>12</v>
      </c>
      <c r="H653" t="s">
        <v>68</v>
      </c>
      <c r="I653">
        <v>19</v>
      </c>
      <c r="J653" s="10">
        <f t="shared" si="10"/>
        <v>12</v>
      </c>
    </row>
    <row r="654" spans="1:10" x14ac:dyDescent="0.2">
      <c r="A654" s="6">
        <v>42650</v>
      </c>
      <c r="B654">
        <v>2000</v>
      </c>
      <c r="C654">
        <v>2506</v>
      </c>
      <c r="D654">
        <v>653</v>
      </c>
      <c r="E654">
        <v>5850</v>
      </c>
      <c r="F654" t="s">
        <v>25</v>
      </c>
      <c r="G654">
        <v>4</v>
      </c>
      <c r="H654" t="s">
        <v>68</v>
      </c>
      <c r="I654">
        <v>19</v>
      </c>
      <c r="J654" s="10">
        <f t="shared" si="10"/>
        <v>4</v>
      </c>
    </row>
    <row r="655" spans="1:10" x14ac:dyDescent="0.2">
      <c r="A655" s="6">
        <v>42515</v>
      </c>
      <c r="B655">
        <v>2000</v>
      </c>
      <c r="C655">
        <v>2506</v>
      </c>
      <c r="D655">
        <v>654</v>
      </c>
      <c r="E655">
        <v>6100</v>
      </c>
      <c r="F655" t="s">
        <v>25</v>
      </c>
      <c r="G655">
        <v>6</v>
      </c>
      <c r="H655" t="s">
        <v>68</v>
      </c>
      <c r="I655">
        <v>19</v>
      </c>
      <c r="J655" s="10">
        <f t="shared" si="10"/>
        <v>6</v>
      </c>
    </row>
    <row r="656" spans="1:10" x14ac:dyDescent="0.2">
      <c r="A656" s="6">
        <v>42397</v>
      </c>
      <c r="B656">
        <v>2000</v>
      </c>
      <c r="C656">
        <v>2506</v>
      </c>
      <c r="D656">
        <v>655</v>
      </c>
      <c r="E656">
        <v>6500</v>
      </c>
      <c r="F656" t="s">
        <v>25</v>
      </c>
      <c r="G656">
        <v>12</v>
      </c>
      <c r="H656" t="s">
        <v>68</v>
      </c>
      <c r="I656">
        <v>19</v>
      </c>
      <c r="J656" s="10">
        <f t="shared" si="10"/>
        <v>12</v>
      </c>
    </row>
    <row r="657" spans="1:10" x14ac:dyDescent="0.2">
      <c r="A657" s="6">
        <v>42370</v>
      </c>
      <c r="B657">
        <v>2000</v>
      </c>
      <c r="C657">
        <v>2506</v>
      </c>
      <c r="D657">
        <v>656</v>
      </c>
      <c r="E657">
        <v>6100</v>
      </c>
      <c r="F657" t="s">
        <v>25</v>
      </c>
      <c r="G657">
        <v>6</v>
      </c>
      <c r="H657" t="s">
        <v>68</v>
      </c>
      <c r="I657">
        <v>19</v>
      </c>
      <c r="J657" s="10">
        <f t="shared" si="10"/>
        <v>6</v>
      </c>
    </row>
    <row r="658" spans="1:10" x14ac:dyDescent="0.2">
      <c r="A658" s="6">
        <v>42370</v>
      </c>
      <c r="B658">
        <v>2000</v>
      </c>
      <c r="C658">
        <v>2506</v>
      </c>
      <c r="D658">
        <v>657</v>
      </c>
      <c r="E658">
        <v>6200</v>
      </c>
      <c r="F658" t="s">
        <v>25</v>
      </c>
      <c r="G658">
        <v>13</v>
      </c>
      <c r="H658" t="s">
        <v>68</v>
      </c>
      <c r="I658">
        <v>19</v>
      </c>
      <c r="J658" s="10">
        <f t="shared" si="10"/>
        <v>13</v>
      </c>
    </row>
    <row r="659" spans="1:10" x14ac:dyDescent="0.2">
      <c r="A659" s="6">
        <v>43496</v>
      </c>
      <c r="B659">
        <v>2002</v>
      </c>
      <c r="C659">
        <v>2520</v>
      </c>
      <c r="D659">
        <v>658</v>
      </c>
      <c r="E659">
        <v>9250</v>
      </c>
      <c r="F659" t="s">
        <v>25</v>
      </c>
      <c r="G659">
        <v>7</v>
      </c>
      <c r="H659" t="s">
        <v>68</v>
      </c>
      <c r="I659">
        <v>17</v>
      </c>
      <c r="J659" s="10">
        <f t="shared" si="10"/>
        <v>7</v>
      </c>
    </row>
    <row r="660" spans="1:10" x14ac:dyDescent="0.2">
      <c r="A660" s="6">
        <v>42941</v>
      </c>
      <c r="B660">
        <v>2002</v>
      </c>
      <c r="C660">
        <v>2520</v>
      </c>
      <c r="D660">
        <v>659</v>
      </c>
      <c r="E660">
        <v>9000</v>
      </c>
      <c r="F660" t="s">
        <v>25</v>
      </c>
      <c r="G660">
        <v>7</v>
      </c>
      <c r="H660" t="s">
        <v>68</v>
      </c>
      <c r="I660">
        <v>17</v>
      </c>
      <c r="J660" s="10">
        <f t="shared" si="10"/>
        <v>7</v>
      </c>
    </row>
    <row r="661" spans="1:10" x14ac:dyDescent="0.2">
      <c r="A661" s="6">
        <v>42935</v>
      </c>
      <c r="B661">
        <v>2002</v>
      </c>
      <c r="C661">
        <v>2520</v>
      </c>
      <c r="D661">
        <v>660</v>
      </c>
      <c r="E661">
        <v>9000</v>
      </c>
      <c r="F661" t="s">
        <v>25</v>
      </c>
      <c r="G661">
        <v>12</v>
      </c>
      <c r="H661" t="s">
        <v>68</v>
      </c>
      <c r="I661">
        <v>17</v>
      </c>
      <c r="J661" s="10">
        <f t="shared" si="10"/>
        <v>12</v>
      </c>
    </row>
    <row r="662" spans="1:10" x14ac:dyDescent="0.2">
      <c r="A662" s="6">
        <v>42788</v>
      </c>
      <c r="B662">
        <v>2002</v>
      </c>
      <c r="C662">
        <v>2520</v>
      </c>
      <c r="D662">
        <v>661</v>
      </c>
      <c r="E662">
        <v>9750</v>
      </c>
      <c r="F662" t="s">
        <v>25</v>
      </c>
      <c r="G662">
        <v>3</v>
      </c>
      <c r="H662" t="s">
        <v>68</v>
      </c>
      <c r="I662">
        <v>17</v>
      </c>
      <c r="J662" s="10">
        <f t="shared" si="10"/>
        <v>3</v>
      </c>
    </row>
    <row r="663" spans="1:10" x14ac:dyDescent="0.2">
      <c r="A663" s="6">
        <v>43598</v>
      </c>
      <c r="B663">
        <v>2003</v>
      </c>
      <c r="C663">
        <v>2524</v>
      </c>
      <c r="D663">
        <v>662</v>
      </c>
      <c r="E663">
        <v>9500</v>
      </c>
      <c r="F663" t="s">
        <v>25</v>
      </c>
      <c r="G663">
        <v>6</v>
      </c>
      <c r="H663" t="s">
        <v>68</v>
      </c>
      <c r="I663">
        <v>16</v>
      </c>
      <c r="J663" s="10">
        <f t="shared" si="10"/>
        <v>6</v>
      </c>
    </row>
    <row r="664" spans="1:10" x14ac:dyDescent="0.2">
      <c r="A664" s="6">
        <v>43514</v>
      </c>
      <c r="B664">
        <v>2003</v>
      </c>
      <c r="C664">
        <v>2524</v>
      </c>
      <c r="D664">
        <v>663</v>
      </c>
      <c r="E664">
        <v>8500</v>
      </c>
      <c r="F664" t="s">
        <v>25</v>
      </c>
      <c r="G664">
        <v>6</v>
      </c>
      <c r="H664" t="s">
        <v>68</v>
      </c>
      <c r="I664">
        <v>16</v>
      </c>
      <c r="J664" s="10">
        <f t="shared" si="10"/>
        <v>6</v>
      </c>
    </row>
    <row r="665" spans="1:10" x14ac:dyDescent="0.2">
      <c r="A665" s="6">
        <v>43495</v>
      </c>
      <c r="B665">
        <v>2001</v>
      </c>
      <c r="C665">
        <v>2524</v>
      </c>
      <c r="D665">
        <v>664</v>
      </c>
      <c r="E665">
        <v>9350</v>
      </c>
      <c r="F665" t="s">
        <v>25</v>
      </c>
      <c r="G665">
        <v>6</v>
      </c>
      <c r="H665" t="s">
        <v>68</v>
      </c>
      <c r="I665">
        <v>18</v>
      </c>
      <c r="J665" s="10">
        <f t="shared" si="10"/>
        <v>6</v>
      </c>
    </row>
    <row r="666" spans="1:10" x14ac:dyDescent="0.2">
      <c r="A666" s="6">
        <v>43430</v>
      </c>
      <c r="B666">
        <v>2003</v>
      </c>
      <c r="C666">
        <v>2524</v>
      </c>
      <c r="D666">
        <v>665</v>
      </c>
      <c r="E666">
        <v>9500</v>
      </c>
      <c r="F666" t="s">
        <v>25</v>
      </c>
      <c r="G666">
        <v>3</v>
      </c>
      <c r="H666" t="s">
        <v>68</v>
      </c>
      <c r="I666">
        <v>16</v>
      </c>
      <c r="J666" s="10">
        <f t="shared" si="10"/>
        <v>3</v>
      </c>
    </row>
    <row r="667" spans="1:10" x14ac:dyDescent="0.2">
      <c r="A667" s="6">
        <v>43388</v>
      </c>
      <c r="B667">
        <v>2002</v>
      </c>
      <c r="C667">
        <v>2524</v>
      </c>
      <c r="D667">
        <v>666</v>
      </c>
      <c r="E667">
        <v>10000</v>
      </c>
      <c r="F667" t="s">
        <v>25</v>
      </c>
      <c r="G667">
        <v>7</v>
      </c>
      <c r="H667" t="s">
        <v>68</v>
      </c>
      <c r="I667">
        <v>17</v>
      </c>
      <c r="J667" s="10">
        <f t="shared" si="10"/>
        <v>7</v>
      </c>
    </row>
    <row r="668" spans="1:10" x14ac:dyDescent="0.2">
      <c r="A668" s="6">
        <v>43213</v>
      </c>
      <c r="B668">
        <v>2003</v>
      </c>
      <c r="C668">
        <v>2524</v>
      </c>
      <c r="D668">
        <v>667</v>
      </c>
      <c r="E668">
        <v>11500</v>
      </c>
      <c r="F668" t="s">
        <v>25</v>
      </c>
      <c r="G668">
        <v>8</v>
      </c>
      <c r="H668" t="s">
        <v>68</v>
      </c>
      <c r="I668">
        <v>16</v>
      </c>
      <c r="J668" s="10">
        <f t="shared" si="10"/>
        <v>8</v>
      </c>
    </row>
    <row r="669" spans="1:10" x14ac:dyDescent="0.2">
      <c r="A669" s="6">
        <v>43191</v>
      </c>
      <c r="B669">
        <v>2001</v>
      </c>
      <c r="C669">
        <v>2524</v>
      </c>
      <c r="D669">
        <v>668</v>
      </c>
      <c r="E669">
        <v>10450</v>
      </c>
      <c r="F669" t="s">
        <v>25</v>
      </c>
      <c r="G669">
        <v>12</v>
      </c>
      <c r="H669" t="s">
        <v>68</v>
      </c>
      <c r="I669">
        <v>18</v>
      </c>
      <c r="J669" s="10">
        <f t="shared" si="10"/>
        <v>12</v>
      </c>
    </row>
    <row r="670" spans="1:10" x14ac:dyDescent="0.2">
      <c r="A670" s="6">
        <v>43055</v>
      </c>
      <c r="B670">
        <v>2002</v>
      </c>
      <c r="C670">
        <v>2524</v>
      </c>
      <c r="D670">
        <v>669</v>
      </c>
      <c r="E670">
        <v>8000</v>
      </c>
      <c r="F670" t="s">
        <v>25</v>
      </c>
      <c r="G670">
        <v>6</v>
      </c>
      <c r="H670" t="s">
        <v>68</v>
      </c>
      <c r="I670">
        <v>17</v>
      </c>
      <c r="J670" s="10">
        <f t="shared" si="10"/>
        <v>6</v>
      </c>
    </row>
    <row r="671" spans="1:10" x14ac:dyDescent="0.2">
      <c r="A671" s="6">
        <v>42996</v>
      </c>
      <c r="B671">
        <v>2003</v>
      </c>
      <c r="C671">
        <v>2524</v>
      </c>
      <c r="D671">
        <v>670</v>
      </c>
      <c r="E671">
        <v>9250</v>
      </c>
      <c r="F671" t="s">
        <v>25</v>
      </c>
      <c r="G671">
        <v>8</v>
      </c>
      <c r="H671" t="s">
        <v>68</v>
      </c>
      <c r="I671">
        <v>16</v>
      </c>
      <c r="J671" s="10">
        <f t="shared" si="10"/>
        <v>8</v>
      </c>
    </row>
    <row r="672" spans="1:10" x14ac:dyDescent="0.2">
      <c r="A672" s="6">
        <v>42919</v>
      </c>
      <c r="B672">
        <v>2001</v>
      </c>
      <c r="C672">
        <v>2524</v>
      </c>
      <c r="D672">
        <v>671</v>
      </c>
      <c r="E672">
        <v>9000</v>
      </c>
      <c r="F672" t="s">
        <v>25</v>
      </c>
      <c r="G672">
        <v>10</v>
      </c>
      <c r="H672" t="s">
        <v>68</v>
      </c>
      <c r="I672">
        <v>18</v>
      </c>
      <c r="J672" s="10">
        <f t="shared" si="10"/>
        <v>10</v>
      </c>
    </row>
    <row r="673" spans="1:10" x14ac:dyDescent="0.2">
      <c r="A673" s="6">
        <v>42899</v>
      </c>
      <c r="B673">
        <v>2003</v>
      </c>
      <c r="C673">
        <v>2524</v>
      </c>
      <c r="D673">
        <v>672</v>
      </c>
      <c r="E673">
        <v>10500</v>
      </c>
      <c r="F673" t="s">
        <v>25</v>
      </c>
      <c r="G673">
        <v>9</v>
      </c>
      <c r="H673" t="s">
        <v>68</v>
      </c>
      <c r="I673">
        <v>16</v>
      </c>
      <c r="J673" s="10">
        <f t="shared" si="10"/>
        <v>9</v>
      </c>
    </row>
    <row r="674" spans="1:10" x14ac:dyDescent="0.2">
      <c r="A674" s="6">
        <v>42656</v>
      </c>
      <c r="B674">
        <v>2003</v>
      </c>
      <c r="C674">
        <v>2524</v>
      </c>
      <c r="D674">
        <v>673</v>
      </c>
      <c r="E674">
        <v>6000</v>
      </c>
      <c r="F674" t="s">
        <v>25</v>
      </c>
      <c r="G674">
        <v>6</v>
      </c>
      <c r="H674" t="s">
        <v>68</v>
      </c>
      <c r="I674">
        <v>16</v>
      </c>
      <c r="J674" s="10">
        <f t="shared" si="10"/>
        <v>6</v>
      </c>
    </row>
    <row r="675" spans="1:10" x14ac:dyDescent="0.2">
      <c r="A675" s="6">
        <v>42626</v>
      </c>
      <c r="B675">
        <v>2003</v>
      </c>
      <c r="C675">
        <v>2524</v>
      </c>
      <c r="D675">
        <v>674</v>
      </c>
      <c r="E675">
        <v>5500</v>
      </c>
      <c r="F675" t="s">
        <v>25</v>
      </c>
      <c r="G675">
        <v>12</v>
      </c>
      <c r="H675" t="s">
        <v>68</v>
      </c>
      <c r="I675">
        <v>16</v>
      </c>
      <c r="J675" s="10">
        <f t="shared" si="10"/>
        <v>12</v>
      </c>
    </row>
    <row r="676" spans="1:10" x14ac:dyDescent="0.2">
      <c r="A676" s="6">
        <v>42566</v>
      </c>
      <c r="B676">
        <v>2002</v>
      </c>
      <c r="C676">
        <v>2524</v>
      </c>
      <c r="D676">
        <v>675</v>
      </c>
      <c r="E676">
        <v>6500</v>
      </c>
      <c r="F676" t="s">
        <v>25</v>
      </c>
      <c r="G676">
        <v>7</v>
      </c>
      <c r="H676" t="s">
        <v>68</v>
      </c>
      <c r="I676">
        <v>17</v>
      </c>
      <c r="J676" s="10">
        <f t="shared" si="10"/>
        <v>7</v>
      </c>
    </row>
    <row r="677" spans="1:10" x14ac:dyDescent="0.2">
      <c r="A677" s="6">
        <v>42559</v>
      </c>
      <c r="B677">
        <v>2002</v>
      </c>
      <c r="C677">
        <v>2524</v>
      </c>
      <c r="D677">
        <v>676</v>
      </c>
      <c r="E677">
        <v>6500</v>
      </c>
      <c r="F677" t="s">
        <v>25</v>
      </c>
      <c r="G677">
        <v>7</v>
      </c>
      <c r="H677" t="s">
        <v>68</v>
      </c>
      <c r="I677">
        <v>17</v>
      </c>
      <c r="J677" s="10">
        <f t="shared" si="10"/>
        <v>7</v>
      </c>
    </row>
    <row r="678" spans="1:10" x14ac:dyDescent="0.2">
      <c r="A678" s="6">
        <v>42550</v>
      </c>
      <c r="B678">
        <v>2002</v>
      </c>
      <c r="C678">
        <v>2524</v>
      </c>
      <c r="D678">
        <v>677</v>
      </c>
      <c r="E678">
        <v>6500</v>
      </c>
      <c r="F678" t="s">
        <v>25</v>
      </c>
      <c r="G678">
        <v>120</v>
      </c>
      <c r="H678" t="s">
        <v>26</v>
      </c>
      <c r="I678">
        <v>17</v>
      </c>
      <c r="J678" s="10">
        <f t="shared" si="10"/>
        <v>4</v>
      </c>
    </row>
    <row r="679" spans="1:10" x14ac:dyDescent="0.2">
      <c r="A679" s="6">
        <v>42505</v>
      </c>
      <c r="B679">
        <v>2001</v>
      </c>
      <c r="C679">
        <v>2524</v>
      </c>
      <c r="D679">
        <v>678</v>
      </c>
      <c r="E679">
        <v>6100</v>
      </c>
      <c r="F679" t="s">
        <v>25</v>
      </c>
      <c r="G679">
        <v>6</v>
      </c>
      <c r="H679" t="s">
        <v>68</v>
      </c>
      <c r="I679">
        <v>18</v>
      </c>
      <c r="J679" s="10">
        <f t="shared" si="10"/>
        <v>6</v>
      </c>
    </row>
    <row r="680" spans="1:10" x14ac:dyDescent="0.2">
      <c r="A680" s="6">
        <v>42480</v>
      </c>
      <c r="B680">
        <v>2002</v>
      </c>
      <c r="C680">
        <v>2524</v>
      </c>
      <c r="D680">
        <v>679</v>
      </c>
      <c r="E680">
        <v>6000</v>
      </c>
      <c r="F680" t="s">
        <v>25</v>
      </c>
      <c r="G680">
        <v>12</v>
      </c>
      <c r="H680" t="s">
        <v>68</v>
      </c>
      <c r="I680">
        <v>17</v>
      </c>
      <c r="J680" s="10">
        <f t="shared" si="10"/>
        <v>12</v>
      </c>
    </row>
    <row r="681" spans="1:10" x14ac:dyDescent="0.2">
      <c r="A681" s="6">
        <v>42468</v>
      </c>
      <c r="B681">
        <v>2002</v>
      </c>
      <c r="C681">
        <v>2524</v>
      </c>
      <c r="D681">
        <v>680</v>
      </c>
      <c r="E681">
        <v>6100</v>
      </c>
      <c r="F681" t="s">
        <v>25</v>
      </c>
      <c r="G681">
        <v>70</v>
      </c>
      <c r="H681" t="s">
        <v>26</v>
      </c>
      <c r="I681">
        <v>17</v>
      </c>
      <c r="J681" s="10">
        <f t="shared" si="10"/>
        <v>2</v>
      </c>
    </row>
    <row r="682" spans="1:10" x14ac:dyDescent="0.2">
      <c r="A682" s="6">
        <v>42440</v>
      </c>
      <c r="B682">
        <v>2001</v>
      </c>
      <c r="C682">
        <v>2524</v>
      </c>
      <c r="D682">
        <v>681</v>
      </c>
      <c r="E682">
        <v>6000</v>
      </c>
      <c r="F682" t="s">
        <v>25</v>
      </c>
      <c r="G682">
        <v>6</v>
      </c>
      <c r="H682" t="s">
        <v>68</v>
      </c>
      <c r="I682">
        <v>18</v>
      </c>
      <c r="J682" s="10">
        <f t="shared" si="10"/>
        <v>6</v>
      </c>
    </row>
    <row r="683" spans="1:10" x14ac:dyDescent="0.2">
      <c r="A683" s="6">
        <v>42430</v>
      </c>
      <c r="B683">
        <v>2002</v>
      </c>
      <c r="C683">
        <v>2524</v>
      </c>
      <c r="D683">
        <v>682</v>
      </c>
      <c r="E683">
        <v>6400</v>
      </c>
      <c r="F683" t="s">
        <v>25</v>
      </c>
      <c r="G683">
        <v>13</v>
      </c>
      <c r="H683" t="s">
        <v>68</v>
      </c>
      <c r="I683">
        <v>17</v>
      </c>
      <c r="J683" s="10">
        <f t="shared" si="10"/>
        <v>13</v>
      </c>
    </row>
    <row r="684" spans="1:10" x14ac:dyDescent="0.2">
      <c r="A684" s="6">
        <v>42411</v>
      </c>
      <c r="B684">
        <v>2001</v>
      </c>
      <c r="C684">
        <v>2524</v>
      </c>
      <c r="D684">
        <v>683</v>
      </c>
      <c r="E684">
        <v>6000</v>
      </c>
      <c r="F684" t="s">
        <v>25</v>
      </c>
      <c r="G684">
        <v>6</v>
      </c>
      <c r="H684" t="s">
        <v>68</v>
      </c>
      <c r="I684">
        <v>18</v>
      </c>
      <c r="J684" s="10">
        <f t="shared" si="10"/>
        <v>6</v>
      </c>
    </row>
    <row r="685" spans="1:10" x14ac:dyDescent="0.2">
      <c r="A685" s="6">
        <v>42410</v>
      </c>
      <c r="B685">
        <v>2003</v>
      </c>
      <c r="C685">
        <v>2524</v>
      </c>
      <c r="D685">
        <v>684</v>
      </c>
      <c r="E685">
        <v>6000</v>
      </c>
      <c r="F685" t="s">
        <v>25</v>
      </c>
      <c r="G685">
        <v>8</v>
      </c>
      <c r="H685" t="s">
        <v>68</v>
      </c>
      <c r="I685">
        <v>16</v>
      </c>
      <c r="J685" s="10">
        <f t="shared" si="10"/>
        <v>8</v>
      </c>
    </row>
    <row r="686" spans="1:10" x14ac:dyDescent="0.2">
      <c r="A686" s="6">
        <v>42404</v>
      </c>
      <c r="B686">
        <v>2002</v>
      </c>
      <c r="C686">
        <v>2524</v>
      </c>
      <c r="D686">
        <v>685</v>
      </c>
      <c r="E686">
        <v>6000</v>
      </c>
      <c r="F686" t="s">
        <v>25</v>
      </c>
      <c r="G686">
        <v>5</v>
      </c>
      <c r="H686" t="s">
        <v>68</v>
      </c>
      <c r="I686">
        <v>17</v>
      </c>
      <c r="J686" s="10">
        <f t="shared" si="10"/>
        <v>5</v>
      </c>
    </row>
    <row r="687" spans="1:10" x14ac:dyDescent="0.2">
      <c r="A687" s="6">
        <v>42948</v>
      </c>
      <c r="B687">
        <v>2001</v>
      </c>
      <c r="C687">
        <v>2526</v>
      </c>
      <c r="D687">
        <v>686</v>
      </c>
      <c r="E687">
        <v>9000</v>
      </c>
      <c r="F687" t="s">
        <v>25</v>
      </c>
      <c r="G687">
        <v>36</v>
      </c>
      <c r="H687" t="s">
        <v>68</v>
      </c>
      <c r="I687">
        <v>18</v>
      </c>
      <c r="J687" s="10">
        <f t="shared" si="10"/>
        <v>36</v>
      </c>
    </row>
    <row r="688" spans="1:10" x14ac:dyDescent="0.2">
      <c r="A688" s="6">
        <v>42719</v>
      </c>
      <c r="B688">
        <v>2001</v>
      </c>
      <c r="C688">
        <v>2526</v>
      </c>
      <c r="D688">
        <v>687</v>
      </c>
      <c r="E688">
        <v>5300</v>
      </c>
      <c r="F688" t="s">
        <v>25</v>
      </c>
      <c r="G688">
        <v>12</v>
      </c>
      <c r="H688" t="s">
        <v>68</v>
      </c>
      <c r="I688">
        <v>18</v>
      </c>
      <c r="J688" s="10">
        <f t="shared" si="10"/>
        <v>12</v>
      </c>
    </row>
    <row r="689" spans="1:10" x14ac:dyDescent="0.2">
      <c r="A689" s="6">
        <v>42593</v>
      </c>
      <c r="B689">
        <v>2001</v>
      </c>
      <c r="C689">
        <v>2526</v>
      </c>
      <c r="D689">
        <v>688</v>
      </c>
      <c r="E689">
        <v>6000</v>
      </c>
      <c r="F689" t="s">
        <v>25</v>
      </c>
      <c r="G689">
        <v>12</v>
      </c>
      <c r="H689" t="s">
        <v>68</v>
      </c>
      <c r="I689">
        <v>18</v>
      </c>
      <c r="J689" s="10">
        <f t="shared" si="10"/>
        <v>12</v>
      </c>
    </row>
    <row r="690" spans="1:10" x14ac:dyDescent="0.2">
      <c r="A690" s="6">
        <v>43521</v>
      </c>
      <c r="B690">
        <v>2001</v>
      </c>
      <c r="C690">
        <v>2530</v>
      </c>
      <c r="D690">
        <v>689</v>
      </c>
      <c r="E690">
        <v>10750</v>
      </c>
      <c r="F690" t="s">
        <v>25</v>
      </c>
      <c r="G690">
        <v>6</v>
      </c>
      <c r="H690" t="s">
        <v>68</v>
      </c>
      <c r="I690">
        <v>18</v>
      </c>
      <c r="J690" s="10">
        <f t="shared" si="10"/>
        <v>6</v>
      </c>
    </row>
    <row r="691" spans="1:10" x14ac:dyDescent="0.2">
      <c r="A691" s="6">
        <v>43255</v>
      </c>
      <c r="B691">
        <v>2001</v>
      </c>
      <c r="C691">
        <v>2530</v>
      </c>
      <c r="D691">
        <v>690</v>
      </c>
      <c r="E691">
        <v>12125</v>
      </c>
      <c r="F691" t="s">
        <v>25</v>
      </c>
      <c r="G691">
        <v>10</v>
      </c>
      <c r="H691" t="s">
        <v>68</v>
      </c>
      <c r="I691">
        <v>18</v>
      </c>
      <c r="J691" s="10">
        <f t="shared" si="10"/>
        <v>10</v>
      </c>
    </row>
    <row r="692" spans="1:10" x14ac:dyDescent="0.2">
      <c r="A692" s="6">
        <v>43200</v>
      </c>
      <c r="B692">
        <v>2001</v>
      </c>
      <c r="C692">
        <v>2530</v>
      </c>
      <c r="D692">
        <v>691</v>
      </c>
      <c r="E692">
        <v>12000</v>
      </c>
      <c r="F692" t="s">
        <v>25</v>
      </c>
      <c r="G692">
        <v>45</v>
      </c>
      <c r="H692" t="s">
        <v>26</v>
      </c>
      <c r="I692">
        <v>18</v>
      </c>
      <c r="J692" s="10">
        <f t="shared" si="10"/>
        <v>2</v>
      </c>
    </row>
    <row r="693" spans="1:10" x14ac:dyDescent="0.2">
      <c r="A693" s="6">
        <v>42795</v>
      </c>
      <c r="B693">
        <v>2001</v>
      </c>
      <c r="C693">
        <v>2530</v>
      </c>
      <c r="D693">
        <v>692</v>
      </c>
      <c r="E693">
        <v>9000</v>
      </c>
      <c r="F693" t="s">
        <v>25</v>
      </c>
      <c r="G693">
        <v>12</v>
      </c>
      <c r="H693" t="s">
        <v>68</v>
      </c>
      <c r="I693">
        <v>18</v>
      </c>
      <c r="J693" s="10">
        <f t="shared" si="10"/>
        <v>12</v>
      </c>
    </row>
    <row r="694" spans="1:10" x14ac:dyDescent="0.2">
      <c r="A694" s="6">
        <v>42404</v>
      </c>
      <c r="B694">
        <v>2001</v>
      </c>
      <c r="C694">
        <v>2530</v>
      </c>
      <c r="D694">
        <v>693</v>
      </c>
      <c r="E694">
        <v>10800</v>
      </c>
      <c r="F694" t="s">
        <v>25</v>
      </c>
      <c r="G694">
        <v>14</v>
      </c>
      <c r="H694" t="s">
        <v>68</v>
      </c>
      <c r="I694">
        <v>18</v>
      </c>
      <c r="J694" s="10">
        <f t="shared" si="10"/>
        <v>14</v>
      </c>
    </row>
    <row r="695" spans="1:10" x14ac:dyDescent="0.2">
      <c r="A695" s="6">
        <v>42709</v>
      </c>
      <c r="B695">
        <v>2003</v>
      </c>
      <c r="C695">
        <v>2532</v>
      </c>
      <c r="D695">
        <v>694</v>
      </c>
      <c r="E695">
        <v>5500</v>
      </c>
      <c r="F695" t="s">
        <v>25</v>
      </c>
      <c r="G695">
        <v>2</v>
      </c>
      <c r="H695" t="s">
        <v>68</v>
      </c>
      <c r="I695">
        <v>16</v>
      </c>
      <c r="J695" s="10">
        <f t="shared" si="10"/>
        <v>2</v>
      </c>
    </row>
    <row r="696" spans="1:10" x14ac:dyDescent="0.2">
      <c r="A696" s="6">
        <v>42578</v>
      </c>
      <c r="B696">
        <v>2002</v>
      </c>
      <c r="C696">
        <v>2546</v>
      </c>
      <c r="D696">
        <v>695</v>
      </c>
      <c r="E696">
        <v>5500</v>
      </c>
      <c r="F696" t="s">
        <v>25</v>
      </c>
      <c r="G696">
        <v>12</v>
      </c>
      <c r="H696" t="s">
        <v>68</v>
      </c>
      <c r="I696">
        <v>17</v>
      </c>
      <c r="J696" s="10">
        <f t="shared" si="10"/>
        <v>12</v>
      </c>
    </row>
    <row r="697" spans="1:10" x14ac:dyDescent="0.2">
      <c r="A697" s="6">
        <v>42536</v>
      </c>
      <c r="B697">
        <v>2002</v>
      </c>
      <c r="C697">
        <v>2546</v>
      </c>
      <c r="D697">
        <v>696</v>
      </c>
      <c r="E697">
        <v>5500</v>
      </c>
      <c r="F697" t="s">
        <v>25</v>
      </c>
      <c r="G697">
        <v>8</v>
      </c>
      <c r="H697" t="s">
        <v>68</v>
      </c>
      <c r="I697">
        <v>17</v>
      </c>
      <c r="J697" s="10">
        <f t="shared" si="10"/>
        <v>8</v>
      </c>
    </row>
    <row r="698" spans="1:10" x14ac:dyDescent="0.2">
      <c r="A698" s="6">
        <v>43480</v>
      </c>
      <c r="B698">
        <v>2001</v>
      </c>
      <c r="C698">
        <v>2550</v>
      </c>
      <c r="D698">
        <v>697</v>
      </c>
      <c r="E698">
        <v>11900</v>
      </c>
      <c r="F698" t="s">
        <v>25</v>
      </c>
      <c r="G698">
        <v>12</v>
      </c>
      <c r="H698" t="s">
        <v>68</v>
      </c>
      <c r="I698">
        <v>18</v>
      </c>
      <c r="J698" s="10">
        <f t="shared" si="10"/>
        <v>12</v>
      </c>
    </row>
    <row r="699" spans="1:10" x14ac:dyDescent="0.2">
      <c r="A699" s="6">
        <v>43171</v>
      </c>
      <c r="B699">
        <v>2001</v>
      </c>
      <c r="C699">
        <v>2550</v>
      </c>
      <c r="D699">
        <v>698</v>
      </c>
      <c r="E699">
        <v>10800</v>
      </c>
      <c r="F699" t="s">
        <v>25</v>
      </c>
      <c r="G699">
        <v>12</v>
      </c>
      <c r="H699" t="s">
        <v>68</v>
      </c>
      <c r="I699">
        <v>18</v>
      </c>
      <c r="J699" s="10">
        <f t="shared" si="10"/>
        <v>12</v>
      </c>
    </row>
    <row r="700" spans="1:10" s="234" customFormat="1" x14ac:dyDescent="0.2">
      <c r="A700" s="233">
        <v>43112</v>
      </c>
      <c r="B700" s="234">
        <v>2001</v>
      </c>
      <c r="C700" s="234">
        <v>2550</v>
      </c>
      <c r="D700" s="234">
        <v>699</v>
      </c>
      <c r="E700" s="234">
        <v>9950</v>
      </c>
      <c r="F700" s="234" t="s">
        <v>25</v>
      </c>
      <c r="G700" s="234">
        <v>12</v>
      </c>
      <c r="H700" s="234" t="s">
        <v>68</v>
      </c>
      <c r="I700" s="234">
        <v>18</v>
      </c>
      <c r="J700" s="235">
        <f t="shared" si="10"/>
        <v>12</v>
      </c>
    </row>
    <row r="701" spans="1:10" x14ac:dyDescent="0.2">
      <c r="A701" s="6">
        <v>43105</v>
      </c>
      <c r="B701">
        <v>2001</v>
      </c>
      <c r="C701">
        <v>2550</v>
      </c>
      <c r="D701">
        <v>700</v>
      </c>
      <c r="E701">
        <v>9950</v>
      </c>
      <c r="F701" t="s">
        <v>25</v>
      </c>
      <c r="G701">
        <v>12</v>
      </c>
      <c r="H701" t="s">
        <v>68</v>
      </c>
      <c r="I701">
        <v>18</v>
      </c>
      <c r="J701" s="10">
        <f t="shared" si="10"/>
        <v>12</v>
      </c>
    </row>
    <row r="702" spans="1:10" x14ac:dyDescent="0.2">
      <c r="A702" s="6">
        <v>43044</v>
      </c>
      <c r="B702">
        <v>2001</v>
      </c>
      <c r="C702">
        <v>2550</v>
      </c>
      <c r="D702">
        <v>701</v>
      </c>
      <c r="E702">
        <v>9600</v>
      </c>
      <c r="F702" t="s">
        <v>25</v>
      </c>
      <c r="G702">
        <v>6</v>
      </c>
      <c r="H702" t="s">
        <v>68</v>
      </c>
      <c r="I702">
        <v>18</v>
      </c>
      <c r="J702" s="10">
        <f t="shared" si="10"/>
        <v>6</v>
      </c>
    </row>
    <row r="703" spans="1:10" x14ac:dyDescent="0.2">
      <c r="A703" s="6">
        <v>42694</v>
      </c>
      <c r="B703">
        <v>2001</v>
      </c>
      <c r="C703">
        <v>2550</v>
      </c>
      <c r="D703">
        <v>702</v>
      </c>
      <c r="E703">
        <v>7500</v>
      </c>
      <c r="F703" t="s">
        <v>25</v>
      </c>
      <c r="G703">
        <v>11</v>
      </c>
      <c r="H703" t="s">
        <v>68</v>
      </c>
      <c r="I703">
        <v>18</v>
      </c>
      <c r="J703" s="10">
        <f t="shared" si="10"/>
        <v>11</v>
      </c>
    </row>
    <row r="704" spans="1:10" x14ac:dyDescent="0.2">
      <c r="A704" s="6">
        <v>42436</v>
      </c>
      <c r="B704">
        <v>2001</v>
      </c>
      <c r="C704">
        <v>2550</v>
      </c>
      <c r="D704">
        <v>703</v>
      </c>
      <c r="E704">
        <v>11000</v>
      </c>
      <c r="F704" t="s">
        <v>25</v>
      </c>
      <c r="G704">
        <v>24</v>
      </c>
      <c r="H704" t="s">
        <v>68</v>
      </c>
      <c r="I704">
        <v>18</v>
      </c>
      <c r="J704" s="10">
        <f t="shared" si="10"/>
        <v>24</v>
      </c>
    </row>
    <row r="705" spans="1:10" x14ac:dyDescent="0.2">
      <c r="A705" s="6">
        <v>43539</v>
      </c>
      <c r="B705">
        <v>2005</v>
      </c>
      <c r="C705">
        <v>2556</v>
      </c>
      <c r="D705">
        <v>704</v>
      </c>
      <c r="E705">
        <v>10500</v>
      </c>
      <c r="F705" t="s">
        <v>25</v>
      </c>
      <c r="G705">
        <v>90</v>
      </c>
      <c r="H705" t="s">
        <v>26</v>
      </c>
      <c r="I705">
        <v>14</v>
      </c>
      <c r="J705" s="10">
        <f t="shared" si="10"/>
        <v>3</v>
      </c>
    </row>
    <row r="706" spans="1:10" x14ac:dyDescent="0.2">
      <c r="A706" s="6">
        <v>43535</v>
      </c>
      <c r="B706">
        <v>2005</v>
      </c>
      <c r="C706">
        <v>2556</v>
      </c>
      <c r="D706">
        <v>705</v>
      </c>
      <c r="E706">
        <v>10500</v>
      </c>
      <c r="F706" t="s">
        <v>25</v>
      </c>
      <c r="G706">
        <v>6</v>
      </c>
      <c r="H706" t="s">
        <v>68</v>
      </c>
      <c r="I706">
        <v>14</v>
      </c>
      <c r="J706" s="10">
        <f t="shared" ref="J706:J769" si="11">IF(H706="days",ROUND(G706/30,0),IF(H706="years",G706*12,G706))</f>
        <v>6</v>
      </c>
    </row>
    <row r="707" spans="1:10" x14ac:dyDescent="0.2">
      <c r="A707" s="6">
        <v>43525</v>
      </c>
      <c r="B707">
        <v>2005</v>
      </c>
      <c r="C707">
        <v>2556</v>
      </c>
      <c r="D707">
        <v>706</v>
      </c>
      <c r="E707">
        <v>10750</v>
      </c>
      <c r="F707" t="s">
        <v>25</v>
      </c>
      <c r="G707">
        <v>7</v>
      </c>
      <c r="H707" t="s">
        <v>68</v>
      </c>
      <c r="I707">
        <v>14</v>
      </c>
      <c r="J707" s="10">
        <f t="shared" si="11"/>
        <v>7</v>
      </c>
    </row>
    <row r="708" spans="1:10" x14ac:dyDescent="0.2">
      <c r="A708" s="6">
        <v>43502</v>
      </c>
      <c r="B708">
        <v>2004</v>
      </c>
      <c r="C708">
        <v>2556</v>
      </c>
      <c r="D708">
        <v>707</v>
      </c>
      <c r="E708">
        <v>10950</v>
      </c>
      <c r="F708" t="s">
        <v>25</v>
      </c>
      <c r="G708">
        <v>6</v>
      </c>
      <c r="H708" t="s">
        <v>68</v>
      </c>
      <c r="I708">
        <v>15</v>
      </c>
      <c r="J708" s="10">
        <f t="shared" si="11"/>
        <v>6</v>
      </c>
    </row>
    <row r="709" spans="1:10" x14ac:dyDescent="0.2">
      <c r="A709" s="6">
        <v>43444</v>
      </c>
      <c r="B709">
        <v>2004</v>
      </c>
      <c r="C709">
        <v>2556</v>
      </c>
      <c r="D709">
        <v>708</v>
      </c>
      <c r="E709">
        <v>10900</v>
      </c>
      <c r="F709" t="s">
        <v>25</v>
      </c>
      <c r="G709">
        <v>6</v>
      </c>
      <c r="H709" t="s">
        <v>68</v>
      </c>
      <c r="I709">
        <v>15</v>
      </c>
      <c r="J709" s="10">
        <f t="shared" si="11"/>
        <v>6</v>
      </c>
    </row>
    <row r="710" spans="1:10" x14ac:dyDescent="0.2">
      <c r="A710" s="6">
        <v>43304</v>
      </c>
      <c r="B710">
        <v>2003</v>
      </c>
      <c r="C710">
        <v>2556</v>
      </c>
      <c r="D710">
        <v>709</v>
      </c>
      <c r="E710">
        <v>12500</v>
      </c>
      <c r="F710" t="s">
        <v>25</v>
      </c>
      <c r="G710">
        <v>15</v>
      </c>
      <c r="H710" t="s">
        <v>68</v>
      </c>
      <c r="I710">
        <v>16</v>
      </c>
      <c r="J710" s="10">
        <f t="shared" si="11"/>
        <v>15</v>
      </c>
    </row>
    <row r="711" spans="1:10" x14ac:dyDescent="0.2">
      <c r="A711" s="6">
        <v>43292</v>
      </c>
      <c r="B711">
        <v>2004</v>
      </c>
      <c r="C711">
        <v>2556</v>
      </c>
      <c r="D711">
        <v>710</v>
      </c>
      <c r="E711">
        <v>12350</v>
      </c>
      <c r="F711" t="s">
        <v>25</v>
      </c>
      <c r="G711">
        <v>9</v>
      </c>
      <c r="H711" t="s">
        <v>68</v>
      </c>
      <c r="I711">
        <v>15</v>
      </c>
      <c r="J711" s="10">
        <f t="shared" si="11"/>
        <v>9</v>
      </c>
    </row>
    <row r="712" spans="1:10" x14ac:dyDescent="0.2">
      <c r="A712" s="6">
        <v>43241</v>
      </c>
      <c r="B712">
        <v>2005</v>
      </c>
      <c r="C712">
        <v>2556</v>
      </c>
      <c r="D712">
        <v>711</v>
      </c>
      <c r="E712">
        <v>12200</v>
      </c>
      <c r="F712" t="s">
        <v>25</v>
      </c>
      <c r="G712">
        <v>11</v>
      </c>
      <c r="H712" t="s">
        <v>68</v>
      </c>
      <c r="I712">
        <v>14</v>
      </c>
      <c r="J712" s="10">
        <f t="shared" si="11"/>
        <v>11</v>
      </c>
    </row>
    <row r="713" spans="1:10" x14ac:dyDescent="0.2">
      <c r="A713" s="6">
        <v>43225</v>
      </c>
      <c r="B713">
        <v>2004</v>
      </c>
      <c r="C713">
        <v>2556</v>
      </c>
      <c r="D713">
        <v>712</v>
      </c>
      <c r="E713">
        <v>12250</v>
      </c>
      <c r="F713" t="s">
        <v>25</v>
      </c>
      <c r="G713">
        <v>9</v>
      </c>
      <c r="H713" t="s">
        <v>68</v>
      </c>
      <c r="I713">
        <v>15</v>
      </c>
      <c r="J713" s="10">
        <f t="shared" si="11"/>
        <v>9</v>
      </c>
    </row>
    <row r="714" spans="1:10" x14ac:dyDescent="0.2">
      <c r="A714" s="6">
        <v>43159</v>
      </c>
      <c r="B714">
        <v>2005</v>
      </c>
      <c r="C714">
        <v>2556</v>
      </c>
      <c r="D714">
        <v>713</v>
      </c>
      <c r="E714">
        <v>11000</v>
      </c>
      <c r="F714" t="s">
        <v>25</v>
      </c>
      <c r="G714">
        <v>12</v>
      </c>
      <c r="H714" t="s">
        <v>68</v>
      </c>
      <c r="I714">
        <v>14</v>
      </c>
      <c r="J714" s="10">
        <f t="shared" si="11"/>
        <v>12</v>
      </c>
    </row>
    <row r="715" spans="1:10" x14ac:dyDescent="0.2">
      <c r="A715" s="6">
        <v>43117</v>
      </c>
      <c r="B715">
        <v>2004</v>
      </c>
      <c r="C715">
        <v>2556</v>
      </c>
      <c r="D715">
        <v>714</v>
      </c>
      <c r="E715">
        <v>9950</v>
      </c>
      <c r="F715" t="s">
        <v>25</v>
      </c>
      <c r="G715">
        <v>12</v>
      </c>
      <c r="H715" t="s">
        <v>68</v>
      </c>
      <c r="I715">
        <v>15</v>
      </c>
      <c r="J715" s="10">
        <f t="shared" si="11"/>
        <v>12</v>
      </c>
    </row>
    <row r="716" spans="1:10" x14ac:dyDescent="0.2">
      <c r="A716" s="6">
        <v>43084</v>
      </c>
      <c r="B716">
        <v>2005</v>
      </c>
      <c r="C716">
        <v>2556</v>
      </c>
      <c r="D716">
        <v>715</v>
      </c>
      <c r="E716">
        <v>9800</v>
      </c>
      <c r="F716" t="s">
        <v>25</v>
      </c>
      <c r="G716">
        <v>12</v>
      </c>
      <c r="H716" t="s">
        <v>68</v>
      </c>
      <c r="I716">
        <v>14</v>
      </c>
      <c r="J716" s="10">
        <f t="shared" si="11"/>
        <v>12</v>
      </c>
    </row>
    <row r="717" spans="1:10" x14ac:dyDescent="0.2">
      <c r="A717" s="6">
        <v>42972</v>
      </c>
      <c r="B717">
        <v>2004</v>
      </c>
      <c r="C717">
        <v>2556</v>
      </c>
      <c r="D717">
        <v>716</v>
      </c>
      <c r="E717">
        <v>9750</v>
      </c>
      <c r="F717" t="s">
        <v>25</v>
      </c>
      <c r="G717">
        <v>12</v>
      </c>
      <c r="H717" t="s">
        <v>68</v>
      </c>
      <c r="I717">
        <v>15</v>
      </c>
      <c r="J717" s="10">
        <f t="shared" si="11"/>
        <v>12</v>
      </c>
    </row>
    <row r="718" spans="1:10" x14ac:dyDescent="0.2">
      <c r="A718" s="6">
        <v>42933</v>
      </c>
      <c r="B718">
        <v>2004</v>
      </c>
      <c r="C718">
        <v>2556</v>
      </c>
      <c r="D718">
        <v>717</v>
      </c>
      <c r="E718">
        <v>9000</v>
      </c>
      <c r="F718" t="s">
        <v>25</v>
      </c>
      <c r="G718">
        <v>11</v>
      </c>
      <c r="H718" t="s">
        <v>68</v>
      </c>
      <c r="I718">
        <v>15</v>
      </c>
      <c r="J718" s="10">
        <f t="shared" si="11"/>
        <v>11</v>
      </c>
    </row>
    <row r="719" spans="1:10" x14ac:dyDescent="0.2">
      <c r="A719" s="6">
        <v>42914</v>
      </c>
      <c r="B719">
        <v>2004</v>
      </c>
      <c r="C719">
        <v>2556</v>
      </c>
      <c r="D719">
        <v>718</v>
      </c>
      <c r="E719">
        <v>9150</v>
      </c>
      <c r="F719" t="s">
        <v>25</v>
      </c>
      <c r="G719">
        <v>11</v>
      </c>
      <c r="H719" t="s">
        <v>68</v>
      </c>
      <c r="I719">
        <v>15</v>
      </c>
      <c r="J719" s="10">
        <f t="shared" si="11"/>
        <v>11</v>
      </c>
    </row>
    <row r="720" spans="1:10" x14ac:dyDescent="0.2">
      <c r="A720" s="6">
        <v>42885</v>
      </c>
      <c r="B720">
        <v>2005</v>
      </c>
      <c r="C720">
        <v>2556</v>
      </c>
      <c r="D720">
        <v>719</v>
      </c>
      <c r="E720">
        <v>10250</v>
      </c>
      <c r="F720" t="s">
        <v>25</v>
      </c>
      <c r="G720">
        <v>12</v>
      </c>
      <c r="H720" t="s">
        <v>68</v>
      </c>
      <c r="I720">
        <v>14</v>
      </c>
      <c r="J720" s="10">
        <f t="shared" si="11"/>
        <v>12</v>
      </c>
    </row>
    <row r="721" spans="1:10" x14ac:dyDescent="0.2">
      <c r="A721" s="6">
        <v>42788</v>
      </c>
      <c r="B721">
        <v>2003</v>
      </c>
      <c r="C721">
        <v>2556</v>
      </c>
      <c r="D721">
        <v>720</v>
      </c>
      <c r="E721">
        <v>9500</v>
      </c>
      <c r="F721" t="s">
        <v>25</v>
      </c>
      <c r="G721">
        <v>15</v>
      </c>
      <c r="H721" t="s">
        <v>68</v>
      </c>
      <c r="I721">
        <v>16</v>
      </c>
      <c r="J721" s="10">
        <f t="shared" si="11"/>
        <v>15</v>
      </c>
    </row>
    <row r="722" spans="1:10" x14ac:dyDescent="0.2">
      <c r="A722" s="6">
        <v>42786</v>
      </c>
      <c r="B722">
        <v>2003</v>
      </c>
      <c r="C722">
        <v>2556</v>
      </c>
      <c r="D722">
        <v>721</v>
      </c>
      <c r="E722">
        <v>8500</v>
      </c>
      <c r="F722" t="s">
        <v>25</v>
      </c>
      <c r="G722">
        <v>9</v>
      </c>
      <c r="H722" t="s">
        <v>68</v>
      </c>
      <c r="I722">
        <v>16</v>
      </c>
      <c r="J722" s="10">
        <f t="shared" si="11"/>
        <v>9</v>
      </c>
    </row>
    <row r="723" spans="1:10" x14ac:dyDescent="0.2">
      <c r="A723" s="6">
        <v>42765</v>
      </c>
      <c r="B723">
        <v>2005</v>
      </c>
      <c r="C723">
        <v>2556</v>
      </c>
      <c r="D723">
        <v>722</v>
      </c>
      <c r="E723">
        <v>8000</v>
      </c>
      <c r="F723" t="s">
        <v>25</v>
      </c>
      <c r="G723">
        <v>12</v>
      </c>
      <c r="H723" t="s">
        <v>68</v>
      </c>
      <c r="I723">
        <v>14</v>
      </c>
      <c r="J723" s="10">
        <f t="shared" si="11"/>
        <v>12</v>
      </c>
    </row>
    <row r="724" spans="1:10" x14ac:dyDescent="0.2">
      <c r="A724" s="6">
        <v>42726</v>
      </c>
      <c r="B724">
        <v>2003</v>
      </c>
      <c r="C724">
        <v>2556</v>
      </c>
      <c r="D724">
        <v>723</v>
      </c>
      <c r="E724">
        <v>8500</v>
      </c>
      <c r="F724" t="s">
        <v>25</v>
      </c>
      <c r="G724">
        <v>6</v>
      </c>
      <c r="H724" t="s">
        <v>68</v>
      </c>
      <c r="I724">
        <v>16</v>
      </c>
      <c r="J724" s="10">
        <f t="shared" si="11"/>
        <v>6</v>
      </c>
    </row>
    <row r="725" spans="1:10" x14ac:dyDescent="0.2">
      <c r="A725" s="6">
        <v>42633</v>
      </c>
      <c r="B725">
        <v>2004</v>
      </c>
      <c r="C725">
        <v>2556</v>
      </c>
      <c r="D725">
        <v>724</v>
      </c>
      <c r="E725">
        <v>9800</v>
      </c>
      <c r="F725" t="s">
        <v>25</v>
      </c>
      <c r="G725">
        <v>12</v>
      </c>
      <c r="H725" t="s">
        <v>68</v>
      </c>
      <c r="I725">
        <v>15</v>
      </c>
      <c r="J725" s="10">
        <f t="shared" si="11"/>
        <v>12</v>
      </c>
    </row>
    <row r="726" spans="1:10" x14ac:dyDescent="0.2">
      <c r="A726" s="6">
        <v>42370</v>
      </c>
      <c r="B726">
        <v>2004</v>
      </c>
      <c r="C726">
        <v>2556</v>
      </c>
      <c r="D726">
        <v>725</v>
      </c>
      <c r="E726">
        <v>11800</v>
      </c>
      <c r="F726" t="s">
        <v>25</v>
      </c>
      <c r="G726">
        <v>24</v>
      </c>
      <c r="H726" t="s">
        <v>68</v>
      </c>
      <c r="I726">
        <v>15</v>
      </c>
      <c r="J726" s="10">
        <f t="shared" si="11"/>
        <v>24</v>
      </c>
    </row>
    <row r="727" spans="1:10" x14ac:dyDescent="0.2">
      <c r="A727" s="6">
        <v>43579</v>
      </c>
      <c r="B727">
        <v>2005</v>
      </c>
      <c r="C727">
        <v>2577</v>
      </c>
      <c r="D727">
        <v>726</v>
      </c>
      <c r="E727">
        <v>8000</v>
      </c>
      <c r="F727" t="s">
        <v>25</v>
      </c>
      <c r="G727">
        <v>11</v>
      </c>
      <c r="H727" t="s">
        <v>68</v>
      </c>
      <c r="I727">
        <v>14</v>
      </c>
      <c r="J727" s="10">
        <f t="shared" si="11"/>
        <v>11</v>
      </c>
    </row>
    <row r="728" spans="1:10" x14ac:dyDescent="0.2">
      <c r="A728" s="6">
        <v>43578</v>
      </c>
      <c r="B728">
        <v>2005</v>
      </c>
      <c r="C728">
        <v>2577</v>
      </c>
      <c r="D728">
        <v>727</v>
      </c>
      <c r="E728">
        <v>8000</v>
      </c>
      <c r="F728" t="s">
        <v>25</v>
      </c>
      <c r="G728">
        <v>11</v>
      </c>
      <c r="H728" t="s">
        <v>68</v>
      </c>
      <c r="I728">
        <v>14</v>
      </c>
      <c r="J728" s="10">
        <f t="shared" si="11"/>
        <v>11</v>
      </c>
    </row>
    <row r="729" spans="1:10" x14ac:dyDescent="0.2">
      <c r="A729" s="6">
        <v>43549</v>
      </c>
      <c r="B729">
        <v>2005</v>
      </c>
      <c r="C729">
        <v>2577</v>
      </c>
      <c r="D729">
        <v>728</v>
      </c>
      <c r="E729">
        <v>7500</v>
      </c>
      <c r="F729" t="s">
        <v>25</v>
      </c>
      <c r="G729">
        <v>6</v>
      </c>
      <c r="H729" t="s">
        <v>68</v>
      </c>
      <c r="I729">
        <v>14</v>
      </c>
      <c r="J729" s="10">
        <f t="shared" si="11"/>
        <v>6</v>
      </c>
    </row>
    <row r="730" spans="1:10" x14ac:dyDescent="0.2">
      <c r="A730" s="6">
        <v>43451</v>
      </c>
      <c r="B730">
        <v>2005</v>
      </c>
      <c r="C730">
        <v>2577</v>
      </c>
      <c r="D730">
        <v>729</v>
      </c>
      <c r="E730">
        <v>8350</v>
      </c>
      <c r="F730" t="s">
        <v>25</v>
      </c>
      <c r="G730">
        <v>50</v>
      </c>
      <c r="H730" t="s">
        <v>26</v>
      </c>
      <c r="I730">
        <v>14</v>
      </c>
      <c r="J730" s="10">
        <f t="shared" si="11"/>
        <v>2</v>
      </c>
    </row>
    <row r="731" spans="1:10" x14ac:dyDescent="0.2">
      <c r="A731" s="6">
        <v>43168</v>
      </c>
      <c r="B731">
        <v>2005</v>
      </c>
      <c r="C731">
        <v>2577</v>
      </c>
      <c r="D731">
        <v>730</v>
      </c>
      <c r="E731">
        <v>9000</v>
      </c>
      <c r="F731" t="s">
        <v>25</v>
      </c>
      <c r="G731">
        <v>8</v>
      </c>
      <c r="H731" t="s">
        <v>68</v>
      </c>
      <c r="I731">
        <v>14</v>
      </c>
      <c r="J731" s="10">
        <f t="shared" si="11"/>
        <v>8</v>
      </c>
    </row>
    <row r="732" spans="1:10" x14ac:dyDescent="0.2">
      <c r="A732" s="6">
        <v>43039</v>
      </c>
      <c r="B732">
        <v>2005</v>
      </c>
      <c r="C732">
        <v>2577</v>
      </c>
      <c r="D732">
        <v>731</v>
      </c>
      <c r="E732">
        <v>8400</v>
      </c>
      <c r="F732" t="s">
        <v>25</v>
      </c>
      <c r="G732">
        <v>8</v>
      </c>
      <c r="H732" t="s">
        <v>68</v>
      </c>
      <c r="I732">
        <v>14</v>
      </c>
      <c r="J732" s="10">
        <f t="shared" si="11"/>
        <v>8</v>
      </c>
    </row>
    <row r="733" spans="1:10" x14ac:dyDescent="0.2">
      <c r="A733" s="6">
        <v>42968</v>
      </c>
      <c r="B733">
        <v>2005</v>
      </c>
      <c r="C733">
        <v>2577</v>
      </c>
      <c r="D733">
        <v>732</v>
      </c>
      <c r="E733">
        <v>8500</v>
      </c>
      <c r="F733" t="s">
        <v>25</v>
      </c>
      <c r="G733">
        <v>7</v>
      </c>
      <c r="H733" t="s">
        <v>68</v>
      </c>
      <c r="I733">
        <v>14</v>
      </c>
      <c r="J733" s="10">
        <f t="shared" si="11"/>
        <v>7</v>
      </c>
    </row>
    <row r="734" spans="1:10" x14ac:dyDescent="0.2">
      <c r="A734" s="6">
        <v>42688</v>
      </c>
      <c r="B734">
        <v>2005</v>
      </c>
      <c r="C734">
        <v>2577</v>
      </c>
      <c r="D734">
        <v>733</v>
      </c>
      <c r="E734">
        <v>5500</v>
      </c>
      <c r="F734" t="s">
        <v>25</v>
      </c>
      <c r="G734">
        <v>10</v>
      </c>
      <c r="H734" t="s">
        <v>68</v>
      </c>
      <c r="I734">
        <v>14</v>
      </c>
      <c r="J734" s="10">
        <f t="shared" si="11"/>
        <v>10</v>
      </c>
    </row>
    <row r="735" spans="1:10" x14ac:dyDescent="0.2">
      <c r="A735" s="6">
        <v>42662</v>
      </c>
      <c r="B735">
        <v>2005</v>
      </c>
      <c r="C735">
        <v>2577</v>
      </c>
      <c r="D735">
        <v>734</v>
      </c>
      <c r="E735">
        <v>5300</v>
      </c>
      <c r="F735" t="s">
        <v>25</v>
      </c>
      <c r="G735">
        <v>12</v>
      </c>
      <c r="H735" t="s">
        <v>68</v>
      </c>
      <c r="I735">
        <v>14</v>
      </c>
      <c r="J735" s="10">
        <f t="shared" si="11"/>
        <v>12</v>
      </c>
    </row>
    <row r="736" spans="1:10" x14ac:dyDescent="0.2">
      <c r="A736" s="6">
        <v>42394</v>
      </c>
      <c r="B736">
        <v>2005</v>
      </c>
      <c r="C736">
        <v>2577</v>
      </c>
      <c r="D736">
        <v>735</v>
      </c>
      <c r="E736">
        <v>6000</v>
      </c>
      <c r="F736" t="s">
        <v>25</v>
      </c>
      <c r="G736">
        <v>10</v>
      </c>
      <c r="H736" t="s">
        <v>68</v>
      </c>
      <c r="I736">
        <v>14</v>
      </c>
      <c r="J736" s="10">
        <f t="shared" si="11"/>
        <v>10</v>
      </c>
    </row>
    <row r="737" spans="1:10" x14ac:dyDescent="0.2">
      <c r="A737" s="6">
        <v>43023</v>
      </c>
      <c r="B737">
        <v>2004</v>
      </c>
      <c r="C737">
        <v>2586</v>
      </c>
      <c r="D737">
        <v>736</v>
      </c>
      <c r="E737">
        <v>8700</v>
      </c>
      <c r="F737" t="s">
        <v>25</v>
      </c>
      <c r="G737">
        <v>8</v>
      </c>
      <c r="H737" t="s">
        <v>68</v>
      </c>
      <c r="I737">
        <v>15</v>
      </c>
      <c r="J737" s="10">
        <f t="shared" si="11"/>
        <v>8</v>
      </c>
    </row>
    <row r="738" spans="1:10" x14ac:dyDescent="0.2">
      <c r="A738" s="6">
        <v>42619</v>
      </c>
      <c r="B738">
        <v>2003</v>
      </c>
      <c r="C738">
        <v>2586</v>
      </c>
      <c r="D738">
        <v>737</v>
      </c>
      <c r="E738">
        <v>6200</v>
      </c>
      <c r="F738" t="s">
        <v>25</v>
      </c>
      <c r="G738">
        <v>40</v>
      </c>
      <c r="H738" t="s">
        <v>26</v>
      </c>
      <c r="I738">
        <v>16</v>
      </c>
      <c r="J738" s="10">
        <f t="shared" si="11"/>
        <v>1</v>
      </c>
    </row>
    <row r="739" spans="1:10" x14ac:dyDescent="0.2">
      <c r="A739" s="6">
        <v>42571</v>
      </c>
      <c r="B739">
        <v>2003</v>
      </c>
      <c r="C739">
        <v>2586</v>
      </c>
      <c r="D739">
        <v>738</v>
      </c>
      <c r="E739">
        <v>5500</v>
      </c>
      <c r="F739" t="s">
        <v>25</v>
      </c>
      <c r="G739">
        <v>12</v>
      </c>
      <c r="H739" t="s">
        <v>68</v>
      </c>
      <c r="I739">
        <v>16</v>
      </c>
      <c r="J739" s="10">
        <f t="shared" si="11"/>
        <v>12</v>
      </c>
    </row>
    <row r="740" spans="1:10" x14ac:dyDescent="0.2">
      <c r="A740" s="6">
        <v>42459</v>
      </c>
      <c r="B740">
        <v>2003</v>
      </c>
      <c r="C740">
        <v>2586</v>
      </c>
      <c r="D740">
        <v>739</v>
      </c>
      <c r="E740">
        <v>6150</v>
      </c>
      <c r="F740" t="s">
        <v>25</v>
      </c>
      <c r="G740">
        <v>7</v>
      </c>
      <c r="H740" t="s">
        <v>68</v>
      </c>
      <c r="I740">
        <v>16</v>
      </c>
      <c r="J740" s="10">
        <f t="shared" si="11"/>
        <v>7</v>
      </c>
    </row>
    <row r="741" spans="1:10" x14ac:dyDescent="0.2">
      <c r="A741" s="6">
        <v>43473</v>
      </c>
      <c r="B741">
        <v>2005</v>
      </c>
      <c r="C741">
        <v>2602</v>
      </c>
      <c r="D741">
        <v>740</v>
      </c>
      <c r="E741">
        <v>8300</v>
      </c>
      <c r="F741" t="s">
        <v>25</v>
      </c>
      <c r="G741">
        <v>56</v>
      </c>
      <c r="H741" t="s">
        <v>26</v>
      </c>
      <c r="I741">
        <v>14</v>
      </c>
      <c r="J741" s="10">
        <f t="shared" si="11"/>
        <v>2</v>
      </c>
    </row>
    <row r="742" spans="1:10" x14ac:dyDescent="0.2">
      <c r="A742" s="6">
        <v>43426</v>
      </c>
      <c r="B742">
        <v>2005</v>
      </c>
      <c r="C742">
        <v>2602</v>
      </c>
      <c r="D742">
        <v>741</v>
      </c>
      <c r="E742">
        <v>9200</v>
      </c>
      <c r="F742" t="s">
        <v>25</v>
      </c>
      <c r="G742">
        <v>42</v>
      </c>
      <c r="H742" t="s">
        <v>26</v>
      </c>
      <c r="I742">
        <v>14</v>
      </c>
      <c r="J742" s="10">
        <f t="shared" si="11"/>
        <v>1</v>
      </c>
    </row>
    <row r="743" spans="1:10" x14ac:dyDescent="0.2">
      <c r="A743" s="6">
        <v>43292</v>
      </c>
      <c r="B743">
        <v>2005</v>
      </c>
      <c r="C743">
        <v>2602</v>
      </c>
      <c r="D743">
        <v>742</v>
      </c>
      <c r="E743">
        <v>11250</v>
      </c>
      <c r="F743" t="s">
        <v>25</v>
      </c>
      <c r="G743">
        <v>4</v>
      </c>
      <c r="H743" t="s">
        <v>68</v>
      </c>
      <c r="I743">
        <v>14</v>
      </c>
      <c r="J743" s="10">
        <f t="shared" si="11"/>
        <v>4</v>
      </c>
    </row>
    <row r="744" spans="1:10" x14ac:dyDescent="0.2">
      <c r="A744" s="6">
        <v>42936</v>
      </c>
      <c r="B744">
        <v>2005</v>
      </c>
      <c r="C744">
        <v>2602</v>
      </c>
      <c r="D744">
        <v>743</v>
      </c>
      <c r="E744">
        <v>8500</v>
      </c>
      <c r="F744" t="s">
        <v>25</v>
      </c>
      <c r="G744">
        <v>120</v>
      </c>
      <c r="H744" t="s">
        <v>26</v>
      </c>
      <c r="I744">
        <v>14</v>
      </c>
      <c r="J744" s="10">
        <f t="shared" si="11"/>
        <v>4</v>
      </c>
    </row>
    <row r="745" spans="1:10" x14ac:dyDescent="0.2">
      <c r="A745" s="6">
        <v>42758</v>
      </c>
      <c r="B745">
        <v>2005</v>
      </c>
      <c r="C745">
        <v>2602</v>
      </c>
      <c r="D745">
        <v>744</v>
      </c>
      <c r="E745">
        <v>6250</v>
      </c>
      <c r="F745" t="s">
        <v>25</v>
      </c>
      <c r="G745">
        <v>6</v>
      </c>
      <c r="H745" t="s">
        <v>68</v>
      </c>
      <c r="I745">
        <v>14</v>
      </c>
      <c r="J745" s="10">
        <f t="shared" si="11"/>
        <v>6</v>
      </c>
    </row>
    <row r="746" spans="1:10" x14ac:dyDescent="0.2">
      <c r="A746" s="6">
        <v>42716</v>
      </c>
      <c r="B746">
        <v>2005</v>
      </c>
      <c r="C746">
        <v>2602</v>
      </c>
      <c r="D746">
        <v>745</v>
      </c>
      <c r="E746">
        <v>6450</v>
      </c>
      <c r="F746" t="s">
        <v>25</v>
      </c>
      <c r="G746">
        <v>56</v>
      </c>
      <c r="H746" t="s">
        <v>26</v>
      </c>
      <c r="I746">
        <v>14</v>
      </c>
      <c r="J746" s="10">
        <f t="shared" si="11"/>
        <v>2</v>
      </c>
    </row>
    <row r="747" spans="1:10" x14ac:dyDescent="0.2">
      <c r="A747" s="6">
        <v>42612</v>
      </c>
      <c r="B747">
        <v>2005</v>
      </c>
      <c r="C747">
        <v>2602</v>
      </c>
      <c r="D747">
        <v>746</v>
      </c>
      <c r="E747">
        <v>5950</v>
      </c>
      <c r="F747" t="s">
        <v>25</v>
      </c>
      <c r="G747">
        <v>6</v>
      </c>
      <c r="H747" t="s">
        <v>68</v>
      </c>
      <c r="I747">
        <v>14</v>
      </c>
      <c r="J747" s="10">
        <f t="shared" si="11"/>
        <v>6</v>
      </c>
    </row>
    <row r="748" spans="1:10" x14ac:dyDescent="0.2">
      <c r="A748" s="6">
        <v>42401</v>
      </c>
      <c r="B748">
        <v>2002</v>
      </c>
      <c r="C748">
        <v>2602</v>
      </c>
      <c r="D748">
        <v>747</v>
      </c>
      <c r="E748">
        <v>6000</v>
      </c>
      <c r="F748" t="s">
        <v>25</v>
      </c>
      <c r="G748">
        <v>9</v>
      </c>
      <c r="H748" t="s">
        <v>68</v>
      </c>
      <c r="I748">
        <v>17</v>
      </c>
      <c r="J748" s="10">
        <f t="shared" si="11"/>
        <v>9</v>
      </c>
    </row>
    <row r="749" spans="1:10" x14ac:dyDescent="0.2">
      <c r="A749" s="6">
        <v>42941</v>
      </c>
      <c r="B749">
        <v>2001</v>
      </c>
      <c r="C749">
        <v>2670</v>
      </c>
      <c r="D749">
        <v>748</v>
      </c>
      <c r="E749">
        <v>8000</v>
      </c>
      <c r="F749" t="s">
        <v>25</v>
      </c>
      <c r="G749">
        <v>7</v>
      </c>
      <c r="H749" t="s">
        <v>68</v>
      </c>
      <c r="I749">
        <v>18</v>
      </c>
      <c r="J749" s="10">
        <f t="shared" si="11"/>
        <v>7</v>
      </c>
    </row>
    <row r="750" spans="1:10" x14ac:dyDescent="0.2">
      <c r="A750" s="6">
        <v>42683</v>
      </c>
      <c r="B750">
        <v>2001</v>
      </c>
      <c r="C750">
        <v>2670</v>
      </c>
      <c r="D750">
        <v>749</v>
      </c>
      <c r="E750">
        <v>5700</v>
      </c>
      <c r="F750" t="s">
        <v>25</v>
      </c>
      <c r="G750">
        <v>9</v>
      </c>
      <c r="H750" t="s">
        <v>68</v>
      </c>
      <c r="I750">
        <v>18</v>
      </c>
      <c r="J750" s="10">
        <f t="shared" si="11"/>
        <v>9</v>
      </c>
    </row>
    <row r="751" spans="1:10" x14ac:dyDescent="0.2">
      <c r="A751" s="6">
        <v>42618</v>
      </c>
      <c r="B751">
        <v>2001</v>
      </c>
      <c r="C751">
        <v>2670</v>
      </c>
      <c r="D751">
        <v>750</v>
      </c>
      <c r="E751">
        <v>6000</v>
      </c>
      <c r="F751" t="s">
        <v>25</v>
      </c>
      <c r="G751">
        <v>6</v>
      </c>
      <c r="H751" t="s">
        <v>68</v>
      </c>
      <c r="I751">
        <v>18</v>
      </c>
      <c r="J751" s="10">
        <f t="shared" si="11"/>
        <v>6</v>
      </c>
    </row>
    <row r="752" spans="1:10" x14ac:dyDescent="0.2">
      <c r="A752" s="6">
        <v>42438</v>
      </c>
      <c r="B752">
        <v>2002</v>
      </c>
      <c r="C752">
        <v>2670</v>
      </c>
      <c r="D752">
        <v>751</v>
      </c>
      <c r="E752">
        <v>6200</v>
      </c>
      <c r="F752" t="s">
        <v>25</v>
      </c>
      <c r="G752">
        <v>10</v>
      </c>
      <c r="H752" t="s">
        <v>68</v>
      </c>
      <c r="I752">
        <v>17</v>
      </c>
      <c r="J752" s="10">
        <f t="shared" si="11"/>
        <v>10</v>
      </c>
    </row>
    <row r="753" spans="1:10" x14ac:dyDescent="0.2">
      <c r="A753" s="6">
        <v>43419</v>
      </c>
      <c r="B753">
        <v>2004</v>
      </c>
      <c r="C753">
        <v>2672</v>
      </c>
      <c r="D753">
        <v>752</v>
      </c>
      <c r="E753">
        <v>9800</v>
      </c>
      <c r="F753" t="s">
        <v>25</v>
      </c>
      <c r="G753">
        <v>13</v>
      </c>
      <c r="H753" t="s">
        <v>68</v>
      </c>
      <c r="I753">
        <v>15</v>
      </c>
      <c r="J753" s="10">
        <f t="shared" si="11"/>
        <v>13</v>
      </c>
    </row>
    <row r="754" spans="1:10" x14ac:dyDescent="0.2">
      <c r="A754" s="6">
        <v>42695</v>
      </c>
      <c r="B754">
        <v>2004</v>
      </c>
      <c r="C754">
        <v>2672</v>
      </c>
      <c r="D754">
        <v>753</v>
      </c>
      <c r="E754">
        <v>5700</v>
      </c>
      <c r="F754" t="s">
        <v>25</v>
      </c>
      <c r="G754">
        <v>6</v>
      </c>
      <c r="H754" t="s">
        <v>68</v>
      </c>
      <c r="I754">
        <v>15</v>
      </c>
      <c r="J754" s="10">
        <f t="shared" si="11"/>
        <v>6</v>
      </c>
    </row>
    <row r="755" spans="1:10" x14ac:dyDescent="0.2">
      <c r="A755" s="6">
        <v>42633</v>
      </c>
      <c r="B755">
        <v>2004</v>
      </c>
      <c r="C755">
        <v>2672</v>
      </c>
      <c r="D755">
        <v>754</v>
      </c>
      <c r="E755">
        <v>6000</v>
      </c>
      <c r="F755" t="s">
        <v>25</v>
      </c>
      <c r="G755">
        <v>3</v>
      </c>
      <c r="H755" t="s">
        <v>68</v>
      </c>
      <c r="I755">
        <v>15</v>
      </c>
      <c r="J755" s="10">
        <f t="shared" si="11"/>
        <v>3</v>
      </c>
    </row>
    <row r="756" spans="1:10" x14ac:dyDescent="0.2">
      <c r="A756" s="6">
        <v>42506</v>
      </c>
      <c r="B756">
        <v>2001</v>
      </c>
      <c r="C756">
        <v>2672</v>
      </c>
      <c r="D756">
        <v>755</v>
      </c>
      <c r="E756">
        <v>6000</v>
      </c>
      <c r="F756" t="s">
        <v>25</v>
      </c>
      <c r="G756">
        <v>30</v>
      </c>
      <c r="H756" t="s">
        <v>26</v>
      </c>
      <c r="I756">
        <v>18</v>
      </c>
      <c r="J756" s="10">
        <f t="shared" si="11"/>
        <v>1</v>
      </c>
    </row>
    <row r="757" spans="1:10" x14ac:dyDescent="0.2">
      <c r="A757" s="6">
        <v>42491</v>
      </c>
      <c r="B757">
        <v>2001</v>
      </c>
      <c r="C757">
        <v>2681</v>
      </c>
      <c r="D757">
        <v>756</v>
      </c>
      <c r="E757">
        <v>6000</v>
      </c>
      <c r="F757" t="s">
        <v>25</v>
      </c>
      <c r="G757">
        <v>10</v>
      </c>
      <c r="H757" t="s">
        <v>68</v>
      </c>
      <c r="I757">
        <v>18</v>
      </c>
      <c r="J757" s="10">
        <f t="shared" si="11"/>
        <v>10</v>
      </c>
    </row>
    <row r="758" spans="1:10" x14ac:dyDescent="0.2">
      <c r="A758" s="6">
        <v>42650</v>
      </c>
      <c r="B758">
        <v>2005</v>
      </c>
      <c r="C758">
        <v>2700</v>
      </c>
      <c r="D758">
        <v>757</v>
      </c>
      <c r="E758">
        <v>6500</v>
      </c>
      <c r="F758" t="s">
        <v>25</v>
      </c>
      <c r="G758">
        <v>12</v>
      </c>
      <c r="H758" t="s">
        <v>68</v>
      </c>
      <c r="I758">
        <v>14</v>
      </c>
      <c r="J758" s="10">
        <f t="shared" si="11"/>
        <v>12</v>
      </c>
    </row>
    <row r="759" spans="1:10" x14ac:dyDescent="0.2">
      <c r="A759" s="6">
        <v>43587</v>
      </c>
      <c r="B759">
        <v>2005</v>
      </c>
      <c r="C759">
        <v>2702</v>
      </c>
      <c r="D759">
        <v>758</v>
      </c>
      <c r="E759">
        <v>9000</v>
      </c>
      <c r="F759" t="s">
        <v>25</v>
      </c>
      <c r="G759">
        <v>42</v>
      </c>
      <c r="H759" t="s">
        <v>26</v>
      </c>
      <c r="I759">
        <v>14</v>
      </c>
      <c r="J759" s="10">
        <f t="shared" si="11"/>
        <v>1</v>
      </c>
    </row>
    <row r="760" spans="1:10" x14ac:dyDescent="0.2">
      <c r="A760" s="6">
        <v>43563</v>
      </c>
      <c r="B760">
        <v>2004</v>
      </c>
      <c r="C760">
        <v>2702</v>
      </c>
      <c r="D760">
        <v>759</v>
      </c>
      <c r="E760">
        <v>9000</v>
      </c>
      <c r="F760" t="s">
        <v>25</v>
      </c>
      <c r="G760">
        <v>7</v>
      </c>
      <c r="H760" t="s">
        <v>68</v>
      </c>
      <c r="I760">
        <v>15</v>
      </c>
      <c r="J760" s="10">
        <f t="shared" si="11"/>
        <v>7</v>
      </c>
    </row>
    <row r="761" spans="1:10" x14ac:dyDescent="0.2">
      <c r="A761" s="6">
        <v>43489</v>
      </c>
      <c r="B761">
        <v>2004</v>
      </c>
      <c r="C761">
        <v>2702</v>
      </c>
      <c r="D761">
        <v>760</v>
      </c>
      <c r="E761">
        <v>8500</v>
      </c>
      <c r="F761" t="s">
        <v>25</v>
      </c>
      <c r="G761">
        <v>6</v>
      </c>
      <c r="H761" t="s">
        <v>68</v>
      </c>
      <c r="I761">
        <v>15</v>
      </c>
      <c r="J761" s="10">
        <f t="shared" si="11"/>
        <v>6</v>
      </c>
    </row>
    <row r="762" spans="1:10" x14ac:dyDescent="0.2">
      <c r="A762" s="6">
        <v>43412</v>
      </c>
      <c r="B762">
        <v>2004</v>
      </c>
      <c r="C762">
        <v>2702</v>
      </c>
      <c r="D762">
        <v>761</v>
      </c>
      <c r="E762">
        <v>10000</v>
      </c>
      <c r="F762" t="s">
        <v>25</v>
      </c>
      <c r="G762">
        <v>6</v>
      </c>
      <c r="H762" t="s">
        <v>68</v>
      </c>
      <c r="I762">
        <v>15</v>
      </c>
      <c r="J762" s="10">
        <f t="shared" si="11"/>
        <v>6</v>
      </c>
    </row>
    <row r="763" spans="1:10" x14ac:dyDescent="0.2">
      <c r="A763" s="6">
        <v>43370</v>
      </c>
      <c r="B763">
        <v>2004</v>
      </c>
      <c r="C763">
        <v>2702</v>
      </c>
      <c r="D763">
        <v>762</v>
      </c>
      <c r="E763">
        <v>11350</v>
      </c>
      <c r="F763" t="s">
        <v>25</v>
      </c>
      <c r="G763">
        <v>12</v>
      </c>
      <c r="H763" t="s">
        <v>68</v>
      </c>
      <c r="I763">
        <v>15</v>
      </c>
      <c r="J763" s="10">
        <f t="shared" si="11"/>
        <v>12</v>
      </c>
    </row>
    <row r="764" spans="1:10" x14ac:dyDescent="0.2">
      <c r="A764" s="6">
        <v>43234</v>
      </c>
      <c r="B764">
        <v>2005</v>
      </c>
      <c r="C764">
        <v>2702</v>
      </c>
      <c r="D764">
        <v>763</v>
      </c>
      <c r="E764">
        <v>12000</v>
      </c>
      <c r="F764" t="s">
        <v>25</v>
      </c>
      <c r="G764">
        <v>13</v>
      </c>
      <c r="H764" t="s">
        <v>68</v>
      </c>
      <c r="I764">
        <v>14</v>
      </c>
      <c r="J764" s="10">
        <f t="shared" si="11"/>
        <v>13</v>
      </c>
    </row>
    <row r="765" spans="1:10" x14ac:dyDescent="0.2">
      <c r="A765" s="6">
        <v>43195</v>
      </c>
      <c r="B765">
        <v>2004</v>
      </c>
      <c r="C765">
        <v>2702</v>
      </c>
      <c r="D765">
        <v>764</v>
      </c>
      <c r="E765">
        <v>11000</v>
      </c>
      <c r="F765" t="s">
        <v>25</v>
      </c>
      <c r="G765">
        <v>6</v>
      </c>
      <c r="H765" t="s">
        <v>68</v>
      </c>
      <c r="I765">
        <v>15</v>
      </c>
      <c r="J765" s="10">
        <f t="shared" si="11"/>
        <v>6</v>
      </c>
    </row>
    <row r="766" spans="1:10" x14ac:dyDescent="0.2">
      <c r="A766" s="6">
        <v>43193</v>
      </c>
      <c r="B766">
        <v>2005</v>
      </c>
      <c r="C766">
        <v>2702</v>
      </c>
      <c r="D766">
        <v>765</v>
      </c>
      <c r="E766">
        <v>10950</v>
      </c>
      <c r="F766" t="s">
        <v>25</v>
      </c>
      <c r="G766">
        <v>7</v>
      </c>
      <c r="H766" t="s">
        <v>68</v>
      </c>
      <c r="I766">
        <v>14</v>
      </c>
      <c r="J766" s="10">
        <f t="shared" si="11"/>
        <v>7</v>
      </c>
    </row>
    <row r="767" spans="1:10" x14ac:dyDescent="0.2">
      <c r="A767" s="6">
        <v>43034</v>
      </c>
      <c r="B767">
        <v>2004</v>
      </c>
      <c r="C767">
        <v>2702</v>
      </c>
      <c r="D767">
        <v>766</v>
      </c>
      <c r="E767">
        <v>9500</v>
      </c>
      <c r="F767" t="s">
        <v>25</v>
      </c>
      <c r="G767">
        <v>6</v>
      </c>
      <c r="H767" t="s">
        <v>68</v>
      </c>
      <c r="I767">
        <v>15</v>
      </c>
      <c r="J767" s="10">
        <f t="shared" si="11"/>
        <v>6</v>
      </c>
    </row>
    <row r="768" spans="1:10" x14ac:dyDescent="0.2">
      <c r="A768" s="6">
        <v>42850</v>
      </c>
      <c r="B768">
        <v>2005</v>
      </c>
      <c r="C768">
        <v>2702</v>
      </c>
      <c r="D768">
        <v>767</v>
      </c>
      <c r="E768">
        <v>9300</v>
      </c>
      <c r="F768" t="s">
        <v>25</v>
      </c>
      <c r="G768">
        <v>12</v>
      </c>
      <c r="H768" t="s">
        <v>68</v>
      </c>
      <c r="I768">
        <v>14</v>
      </c>
      <c r="J768" s="10">
        <f t="shared" si="11"/>
        <v>12</v>
      </c>
    </row>
    <row r="769" spans="1:10" x14ac:dyDescent="0.2">
      <c r="A769" s="6">
        <v>42811</v>
      </c>
      <c r="B769">
        <v>2004</v>
      </c>
      <c r="C769">
        <v>2702</v>
      </c>
      <c r="D769">
        <v>768</v>
      </c>
      <c r="E769">
        <v>6600</v>
      </c>
      <c r="F769" t="s">
        <v>25</v>
      </c>
      <c r="G769">
        <v>7</v>
      </c>
      <c r="H769" t="s">
        <v>68</v>
      </c>
      <c r="I769">
        <v>15</v>
      </c>
      <c r="J769" s="10">
        <f t="shared" si="11"/>
        <v>7</v>
      </c>
    </row>
    <row r="770" spans="1:10" x14ac:dyDescent="0.2">
      <c r="A770" s="6">
        <v>42629</v>
      </c>
      <c r="B770">
        <v>2004</v>
      </c>
      <c r="C770">
        <v>2702</v>
      </c>
      <c r="D770">
        <v>769</v>
      </c>
      <c r="E770">
        <v>6250</v>
      </c>
      <c r="F770" t="s">
        <v>25</v>
      </c>
      <c r="G770">
        <v>7</v>
      </c>
      <c r="H770" t="s">
        <v>68</v>
      </c>
      <c r="I770">
        <v>15</v>
      </c>
      <c r="J770" s="10">
        <f t="shared" ref="J770:J833" si="12">IF(H770="days",ROUND(G770/30,0),IF(H770="years",G770*12,G770))</f>
        <v>7</v>
      </c>
    </row>
    <row r="771" spans="1:10" x14ac:dyDescent="0.2">
      <c r="A771" s="6">
        <v>42610</v>
      </c>
      <c r="B771">
        <v>2005</v>
      </c>
      <c r="C771">
        <v>2702</v>
      </c>
      <c r="D771">
        <v>770</v>
      </c>
      <c r="E771">
        <v>6100</v>
      </c>
      <c r="F771" t="s">
        <v>25</v>
      </c>
      <c r="G771">
        <v>7</v>
      </c>
      <c r="H771" t="s">
        <v>68</v>
      </c>
      <c r="I771">
        <v>14</v>
      </c>
      <c r="J771" s="10">
        <f t="shared" si="12"/>
        <v>7</v>
      </c>
    </row>
    <row r="772" spans="1:10" x14ac:dyDescent="0.2">
      <c r="A772" s="6">
        <v>42523</v>
      </c>
      <c r="B772">
        <v>2005</v>
      </c>
      <c r="C772">
        <v>2702</v>
      </c>
      <c r="D772">
        <v>771</v>
      </c>
      <c r="E772">
        <v>6500</v>
      </c>
      <c r="F772" t="s">
        <v>25</v>
      </c>
      <c r="G772">
        <v>5</v>
      </c>
      <c r="H772" t="s">
        <v>68</v>
      </c>
      <c r="I772">
        <v>14</v>
      </c>
      <c r="J772" s="10">
        <f t="shared" si="12"/>
        <v>5</v>
      </c>
    </row>
    <row r="773" spans="1:10" x14ac:dyDescent="0.2">
      <c r="A773" s="6">
        <v>42438</v>
      </c>
      <c r="B773">
        <v>2005</v>
      </c>
      <c r="C773">
        <v>2702</v>
      </c>
      <c r="D773">
        <v>772</v>
      </c>
      <c r="E773">
        <v>6100</v>
      </c>
      <c r="F773" t="s">
        <v>25</v>
      </c>
      <c r="G773">
        <v>7</v>
      </c>
      <c r="H773" t="s">
        <v>68</v>
      </c>
      <c r="I773">
        <v>14</v>
      </c>
      <c r="J773" s="10">
        <f t="shared" si="12"/>
        <v>7</v>
      </c>
    </row>
    <row r="774" spans="1:10" x14ac:dyDescent="0.2">
      <c r="A774" s="6">
        <v>42415</v>
      </c>
      <c r="B774">
        <v>2005</v>
      </c>
      <c r="C774">
        <v>2702</v>
      </c>
      <c r="D774">
        <v>773</v>
      </c>
      <c r="E774">
        <v>6500</v>
      </c>
      <c r="F774" t="s">
        <v>25</v>
      </c>
      <c r="G774">
        <v>7</v>
      </c>
      <c r="H774" t="s">
        <v>68</v>
      </c>
      <c r="I774">
        <v>14</v>
      </c>
      <c r="J774" s="10">
        <f t="shared" si="12"/>
        <v>7</v>
      </c>
    </row>
    <row r="775" spans="1:10" x14ac:dyDescent="0.2">
      <c r="A775" s="6">
        <v>42401</v>
      </c>
      <c r="B775">
        <v>2005</v>
      </c>
      <c r="C775">
        <v>2702</v>
      </c>
      <c r="D775">
        <v>774</v>
      </c>
      <c r="E775">
        <v>6600</v>
      </c>
      <c r="F775" t="s">
        <v>25</v>
      </c>
      <c r="G775">
        <v>7</v>
      </c>
      <c r="H775" t="s">
        <v>68</v>
      </c>
      <c r="I775">
        <v>14</v>
      </c>
      <c r="J775" s="10">
        <f t="shared" si="12"/>
        <v>7</v>
      </c>
    </row>
    <row r="776" spans="1:10" x14ac:dyDescent="0.2">
      <c r="A776" s="6">
        <v>42401</v>
      </c>
      <c r="B776">
        <v>2004</v>
      </c>
      <c r="C776">
        <v>2702</v>
      </c>
      <c r="D776">
        <v>775</v>
      </c>
      <c r="E776">
        <v>6500</v>
      </c>
      <c r="F776" t="s">
        <v>25</v>
      </c>
      <c r="G776">
        <v>7</v>
      </c>
      <c r="H776" t="s">
        <v>68</v>
      </c>
      <c r="I776">
        <v>15</v>
      </c>
      <c r="J776" s="10">
        <f t="shared" si="12"/>
        <v>7</v>
      </c>
    </row>
    <row r="777" spans="1:10" x14ac:dyDescent="0.2">
      <c r="A777" s="6">
        <v>43570</v>
      </c>
      <c r="B777">
        <v>2002</v>
      </c>
      <c r="C777">
        <v>2732</v>
      </c>
      <c r="D777">
        <v>776</v>
      </c>
      <c r="E777">
        <v>8250</v>
      </c>
      <c r="F777" t="s">
        <v>25</v>
      </c>
      <c r="G777">
        <v>5</v>
      </c>
      <c r="H777" t="s">
        <v>68</v>
      </c>
      <c r="I777">
        <v>17</v>
      </c>
      <c r="J777" s="10">
        <f t="shared" si="12"/>
        <v>5</v>
      </c>
    </row>
    <row r="778" spans="1:10" x14ac:dyDescent="0.2">
      <c r="A778" s="6">
        <v>43228</v>
      </c>
      <c r="B778">
        <v>2002</v>
      </c>
      <c r="C778">
        <v>2732</v>
      </c>
      <c r="D778">
        <v>777</v>
      </c>
      <c r="E778">
        <v>11600</v>
      </c>
      <c r="F778" t="s">
        <v>25</v>
      </c>
      <c r="G778">
        <v>6</v>
      </c>
      <c r="H778" t="s">
        <v>68</v>
      </c>
      <c r="I778">
        <v>17</v>
      </c>
      <c r="J778" s="10">
        <f t="shared" si="12"/>
        <v>6</v>
      </c>
    </row>
    <row r="779" spans="1:10" x14ac:dyDescent="0.2">
      <c r="A779" s="6">
        <v>42962</v>
      </c>
      <c r="B779">
        <v>2002</v>
      </c>
      <c r="C779">
        <v>2732</v>
      </c>
      <c r="D779">
        <v>778</v>
      </c>
      <c r="E779">
        <v>8450</v>
      </c>
      <c r="F779" t="s">
        <v>25</v>
      </c>
      <c r="G779">
        <v>7</v>
      </c>
      <c r="H779" t="s">
        <v>68</v>
      </c>
      <c r="I779">
        <v>17</v>
      </c>
      <c r="J779" s="10">
        <f t="shared" si="12"/>
        <v>7</v>
      </c>
    </row>
    <row r="780" spans="1:10" x14ac:dyDescent="0.2">
      <c r="A780" s="6">
        <v>42754</v>
      </c>
      <c r="B780">
        <v>2002</v>
      </c>
      <c r="C780">
        <v>2732</v>
      </c>
      <c r="D780">
        <v>779</v>
      </c>
      <c r="E780">
        <v>6250</v>
      </c>
      <c r="F780" t="s">
        <v>25</v>
      </c>
      <c r="G780">
        <v>6</v>
      </c>
      <c r="H780" t="s">
        <v>68</v>
      </c>
      <c r="I780">
        <v>17</v>
      </c>
      <c r="J780" s="10">
        <f t="shared" si="12"/>
        <v>6</v>
      </c>
    </row>
    <row r="781" spans="1:10" x14ac:dyDescent="0.2">
      <c r="A781" s="6">
        <v>42674</v>
      </c>
      <c r="B781">
        <v>2002</v>
      </c>
      <c r="C781">
        <v>2732</v>
      </c>
      <c r="D781">
        <v>780</v>
      </c>
      <c r="E781">
        <v>6000</v>
      </c>
      <c r="F781" t="s">
        <v>25</v>
      </c>
      <c r="G781">
        <v>30</v>
      </c>
      <c r="H781" t="s">
        <v>26</v>
      </c>
      <c r="I781">
        <v>17</v>
      </c>
      <c r="J781" s="10">
        <f t="shared" si="12"/>
        <v>1</v>
      </c>
    </row>
    <row r="782" spans="1:10" x14ac:dyDescent="0.2">
      <c r="A782" s="6">
        <v>42571</v>
      </c>
      <c r="B782">
        <v>2002</v>
      </c>
      <c r="C782">
        <v>2732</v>
      </c>
      <c r="D782">
        <v>781</v>
      </c>
      <c r="E782">
        <v>5800</v>
      </c>
      <c r="F782" t="s">
        <v>25</v>
      </c>
      <c r="G782">
        <v>6</v>
      </c>
      <c r="H782" t="s">
        <v>68</v>
      </c>
      <c r="I782">
        <v>17</v>
      </c>
      <c r="J782" s="10">
        <f t="shared" si="12"/>
        <v>6</v>
      </c>
    </row>
    <row r="783" spans="1:10" x14ac:dyDescent="0.2">
      <c r="A783" s="6">
        <v>42442</v>
      </c>
      <c r="B783">
        <v>2002</v>
      </c>
      <c r="C783">
        <v>2732</v>
      </c>
      <c r="D783">
        <v>782</v>
      </c>
      <c r="E783">
        <v>6500</v>
      </c>
      <c r="F783" t="s">
        <v>25</v>
      </c>
      <c r="G783">
        <v>70</v>
      </c>
      <c r="H783" t="s">
        <v>26</v>
      </c>
      <c r="I783">
        <v>17</v>
      </c>
      <c r="J783" s="10">
        <f t="shared" si="12"/>
        <v>2</v>
      </c>
    </row>
    <row r="784" spans="1:10" x14ac:dyDescent="0.2">
      <c r="A784" s="6">
        <v>43503</v>
      </c>
      <c r="B784">
        <v>2005</v>
      </c>
      <c r="C784">
        <v>2741</v>
      </c>
      <c r="D784">
        <v>783</v>
      </c>
      <c r="E784">
        <v>8500</v>
      </c>
      <c r="F784" t="s">
        <v>25</v>
      </c>
      <c r="G784">
        <v>8</v>
      </c>
      <c r="H784" t="s">
        <v>68</v>
      </c>
      <c r="I784">
        <v>14</v>
      </c>
      <c r="J784" s="10">
        <f t="shared" si="12"/>
        <v>8</v>
      </c>
    </row>
    <row r="785" spans="1:10" x14ac:dyDescent="0.2">
      <c r="A785" s="6">
        <v>43600</v>
      </c>
      <c r="B785">
        <v>2005</v>
      </c>
      <c r="C785">
        <v>2742</v>
      </c>
      <c r="D785">
        <v>784</v>
      </c>
      <c r="E785">
        <v>9200</v>
      </c>
      <c r="F785" t="s">
        <v>25</v>
      </c>
      <c r="G785">
        <v>6</v>
      </c>
      <c r="H785" t="s">
        <v>68</v>
      </c>
      <c r="I785">
        <v>14</v>
      </c>
      <c r="J785" s="10">
        <f t="shared" si="12"/>
        <v>6</v>
      </c>
    </row>
    <row r="786" spans="1:10" x14ac:dyDescent="0.2">
      <c r="A786" s="6">
        <v>43592</v>
      </c>
      <c r="B786">
        <v>2005</v>
      </c>
      <c r="C786">
        <v>2742</v>
      </c>
      <c r="D786">
        <v>785</v>
      </c>
      <c r="E786">
        <v>9200</v>
      </c>
      <c r="F786" t="s">
        <v>25</v>
      </c>
      <c r="G786">
        <v>13</v>
      </c>
      <c r="H786" t="s">
        <v>68</v>
      </c>
      <c r="I786">
        <v>14</v>
      </c>
      <c r="J786" s="10">
        <f t="shared" si="12"/>
        <v>13</v>
      </c>
    </row>
    <row r="787" spans="1:10" x14ac:dyDescent="0.2">
      <c r="A787" s="6">
        <v>43584</v>
      </c>
      <c r="B787">
        <v>2005</v>
      </c>
      <c r="C787">
        <v>2742</v>
      </c>
      <c r="D787">
        <v>786</v>
      </c>
      <c r="E787">
        <v>9000</v>
      </c>
      <c r="F787" t="s">
        <v>25</v>
      </c>
      <c r="G787">
        <v>5</v>
      </c>
      <c r="H787" t="s">
        <v>68</v>
      </c>
      <c r="I787">
        <v>14</v>
      </c>
      <c r="J787" s="10">
        <f t="shared" si="12"/>
        <v>5</v>
      </c>
    </row>
    <row r="788" spans="1:10" x14ac:dyDescent="0.2">
      <c r="A788" s="6">
        <v>43535</v>
      </c>
      <c r="B788">
        <v>2005</v>
      </c>
      <c r="C788">
        <v>2742</v>
      </c>
      <c r="D788">
        <v>787</v>
      </c>
      <c r="E788">
        <v>8500</v>
      </c>
      <c r="F788" t="s">
        <v>25</v>
      </c>
      <c r="G788">
        <v>7</v>
      </c>
      <c r="H788" t="s">
        <v>68</v>
      </c>
      <c r="I788">
        <v>14</v>
      </c>
      <c r="J788" s="10">
        <f t="shared" si="12"/>
        <v>7</v>
      </c>
    </row>
    <row r="789" spans="1:10" x14ac:dyDescent="0.2">
      <c r="A789" s="6">
        <v>43501</v>
      </c>
      <c r="B789">
        <v>2005</v>
      </c>
      <c r="C789">
        <v>2742</v>
      </c>
      <c r="D789">
        <v>788</v>
      </c>
      <c r="E789">
        <v>8500</v>
      </c>
      <c r="F789" t="s">
        <v>25</v>
      </c>
      <c r="G789">
        <v>6</v>
      </c>
      <c r="H789" t="s">
        <v>68</v>
      </c>
      <c r="I789">
        <v>14</v>
      </c>
      <c r="J789" s="10">
        <f t="shared" si="12"/>
        <v>6</v>
      </c>
    </row>
    <row r="790" spans="1:10" x14ac:dyDescent="0.2">
      <c r="A790" s="6">
        <v>43489</v>
      </c>
      <c r="B790">
        <v>2005</v>
      </c>
      <c r="C790">
        <v>2742</v>
      </c>
      <c r="D790">
        <v>789</v>
      </c>
      <c r="E790">
        <v>8500</v>
      </c>
      <c r="F790" t="s">
        <v>25</v>
      </c>
      <c r="G790">
        <v>120</v>
      </c>
      <c r="H790" t="s">
        <v>26</v>
      </c>
      <c r="I790">
        <v>14</v>
      </c>
      <c r="J790" s="10">
        <f t="shared" si="12"/>
        <v>4</v>
      </c>
    </row>
    <row r="791" spans="1:10" x14ac:dyDescent="0.2">
      <c r="A791" s="6">
        <v>43420</v>
      </c>
      <c r="B791">
        <v>2005</v>
      </c>
      <c r="C791">
        <v>2742</v>
      </c>
      <c r="D791">
        <v>790</v>
      </c>
      <c r="E791">
        <v>10000</v>
      </c>
      <c r="F791" t="s">
        <v>25</v>
      </c>
      <c r="G791">
        <v>7</v>
      </c>
      <c r="H791" t="s">
        <v>68</v>
      </c>
      <c r="I791">
        <v>14</v>
      </c>
      <c r="J791" s="10">
        <f t="shared" si="12"/>
        <v>7</v>
      </c>
    </row>
    <row r="792" spans="1:10" x14ac:dyDescent="0.2">
      <c r="A792" s="6">
        <v>43397</v>
      </c>
      <c r="B792">
        <v>2005</v>
      </c>
      <c r="C792">
        <v>2742</v>
      </c>
      <c r="D792">
        <v>791</v>
      </c>
      <c r="E792">
        <v>10800</v>
      </c>
      <c r="F792" t="s">
        <v>25</v>
      </c>
      <c r="G792">
        <v>9</v>
      </c>
      <c r="H792" t="s">
        <v>68</v>
      </c>
      <c r="I792">
        <v>14</v>
      </c>
      <c r="J792" s="10">
        <f t="shared" si="12"/>
        <v>9</v>
      </c>
    </row>
    <row r="793" spans="1:10" x14ac:dyDescent="0.2">
      <c r="A793" s="6">
        <v>43290</v>
      </c>
      <c r="B793">
        <v>2005</v>
      </c>
      <c r="C793">
        <v>2742</v>
      </c>
      <c r="D793">
        <v>792</v>
      </c>
      <c r="E793">
        <v>12500</v>
      </c>
      <c r="F793" t="s">
        <v>25</v>
      </c>
      <c r="G793">
        <v>12</v>
      </c>
      <c r="H793" t="s">
        <v>68</v>
      </c>
      <c r="I793">
        <v>14</v>
      </c>
      <c r="J793" s="10">
        <f t="shared" si="12"/>
        <v>12</v>
      </c>
    </row>
    <row r="794" spans="1:10" x14ac:dyDescent="0.2">
      <c r="A794" s="6">
        <v>43231</v>
      </c>
      <c r="B794">
        <v>2005</v>
      </c>
      <c r="C794">
        <v>2742</v>
      </c>
      <c r="D794">
        <v>793</v>
      </c>
      <c r="E794">
        <v>12400</v>
      </c>
      <c r="F794" t="s">
        <v>25</v>
      </c>
      <c r="G794">
        <v>12</v>
      </c>
      <c r="H794" t="s">
        <v>68</v>
      </c>
      <c r="I794">
        <v>14</v>
      </c>
      <c r="J794" s="10">
        <f t="shared" si="12"/>
        <v>12</v>
      </c>
    </row>
    <row r="795" spans="1:10" x14ac:dyDescent="0.2">
      <c r="A795" s="6">
        <v>43223</v>
      </c>
      <c r="B795">
        <v>2005</v>
      </c>
      <c r="C795">
        <v>2742</v>
      </c>
      <c r="D795">
        <v>794</v>
      </c>
      <c r="E795">
        <v>11700</v>
      </c>
      <c r="F795" t="s">
        <v>25</v>
      </c>
      <c r="G795">
        <v>9</v>
      </c>
      <c r="H795" t="s">
        <v>68</v>
      </c>
      <c r="I795">
        <v>14</v>
      </c>
      <c r="J795" s="10">
        <f t="shared" si="12"/>
        <v>9</v>
      </c>
    </row>
    <row r="796" spans="1:10" x14ac:dyDescent="0.2">
      <c r="A796" s="6">
        <v>43209</v>
      </c>
      <c r="B796">
        <v>2005</v>
      </c>
      <c r="C796">
        <v>2742</v>
      </c>
      <c r="D796">
        <v>795</v>
      </c>
      <c r="E796">
        <v>11675</v>
      </c>
      <c r="F796" t="s">
        <v>25</v>
      </c>
      <c r="G796">
        <v>12</v>
      </c>
      <c r="H796" t="s">
        <v>68</v>
      </c>
      <c r="I796">
        <v>14</v>
      </c>
      <c r="J796" s="10">
        <f t="shared" si="12"/>
        <v>12</v>
      </c>
    </row>
    <row r="797" spans="1:10" x14ac:dyDescent="0.2">
      <c r="A797" s="6">
        <v>43158</v>
      </c>
      <c r="B797">
        <v>2005</v>
      </c>
      <c r="C797">
        <v>2742</v>
      </c>
      <c r="D797">
        <v>796</v>
      </c>
      <c r="E797">
        <v>9850</v>
      </c>
      <c r="F797" t="s">
        <v>25</v>
      </c>
      <c r="G797">
        <v>8</v>
      </c>
      <c r="H797" t="s">
        <v>68</v>
      </c>
      <c r="I797">
        <v>14</v>
      </c>
      <c r="J797" s="10">
        <f t="shared" si="12"/>
        <v>8</v>
      </c>
    </row>
    <row r="798" spans="1:10" x14ac:dyDescent="0.2">
      <c r="A798" s="6">
        <v>43158</v>
      </c>
      <c r="B798">
        <v>2005</v>
      </c>
      <c r="C798">
        <v>2742</v>
      </c>
      <c r="D798">
        <v>797</v>
      </c>
      <c r="E798">
        <v>9700</v>
      </c>
      <c r="F798" t="s">
        <v>25</v>
      </c>
      <c r="G798">
        <v>5</v>
      </c>
      <c r="H798" t="s">
        <v>68</v>
      </c>
      <c r="I798">
        <v>14</v>
      </c>
      <c r="J798" s="10">
        <f t="shared" si="12"/>
        <v>5</v>
      </c>
    </row>
    <row r="799" spans="1:10" x14ac:dyDescent="0.2">
      <c r="A799" s="6">
        <v>43096</v>
      </c>
      <c r="B799">
        <v>2005</v>
      </c>
      <c r="C799">
        <v>2742</v>
      </c>
      <c r="D799">
        <v>798</v>
      </c>
      <c r="E799">
        <v>9250</v>
      </c>
      <c r="F799" t="s">
        <v>25</v>
      </c>
      <c r="G799">
        <v>15</v>
      </c>
      <c r="H799" t="s">
        <v>68</v>
      </c>
      <c r="I799">
        <v>14</v>
      </c>
      <c r="J799" s="10">
        <f t="shared" si="12"/>
        <v>15</v>
      </c>
    </row>
    <row r="800" spans="1:10" x14ac:dyDescent="0.2">
      <c r="A800" s="6">
        <v>42996</v>
      </c>
      <c r="B800">
        <v>2005</v>
      </c>
      <c r="C800">
        <v>2742</v>
      </c>
      <c r="D800">
        <v>799</v>
      </c>
      <c r="E800">
        <v>9500</v>
      </c>
      <c r="F800" t="s">
        <v>25</v>
      </c>
      <c r="G800">
        <v>8</v>
      </c>
      <c r="H800" t="s">
        <v>68</v>
      </c>
      <c r="I800">
        <v>14</v>
      </c>
      <c r="J800" s="10">
        <f t="shared" si="12"/>
        <v>8</v>
      </c>
    </row>
    <row r="801" spans="1:10" x14ac:dyDescent="0.2">
      <c r="A801" s="6">
        <v>42983</v>
      </c>
      <c r="B801">
        <v>2005</v>
      </c>
      <c r="C801">
        <v>2742</v>
      </c>
      <c r="D801">
        <v>800</v>
      </c>
      <c r="E801">
        <v>9550</v>
      </c>
      <c r="F801" t="s">
        <v>25</v>
      </c>
      <c r="G801">
        <v>3</v>
      </c>
      <c r="H801" t="s">
        <v>68</v>
      </c>
      <c r="I801">
        <v>14</v>
      </c>
      <c r="J801" s="10">
        <f t="shared" si="12"/>
        <v>3</v>
      </c>
    </row>
    <row r="802" spans="1:10" x14ac:dyDescent="0.2">
      <c r="A802" s="6">
        <v>42957</v>
      </c>
      <c r="B802">
        <v>2005</v>
      </c>
      <c r="C802">
        <v>2742</v>
      </c>
      <c r="D802">
        <v>801</v>
      </c>
      <c r="E802">
        <v>9450</v>
      </c>
      <c r="F802" t="s">
        <v>25</v>
      </c>
      <c r="G802">
        <v>7</v>
      </c>
      <c r="H802" t="s">
        <v>68</v>
      </c>
      <c r="I802">
        <v>14</v>
      </c>
      <c r="J802" s="10">
        <f t="shared" si="12"/>
        <v>7</v>
      </c>
    </row>
    <row r="803" spans="1:10" x14ac:dyDescent="0.2">
      <c r="A803" s="6">
        <v>42933</v>
      </c>
      <c r="B803">
        <v>2005</v>
      </c>
      <c r="C803">
        <v>2742</v>
      </c>
      <c r="D803">
        <v>802</v>
      </c>
      <c r="E803">
        <v>9000</v>
      </c>
      <c r="F803" t="s">
        <v>25</v>
      </c>
      <c r="G803">
        <v>6</v>
      </c>
      <c r="H803" t="s">
        <v>68</v>
      </c>
      <c r="I803">
        <v>14</v>
      </c>
      <c r="J803" s="10">
        <f t="shared" si="12"/>
        <v>6</v>
      </c>
    </row>
    <row r="804" spans="1:10" x14ac:dyDescent="0.2">
      <c r="A804" s="6">
        <v>42887</v>
      </c>
      <c r="B804">
        <v>2005</v>
      </c>
      <c r="C804">
        <v>2742</v>
      </c>
      <c r="D804">
        <v>803</v>
      </c>
      <c r="E804">
        <v>10000</v>
      </c>
      <c r="F804" t="s">
        <v>25</v>
      </c>
      <c r="G804">
        <v>10</v>
      </c>
      <c r="H804" t="s">
        <v>68</v>
      </c>
      <c r="I804">
        <v>14</v>
      </c>
      <c r="J804" s="10">
        <f t="shared" si="12"/>
        <v>10</v>
      </c>
    </row>
    <row r="805" spans="1:10" x14ac:dyDescent="0.2">
      <c r="A805" s="6">
        <v>42887</v>
      </c>
      <c r="B805">
        <v>2005</v>
      </c>
      <c r="C805">
        <v>2742</v>
      </c>
      <c r="D805">
        <v>804</v>
      </c>
      <c r="E805">
        <v>10000</v>
      </c>
      <c r="F805" t="s">
        <v>25</v>
      </c>
      <c r="G805">
        <v>10</v>
      </c>
      <c r="H805" t="s">
        <v>68</v>
      </c>
      <c r="I805">
        <v>14</v>
      </c>
      <c r="J805" s="10">
        <f t="shared" si="12"/>
        <v>10</v>
      </c>
    </row>
    <row r="806" spans="1:10" x14ac:dyDescent="0.2">
      <c r="A806" s="6">
        <v>42787</v>
      </c>
      <c r="B806">
        <v>2005</v>
      </c>
      <c r="C806">
        <v>2742</v>
      </c>
      <c r="D806">
        <v>805</v>
      </c>
      <c r="E806">
        <v>6400</v>
      </c>
      <c r="F806" t="s">
        <v>25</v>
      </c>
      <c r="G806">
        <v>6</v>
      </c>
      <c r="H806" t="s">
        <v>68</v>
      </c>
      <c r="I806">
        <v>14</v>
      </c>
      <c r="J806" s="10">
        <f t="shared" si="12"/>
        <v>6</v>
      </c>
    </row>
    <row r="807" spans="1:10" x14ac:dyDescent="0.2">
      <c r="A807" s="6">
        <v>42736</v>
      </c>
      <c r="B807">
        <v>2005</v>
      </c>
      <c r="C807">
        <v>2742</v>
      </c>
      <c r="D807">
        <v>806</v>
      </c>
      <c r="E807">
        <v>6400</v>
      </c>
      <c r="F807" t="s">
        <v>25</v>
      </c>
      <c r="G807">
        <v>7</v>
      </c>
      <c r="H807" t="s">
        <v>68</v>
      </c>
      <c r="I807">
        <v>14</v>
      </c>
      <c r="J807" s="10">
        <f t="shared" si="12"/>
        <v>7</v>
      </c>
    </row>
    <row r="808" spans="1:10" x14ac:dyDescent="0.2">
      <c r="A808" s="6">
        <v>42736</v>
      </c>
      <c r="B808">
        <v>2005</v>
      </c>
      <c r="C808">
        <v>2742</v>
      </c>
      <c r="D808">
        <v>807</v>
      </c>
      <c r="E808">
        <v>6450</v>
      </c>
      <c r="F808" t="s">
        <v>25</v>
      </c>
      <c r="G808">
        <v>7</v>
      </c>
      <c r="H808" t="s">
        <v>68</v>
      </c>
      <c r="I808">
        <v>14</v>
      </c>
      <c r="J808" s="10">
        <f t="shared" si="12"/>
        <v>7</v>
      </c>
    </row>
    <row r="809" spans="1:10" x14ac:dyDescent="0.2">
      <c r="A809" s="6">
        <v>42658</v>
      </c>
      <c r="B809">
        <v>2005</v>
      </c>
      <c r="C809">
        <v>2742</v>
      </c>
      <c r="D809">
        <v>808</v>
      </c>
      <c r="E809">
        <v>6000</v>
      </c>
      <c r="F809" t="s">
        <v>25</v>
      </c>
      <c r="G809">
        <v>7</v>
      </c>
      <c r="H809" t="s">
        <v>68</v>
      </c>
      <c r="I809">
        <v>14</v>
      </c>
      <c r="J809" s="10">
        <f t="shared" si="12"/>
        <v>7</v>
      </c>
    </row>
    <row r="810" spans="1:10" x14ac:dyDescent="0.2">
      <c r="A810" s="6">
        <v>42625</v>
      </c>
      <c r="B810">
        <v>2005</v>
      </c>
      <c r="C810">
        <v>2742</v>
      </c>
      <c r="D810">
        <v>809</v>
      </c>
      <c r="E810">
        <v>6200</v>
      </c>
      <c r="F810" t="s">
        <v>25</v>
      </c>
      <c r="G810">
        <v>6</v>
      </c>
      <c r="H810" t="s">
        <v>68</v>
      </c>
      <c r="I810">
        <v>14</v>
      </c>
      <c r="J810" s="10">
        <f t="shared" si="12"/>
        <v>6</v>
      </c>
    </row>
    <row r="811" spans="1:10" x14ac:dyDescent="0.2">
      <c r="A811" s="6">
        <v>42615</v>
      </c>
      <c r="B811">
        <v>2005</v>
      </c>
      <c r="C811">
        <v>2742</v>
      </c>
      <c r="D811">
        <v>810</v>
      </c>
      <c r="E811">
        <v>6150</v>
      </c>
      <c r="F811" t="s">
        <v>25</v>
      </c>
      <c r="G811">
        <v>50</v>
      </c>
      <c r="H811" t="s">
        <v>26</v>
      </c>
      <c r="I811">
        <v>14</v>
      </c>
      <c r="J811" s="10">
        <f t="shared" si="12"/>
        <v>2</v>
      </c>
    </row>
    <row r="812" spans="1:10" x14ac:dyDescent="0.2">
      <c r="A812" s="6">
        <v>42598</v>
      </c>
      <c r="B812">
        <v>2005</v>
      </c>
      <c r="C812">
        <v>2742</v>
      </c>
      <c r="D812">
        <v>811</v>
      </c>
      <c r="E812">
        <v>6000</v>
      </c>
      <c r="F812" t="s">
        <v>25</v>
      </c>
      <c r="G812">
        <v>7</v>
      </c>
      <c r="H812" t="s">
        <v>68</v>
      </c>
      <c r="I812">
        <v>14</v>
      </c>
      <c r="J812" s="10">
        <f t="shared" si="12"/>
        <v>7</v>
      </c>
    </row>
    <row r="813" spans="1:10" x14ac:dyDescent="0.2">
      <c r="A813" s="6">
        <v>42592</v>
      </c>
      <c r="B813">
        <v>2005</v>
      </c>
      <c r="C813">
        <v>2742</v>
      </c>
      <c r="D813">
        <v>812</v>
      </c>
      <c r="E813">
        <v>6200</v>
      </c>
      <c r="F813" t="s">
        <v>25</v>
      </c>
      <c r="G813">
        <v>6</v>
      </c>
      <c r="H813" t="s">
        <v>68</v>
      </c>
      <c r="I813">
        <v>14</v>
      </c>
      <c r="J813" s="10">
        <f t="shared" si="12"/>
        <v>6</v>
      </c>
    </row>
    <row r="814" spans="1:10" x14ac:dyDescent="0.2">
      <c r="A814" s="6">
        <v>42592</v>
      </c>
      <c r="B814">
        <v>2005</v>
      </c>
      <c r="C814">
        <v>2742</v>
      </c>
      <c r="D814">
        <v>813</v>
      </c>
      <c r="E814">
        <v>6200</v>
      </c>
      <c r="F814" t="s">
        <v>25</v>
      </c>
      <c r="G814">
        <v>35</v>
      </c>
      <c r="H814" t="s">
        <v>26</v>
      </c>
      <c r="I814">
        <v>14</v>
      </c>
      <c r="J814" s="10">
        <f t="shared" si="12"/>
        <v>1</v>
      </c>
    </row>
    <row r="815" spans="1:10" x14ac:dyDescent="0.2">
      <c r="A815" s="6">
        <v>42563</v>
      </c>
      <c r="B815">
        <v>2005</v>
      </c>
      <c r="C815">
        <v>2742</v>
      </c>
      <c r="D815">
        <v>814</v>
      </c>
      <c r="E815">
        <v>6300</v>
      </c>
      <c r="F815" t="s">
        <v>25</v>
      </c>
      <c r="G815">
        <v>5</v>
      </c>
      <c r="H815" t="s">
        <v>68</v>
      </c>
      <c r="I815">
        <v>14</v>
      </c>
      <c r="J815" s="10">
        <f t="shared" si="12"/>
        <v>5</v>
      </c>
    </row>
    <row r="816" spans="1:10" x14ac:dyDescent="0.2">
      <c r="A816" s="6">
        <v>42491</v>
      </c>
      <c r="B816">
        <v>2005</v>
      </c>
      <c r="C816">
        <v>2742</v>
      </c>
      <c r="D816">
        <v>815</v>
      </c>
      <c r="E816">
        <v>6400</v>
      </c>
      <c r="F816" t="s">
        <v>25</v>
      </c>
      <c r="G816">
        <v>6</v>
      </c>
      <c r="H816" t="s">
        <v>68</v>
      </c>
      <c r="I816">
        <v>14</v>
      </c>
      <c r="J816" s="10">
        <f t="shared" si="12"/>
        <v>6</v>
      </c>
    </row>
    <row r="817" spans="1:10" x14ac:dyDescent="0.2">
      <c r="A817" s="6">
        <v>42382</v>
      </c>
      <c r="B817">
        <v>2005</v>
      </c>
      <c r="C817">
        <v>2742</v>
      </c>
      <c r="D817">
        <v>816</v>
      </c>
      <c r="E817">
        <v>6500</v>
      </c>
      <c r="F817" t="s">
        <v>25</v>
      </c>
      <c r="G817">
        <v>7</v>
      </c>
      <c r="H817" t="s">
        <v>68</v>
      </c>
      <c r="I817">
        <v>14</v>
      </c>
      <c r="J817" s="10">
        <f t="shared" si="12"/>
        <v>7</v>
      </c>
    </row>
    <row r="818" spans="1:10" x14ac:dyDescent="0.2">
      <c r="A818" s="6">
        <v>43528</v>
      </c>
      <c r="B818">
        <v>2002</v>
      </c>
      <c r="C818">
        <v>2750</v>
      </c>
      <c r="D818">
        <v>817</v>
      </c>
      <c r="E818">
        <v>7500</v>
      </c>
      <c r="F818" t="s">
        <v>25</v>
      </c>
      <c r="G818">
        <v>12</v>
      </c>
      <c r="H818" t="s">
        <v>68</v>
      </c>
      <c r="I818">
        <v>17</v>
      </c>
      <c r="J818" s="10">
        <f t="shared" si="12"/>
        <v>12</v>
      </c>
    </row>
    <row r="819" spans="1:10" x14ac:dyDescent="0.2">
      <c r="A819" s="6">
        <v>43453</v>
      </c>
      <c r="B819">
        <v>2002</v>
      </c>
      <c r="C819">
        <v>2750</v>
      </c>
      <c r="D819">
        <v>818</v>
      </c>
      <c r="E819">
        <v>8000</v>
      </c>
      <c r="F819" t="s">
        <v>25</v>
      </c>
      <c r="G819">
        <v>60</v>
      </c>
      <c r="H819" t="s">
        <v>26</v>
      </c>
      <c r="I819">
        <v>17</v>
      </c>
      <c r="J819" s="10">
        <f t="shared" si="12"/>
        <v>2</v>
      </c>
    </row>
    <row r="820" spans="1:10" x14ac:dyDescent="0.2">
      <c r="A820" s="6">
        <v>43073</v>
      </c>
      <c r="B820">
        <v>2002</v>
      </c>
      <c r="C820">
        <v>2750</v>
      </c>
      <c r="D820">
        <v>819</v>
      </c>
      <c r="E820">
        <v>8250</v>
      </c>
      <c r="F820" t="s">
        <v>25</v>
      </c>
      <c r="G820">
        <v>12</v>
      </c>
      <c r="H820" t="s">
        <v>68</v>
      </c>
      <c r="I820">
        <v>17</v>
      </c>
      <c r="J820" s="10">
        <f t="shared" si="12"/>
        <v>12</v>
      </c>
    </row>
    <row r="821" spans="1:10" x14ac:dyDescent="0.2">
      <c r="A821" s="6">
        <v>42948</v>
      </c>
      <c r="B821">
        <v>2002</v>
      </c>
      <c r="C821">
        <v>2750</v>
      </c>
      <c r="D821">
        <v>820</v>
      </c>
      <c r="E821">
        <v>8450</v>
      </c>
      <c r="F821" t="s">
        <v>25</v>
      </c>
      <c r="G821">
        <v>6</v>
      </c>
      <c r="H821" t="s">
        <v>68</v>
      </c>
      <c r="I821">
        <v>17</v>
      </c>
      <c r="J821" s="10">
        <f t="shared" si="12"/>
        <v>6</v>
      </c>
    </row>
    <row r="822" spans="1:10" x14ac:dyDescent="0.2">
      <c r="A822" s="6">
        <v>42838</v>
      </c>
      <c r="B822">
        <v>2002</v>
      </c>
      <c r="C822">
        <v>2750</v>
      </c>
      <c r="D822">
        <v>821</v>
      </c>
      <c r="E822">
        <v>9300</v>
      </c>
      <c r="F822" t="s">
        <v>25</v>
      </c>
      <c r="G822">
        <v>42</v>
      </c>
      <c r="H822" t="s">
        <v>26</v>
      </c>
      <c r="I822">
        <v>17</v>
      </c>
      <c r="J822" s="10">
        <f t="shared" si="12"/>
        <v>1</v>
      </c>
    </row>
    <row r="823" spans="1:10" x14ac:dyDescent="0.2">
      <c r="A823" s="6">
        <v>43509</v>
      </c>
      <c r="B823">
        <v>2003</v>
      </c>
      <c r="C823">
        <v>2755</v>
      </c>
      <c r="D823">
        <v>822</v>
      </c>
      <c r="E823">
        <v>9000</v>
      </c>
      <c r="F823" t="s">
        <v>25</v>
      </c>
      <c r="G823">
        <v>6</v>
      </c>
      <c r="H823" t="s">
        <v>68</v>
      </c>
      <c r="I823">
        <v>16</v>
      </c>
      <c r="J823" s="10">
        <f t="shared" si="12"/>
        <v>6</v>
      </c>
    </row>
    <row r="824" spans="1:10" x14ac:dyDescent="0.2">
      <c r="A824" s="6">
        <v>43241</v>
      </c>
      <c r="B824">
        <v>2004</v>
      </c>
      <c r="C824">
        <v>2755</v>
      </c>
      <c r="D824">
        <v>823</v>
      </c>
      <c r="E824">
        <v>11500</v>
      </c>
      <c r="F824" t="s">
        <v>25</v>
      </c>
      <c r="G824">
        <v>12</v>
      </c>
      <c r="H824" t="s">
        <v>68</v>
      </c>
      <c r="I824">
        <v>15</v>
      </c>
      <c r="J824" s="10">
        <f t="shared" si="12"/>
        <v>12</v>
      </c>
    </row>
    <row r="825" spans="1:10" x14ac:dyDescent="0.2">
      <c r="A825" s="6">
        <v>43006</v>
      </c>
      <c r="B825">
        <v>2004</v>
      </c>
      <c r="C825">
        <v>2755</v>
      </c>
      <c r="D825">
        <v>824</v>
      </c>
      <c r="E825">
        <v>8400</v>
      </c>
      <c r="F825" t="s">
        <v>25</v>
      </c>
      <c r="G825">
        <v>7</v>
      </c>
      <c r="H825" t="s">
        <v>68</v>
      </c>
      <c r="I825">
        <v>15</v>
      </c>
      <c r="J825" s="10">
        <f t="shared" si="12"/>
        <v>7</v>
      </c>
    </row>
    <row r="826" spans="1:10" x14ac:dyDescent="0.2">
      <c r="A826" s="6">
        <v>42977</v>
      </c>
      <c r="B826">
        <v>2004</v>
      </c>
      <c r="C826">
        <v>2755</v>
      </c>
      <c r="D826">
        <v>825</v>
      </c>
      <c r="E826">
        <v>8500</v>
      </c>
      <c r="F826" t="s">
        <v>25</v>
      </c>
      <c r="G826">
        <v>58</v>
      </c>
      <c r="H826" t="s">
        <v>26</v>
      </c>
      <c r="I826">
        <v>15</v>
      </c>
      <c r="J826" s="10">
        <f t="shared" si="12"/>
        <v>2</v>
      </c>
    </row>
    <row r="827" spans="1:10" x14ac:dyDescent="0.2">
      <c r="A827" s="6">
        <v>42743</v>
      </c>
      <c r="B827">
        <v>2004</v>
      </c>
      <c r="C827">
        <v>2755</v>
      </c>
      <c r="D827">
        <v>826</v>
      </c>
      <c r="E827">
        <v>6000</v>
      </c>
      <c r="F827" t="s">
        <v>25</v>
      </c>
      <c r="G827">
        <v>8</v>
      </c>
      <c r="H827" t="s">
        <v>68</v>
      </c>
      <c r="I827">
        <v>15</v>
      </c>
      <c r="J827" s="10">
        <f t="shared" si="12"/>
        <v>8</v>
      </c>
    </row>
    <row r="828" spans="1:10" x14ac:dyDescent="0.2">
      <c r="A828" s="6">
        <v>42641</v>
      </c>
      <c r="B828">
        <v>2004</v>
      </c>
      <c r="C828">
        <v>2755</v>
      </c>
      <c r="D828">
        <v>827</v>
      </c>
      <c r="E828">
        <v>6000</v>
      </c>
      <c r="F828" t="s">
        <v>25</v>
      </c>
      <c r="G828">
        <v>12</v>
      </c>
      <c r="H828" t="s">
        <v>68</v>
      </c>
      <c r="I828">
        <v>15</v>
      </c>
      <c r="J828" s="10">
        <f t="shared" si="12"/>
        <v>12</v>
      </c>
    </row>
    <row r="829" spans="1:10" x14ac:dyDescent="0.2">
      <c r="A829" s="6">
        <v>42478</v>
      </c>
      <c r="B829">
        <v>2004</v>
      </c>
      <c r="C829">
        <v>2755</v>
      </c>
      <c r="D829">
        <v>828</v>
      </c>
      <c r="E829">
        <v>6000</v>
      </c>
      <c r="F829" t="s">
        <v>25</v>
      </c>
      <c r="G829">
        <v>3</v>
      </c>
      <c r="H829" t="s">
        <v>68</v>
      </c>
      <c r="I829">
        <v>15</v>
      </c>
      <c r="J829" s="10">
        <f t="shared" si="12"/>
        <v>3</v>
      </c>
    </row>
    <row r="830" spans="1:10" x14ac:dyDescent="0.2">
      <c r="A830" s="6">
        <v>43537</v>
      </c>
      <c r="B830">
        <v>2003</v>
      </c>
      <c r="C830">
        <v>2762</v>
      </c>
      <c r="D830">
        <v>829</v>
      </c>
      <c r="E830">
        <v>9000</v>
      </c>
      <c r="F830" t="s">
        <v>25</v>
      </c>
      <c r="G830">
        <v>13</v>
      </c>
      <c r="H830" t="s">
        <v>68</v>
      </c>
      <c r="I830">
        <v>16</v>
      </c>
      <c r="J830" s="10">
        <f t="shared" si="12"/>
        <v>13</v>
      </c>
    </row>
    <row r="831" spans="1:10" x14ac:dyDescent="0.2">
      <c r="A831" s="6">
        <v>43493</v>
      </c>
      <c r="B831">
        <v>2003</v>
      </c>
      <c r="C831">
        <v>2762</v>
      </c>
      <c r="D831">
        <v>830</v>
      </c>
      <c r="E831">
        <v>8000</v>
      </c>
      <c r="F831" t="s">
        <v>25</v>
      </c>
      <c r="G831">
        <v>100</v>
      </c>
      <c r="H831" t="s">
        <v>26</v>
      </c>
      <c r="I831">
        <v>16</v>
      </c>
      <c r="J831" s="10">
        <f t="shared" si="12"/>
        <v>3</v>
      </c>
    </row>
    <row r="832" spans="1:10" x14ac:dyDescent="0.2">
      <c r="A832" s="6">
        <v>43479</v>
      </c>
      <c r="B832">
        <v>2003</v>
      </c>
      <c r="C832">
        <v>2762</v>
      </c>
      <c r="D832">
        <v>831</v>
      </c>
      <c r="E832">
        <v>9100</v>
      </c>
      <c r="F832" t="s">
        <v>25</v>
      </c>
      <c r="G832">
        <v>8</v>
      </c>
      <c r="H832" t="s">
        <v>68</v>
      </c>
      <c r="I832">
        <v>16</v>
      </c>
      <c r="J832" s="10">
        <f t="shared" si="12"/>
        <v>8</v>
      </c>
    </row>
    <row r="833" spans="1:10" x14ac:dyDescent="0.2">
      <c r="A833" s="6">
        <v>43201</v>
      </c>
      <c r="B833">
        <v>2003</v>
      </c>
      <c r="C833">
        <v>2762</v>
      </c>
      <c r="D833">
        <v>832</v>
      </c>
      <c r="E833">
        <v>10720</v>
      </c>
      <c r="F833" t="s">
        <v>25</v>
      </c>
      <c r="G833">
        <v>12</v>
      </c>
      <c r="H833" t="s">
        <v>68</v>
      </c>
      <c r="I833">
        <v>16</v>
      </c>
      <c r="J833" s="10">
        <f t="shared" si="12"/>
        <v>12</v>
      </c>
    </row>
    <row r="834" spans="1:10" x14ac:dyDescent="0.2">
      <c r="A834" s="6">
        <v>43182</v>
      </c>
      <c r="B834">
        <v>2003</v>
      </c>
      <c r="C834">
        <v>2762</v>
      </c>
      <c r="D834">
        <v>833</v>
      </c>
      <c r="E834">
        <v>10500</v>
      </c>
      <c r="F834" t="s">
        <v>25</v>
      </c>
      <c r="G834">
        <v>6</v>
      </c>
      <c r="H834" t="s">
        <v>68</v>
      </c>
      <c r="I834">
        <v>16</v>
      </c>
      <c r="J834" s="10">
        <f t="shared" ref="J834:J897" si="13">IF(H834="days",ROUND(G834/30,0),IF(H834="years",G834*12,G834))</f>
        <v>6</v>
      </c>
    </row>
    <row r="835" spans="1:10" x14ac:dyDescent="0.2">
      <c r="A835" s="6">
        <v>42750</v>
      </c>
      <c r="B835">
        <v>2003</v>
      </c>
      <c r="C835">
        <v>2762</v>
      </c>
      <c r="D835">
        <v>834</v>
      </c>
      <c r="E835">
        <v>6300</v>
      </c>
      <c r="F835" t="s">
        <v>25</v>
      </c>
      <c r="G835">
        <v>12</v>
      </c>
      <c r="H835" t="s">
        <v>68</v>
      </c>
      <c r="I835">
        <v>16</v>
      </c>
      <c r="J835" s="10">
        <f t="shared" si="13"/>
        <v>12</v>
      </c>
    </row>
    <row r="836" spans="1:10" x14ac:dyDescent="0.2">
      <c r="A836" s="6">
        <v>42689</v>
      </c>
      <c r="B836">
        <v>2003</v>
      </c>
      <c r="C836">
        <v>2762</v>
      </c>
      <c r="D836">
        <v>835</v>
      </c>
      <c r="E836">
        <v>5500</v>
      </c>
      <c r="F836" t="s">
        <v>25</v>
      </c>
      <c r="G836">
        <v>9</v>
      </c>
      <c r="H836" t="s">
        <v>68</v>
      </c>
      <c r="I836">
        <v>16</v>
      </c>
      <c r="J836" s="10">
        <f t="shared" si="13"/>
        <v>9</v>
      </c>
    </row>
    <row r="837" spans="1:10" x14ac:dyDescent="0.2">
      <c r="A837" s="6">
        <v>42460</v>
      </c>
      <c r="B837">
        <v>2003</v>
      </c>
      <c r="C837">
        <v>2762</v>
      </c>
      <c r="D837">
        <v>836</v>
      </c>
      <c r="E837">
        <v>5500</v>
      </c>
      <c r="F837" t="s">
        <v>25</v>
      </c>
      <c r="G837">
        <v>8</v>
      </c>
      <c r="H837" t="s">
        <v>68</v>
      </c>
      <c r="I837">
        <v>16</v>
      </c>
      <c r="J837" s="10">
        <f t="shared" si="13"/>
        <v>8</v>
      </c>
    </row>
    <row r="838" spans="1:10" x14ac:dyDescent="0.2">
      <c r="A838" s="6">
        <v>42415</v>
      </c>
      <c r="B838">
        <v>2003</v>
      </c>
      <c r="C838">
        <v>2762</v>
      </c>
      <c r="D838">
        <v>837</v>
      </c>
      <c r="E838">
        <v>6500</v>
      </c>
      <c r="F838" t="s">
        <v>25</v>
      </c>
      <c r="G838">
        <v>11</v>
      </c>
      <c r="H838" t="s">
        <v>68</v>
      </c>
      <c r="I838">
        <v>16</v>
      </c>
      <c r="J838" s="10">
        <f t="shared" si="13"/>
        <v>11</v>
      </c>
    </row>
    <row r="839" spans="1:10" x14ac:dyDescent="0.2">
      <c r="A839" s="6">
        <v>43514</v>
      </c>
      <c r="B839">
        <v>2002</v>
      </c>
      <c r="C839">
        <v>2764</v>
      </c>
      <c r="D839">
        <v>838</v>
      </c>
      <c r="E839">
        <v>8900</v>
      </c>
      <c r="F839" t="s">
        <v>25</v>
      </c>
      <c r="G839">
        <v>12</v>
      </c>
      <c r="H839" t="s">
        <v>68</v>
      </c>
      <c r="I839">
        <v>17</v>
      </c>
      <c r="J839" s="10">
        <f t="shared" si="13"/>
        <v>12</v>
      </c>
    </row>
    <row r="840" spans="1:10" x14ac:dyDescent="0.2">
      <c r="A840" s="6">
        <v>43510</v>
      </c>
      <c r="B840">
        <v>2001</v>
      </c>
      <c r="C840">
        <v>2764</v>
      </c>
      <c r="D840">
        <v>839</v>
      </c>
      <c r="E840">
        <v>9250</v>
      </c>
      <c r="F840" t="s">
        <v>25</v>
      </c>
      <c r="G840">
        <v>6</v>
      </c>
      <c r="H840" t="s">
        <v>68</v>
      </c>
      <c r="I840">
        <v>18</v>
      </c>
      <c r="J840" s="10">
        <f t="shared" si="13"/>
        <v>6</v>
      </c>
    </row>
    <row r="841" spans="1:10" x14ac:dyDescent="0.2">
      <c r="A841" s="6">
        <v>43493</v>
      </c>
      <c r="B841">
        <v>2004</v>
      </c>
      <c r="C841">
        <v>2764</v>
      </c>
      <c r="D841">
        <v>840</v>
      </c>
      <c r="E841">
        <v>9000</v>
      </c>
      <c r="F841" t="s">
        <v>25</v>
      </c>
      <c r="G841">
        <v>9</v>
      </c>
      <c r="H841" t="s">
        <v>68</v>
      </c>
      <c r="I841">
        <v>15</v>
      </c>
      <c r="J841" s="10">
        <f t="shared" si="13"/>
        <v>9</v>
      </c>
    </row>
    <row r="842" spans="1:10" x14ac:dyDescent="0.2">
      <c r="A842" s="6">
        <v>43361</v>
      </c>
      <c r="B842">
        <v>2001</v>
      </c>
      <c r="C842">
        <v>2764</v>
      </c>
      <c r="D842">
        <v>841</v>
      </c>
      <c r="E842">
        <v>11500</v>
      </c>
      <c r="F842" t="s">
        <v>25</v>
      </c>
      <c r="G842">
        <v>7</v>
      </c>
      <c r="H842" t="s">
        <v>68</v>
      </c>
      <c r="I842">
        <v>18</v>
      </c>
      <c r="J842" s="10">
        <f t="shared" si="13"/>
        <v>7</v>
      </c>
    </row>
    <row r="843" spans="1:10" x14ac:dyDescent="0.2">
      <c r="A843" s="6">
        <v>43195</v>
      </c>
      <c r="B843">
        <v>2001</v>
      </c>
      <c r="C843">
        <v>2764</v>
      </c>
      <c r="D843">
        <v>842</v>
      </c>
      <c r="E843">
        <v>10500</v>
      </c>
      <c r="F843" t="s">
        <v>25</v>
      </c>
      <c r="G843">
        <v>6</v>
      </c>
      <c r="H843" t="s">
        <v>68</v>
      </c>
      <c r="I843">
        <v>18</v>
      </c>
      <c r="J843" s="10">
        <f t="shared" si="13"/>
        <v>6</v>
      </c>
    </row>
    <row r="844" spans="1:10" x14ac:dyDescent="0.2">
      <c r="A844" s="6">
        <v>43115</v>
      </c>
      <c r="B844">
        <v>2002</v>
      </c>
      <c r="C844">
        <v>2764</v>
      </c>
      <c r="D844">
        <v>843</v>
      </c>
      <c r="E844">
        <v>9500</v>
      </c>
      <c r="F844" t="s">
        <v>25</v>
      </c>
      <c r="G844">
        <v>12</v>
      </c>
      <c r="H844" t="s">
        <v>68</v>
      </c>
      <c r="I844">
        <v>17</v>
      </c>
      <c r="J844" s="10">
        <f t="shared" si="13"/>
        <v>12</v>
      </c>
    </row>
    <row r="845" spans="1:10" x14ac:dyDescent="0.2">
      <c r="A845" s="6">
        <v>43076</v>
      </c>
      <c r="B845">
        <v>2002</v>
      </c>
      <c r="C845">
        <v>2764</v>
      </c>
      <c r="D845">
        <v>844</v>
      </c>
      <c r="E845">
        <v>8750</v>
      </c>
      <c r="F845" t="s">
        <v>25</v>
      </c>
      <c r="G845">
        <v>70</v>
      </c>
      <c r="H845" t="s">
        <v>26</v>
      </c>
      <c r="I845">
        <v>17</v>
      </c>
      <c r="J845" s="10">
        <f t="shared" si="13"/>
        <v>2</v>
      </c>
    </row>
    <row r="846" spans="1:10" x14ac:dyDescent="0.2">
      <c r="A846" s="6">
        <v>43055</v>
      </c>
      <c r="B846">
        <v>2001</v>
      </c>
      <c r="C846">
        <v>2764</v>
      </c>
      <c r="D846">
        <v>845</v>
      </c>
      <c r="E846">
        <v>8500</v>
      </c>
      <c r="F846" t="s">
        <v>25</v>
      </c>
      <c r="G846">
        <v>5</v>
      </c>
      <c r="H846" t="s">
        <v>68</v>
      </c>
      <c r="I846">
        <v>18</v>
      </c>
      <c r="J846" s="10">
        <f t="shared" si="13"/>
        <v>5</v>
      </c>
    </row>
    <row r="847" spans="1:10" x14ac:dyDescent="0.2">
      <c r="A847" s="6">
        <v>42822</v>
      </c>
      <c r="B847">
        <v>2002</v>
      </c>
      <c r="C847">
        <v>2764</v>
      </c>
      <c r="D847">
        <v>846</v>
      </c>
      <c r="E847">
        <v>9000</v>
      </c>
      <c r="F847" t="s">
        <v>25</v>
      </c>
      <c r="G847">
        <v>9</v>
      </c>
      <c r="H847" t="s">
        <v>68</v>
      </c>
      <c r="I847">
        <v>17</v>
      </c>
      <c r="J847" s="10">
        <f t="shared" si="13"/>
        <v>9</v>
      </c>
    </row>
    <row r="848" spans="1:10" x14ac:dyDescent="0.2">
      <c r="A848" s="6">
        <v>42803</v>
      </c>
      <c r="B848">
        <v>2001</v>
      </c>
      <c r="C848">
        <v>2764</v>
      </c>
      <c r="D848">
        <v>847</v>
      </c>
      <c r="E848">
        <v>6400</v>
      </c>
      <c r="F848" t="s">
        <v>25</v>
      </c>
      <c r="G848">
        <v>6</v>
      </c>
      <c r="H848" t="s">
        <v>68</v>
      </c>
      <c r="I848">
        <v>18</v>
      </c>
      <c r="J848" s="10">
        <f t="shared" si="13"/>
        <v>6</v>
      </c>
    </row>
    <row r="849" spans="1:10" x14ac:dyDescent="0.2">
      <c r="A849" s="6">
        <v>42760</v>
      </c>
      <c r="B849">
        <v>2001</v>
      </c>
      <c r="C849">
        <v>2764</v>
      </c>
      <c r="D849">
        <v>848</v>
      </c>
      <c r="E849">
        <v>6000</v>
      </c>
      <c r="F849" t="s">
        <v>25</v>
      </c>
      <c r="G849">
        <v>2</v>
      </c>
      <c r="H849" t="s">
        <v>68</v>
      </c>
      <c r="I849">
        <v>18</v>
      </c>
      <c r="J849" s="10">
        <f t="shared" si="13"/>
        <v>2</v>
      </c>
    </row>
    <row r="850" spans="1:10" x14ac:dyDescent="0.2">
      <c r="A850" s="6">
        <v>42585</v>
      </c>
      <c r="B850">
        <v>2002</v>
      </c>
      <c r="C850">
        <v>2764</v>
      </c>
      <c r="D850">
        <v>849</v>
      </c>
      <c r="E850">
        <v>6000</v>
      </c>
      <c r="F850" t="s">
        <v>25</v>
      </c>
      <c r="G850">
        <v>9</v>
      </c>
      <c r="H850" t="s">
        <v>68</v>
      </c>
      <c r="I850">
        <v>17</v>
      </c>
      <c r="J850" s="10">
        <f t="shared" si="13"/>
        <v>9</v>
      </c>
    </row>
    <row r="851" spans="1:10" x14ac:dyDescent="0.2">
      <c r="A851" s="6">
        <v>42375</v>
      </c>
      <c r="B851">
        <v>2001</v>
      </c>
      <c r="C851">
        <v>2764</v>
      </c>
      <c r="D851">
        <v>850</v>
      </c>
      <c r="E851">
        <v>6100</v>
      </c>
      <c r="F851" t="s">
        <v>25</v>
      </c>
      <c r="G851">
        <v>8</v>
      </c>
      <c r="H851" t="s">
        <v>68</v>
      </c>
      <c r="I851">
        <v>18</v>
      </c>
      <c r="J851" s="10">
        <f t="shared" si="13"/>
        <v>8</v>
      </c>
    </row>
    <row r="852" spans="1:10" x14ac:dyDescent="0.2">
      <c r="A852" s="6">
        <v>42587</v>
      </c>
      <c r="B852">
        <v>2005</v>
      </c>
      <c r="C852">
        <v>2775</v>
      </c>
      <c r="D852">
        <v>851</v>
      </c>
      <c r="E852">
        <v>6750</v>
      </c>
      <c r="F852" t="s">
        <v>25</v>
      </c>
      <c r="G852">
        <v>7</v>
      </c>
      <c r="H852" t="s">
        <v>68</v>
      </c>
      <c r="I852">
        <v>14</v>
      </c>
      <c r="J852" s="10">
        <f t="shared" si="13"/>
        <v>7</v>
      </c>
    </row>
    <row r="853" spans="1:10" x14ac:dyDescent="0.2">
      <c r="A853" s="6">
        <v>43587</v>
      </c>
      <c r="B853">
        <v>2003</v>
      </c>
      <c r="C853">
        <v>2824</v>
      </c>
      <c r="D853">
        <v>852</v>
      </c>
      <c r="E853">
        <v>8500</v>
      </c>
      <c r="F853" t="s">
        <v>25</v>
      </c>
      <c r="G853">
        <v>6</v>
      </c>
      <c r="H853" t="s">
        <v>68</v>
      </c>
      <c r="I853">
        <v>16</v>
      </c>
      <c r="J853" s="10">
        <f t="shared" si="13"/>
        <v>6</v>
      </c>
    </row>
    <row r="854" spans="1:10" x14ac:dyDescent="0.2">
      <c r="A854" s="6">
        <v>43551</v>
      </c>
      <c r="B854">
        <v>2003</v>
      </c>
      <c r="C854">
        <v>2824</v>
      </c>
      <c r="D854">
        <v>853</v>
      </c>
      <c r="E854">
        <v>8150</v>
      </c>
      <c r="F854" t="s">
        <v>25</v>
      </c>
      <c r="G854">
        <v>7</v>
      </c>
      <c r="H854" t="s">
        <v>68</v>
      </c>
      <c r="I854">
        <v>16</v>
      </c>
      <c r="J854" s="10">
        <f t="shared" si="13"/>
        <v>7</v>
      </c>
    </row>
    <row r="855" spans="1:10" x14ac:dyDescent="0.2">
      <c r="A855" s="6">
        <v>43549</v>
      </c>
      <c r="B855">
        <v>2003</v>
      </c>
      <c r="C855">
        <v>2824</v>
      </c>
      <c r="D855">
        <v>854</v>
      </c>
      <c r="E855">
        <v>9600</v>
      </c>
      <c r="F855" t="s">
        <v>25</v>
      </c>
      <c r="G855">
        <v>12</v>
      </c>
      <c r="H855" t="s">
        <v>68</v>
      </c>
      <c r="I855">
        <v>16</v>
      </c>
      <c r="J855" s="10">
        <f t="shared" si="13"/>
        <v>12</v>
      </c>
    </row>
    <row r="856" spans="1:10" x14ac:dyDescent="0.2">
      <c r="A856" s="6">
        <v>43549</v>
      </c>
      <c r="B856">
        <v>2003</v>
      </c>
      <c r="C856">
        <v>2824</v>
      </c>
      <c r="D856">
        <v>855</v>
      </c>
      <c r="E856">
        <v>8500</v>
      </c>
      <c r="F856" t="s">
        <v>25</v>
      </c>
      <c r="G856">
        <v>6</v>
      </c>
      <c r="H856" t="s">
        <v>68</v>
      </c>
      <c r="I856">
        <v>16</v>
      </c>
      <c r="J856" s="10">
        <f t="shared" si="13"/>
        <v>6</v>
      </c>
    </row>
    <row r="857" spans="1:10" x14ac:dyDescent="0.2">
      <c r="A857" s="6">
        <v>43497</v>
      </c>
      <c r="B857">
        <v>2005</v>
      </c>
      <c r="C857">
        <v>2824</v>
      </c>
      <c r="D857">
        <v>856</v>
      </c>
      <c r="E857">
        <v>9000</v>
      </c>
      <c r="F857" t="s">
        <v>25</v>
      </c>
      <c r="G857">
        <v>100</v>
      </c>
      <c r="H857" t="s">
        <v>26</v>
      </c>
      <c r="I857">
        <v>14</v>
      </c>
      <c r="J857" s="10">
        <f t="shared" si="13"/>
        <v>3</v>
      </c>
    </row>
    <row r="858" spans="1:10" x14ac:dyDescent="0.2">
      <c r="A858" s="6">
        <v>43495</v>
      </c>
      <c r="B858">
        <v>2002</v>
      </c>
      <c r="C858">
        <v>2824</v>
      </c>
      <c r="D858">
        <v>857</v>
      </c>
      <c r="E858">
        <v>8000</v>
      </c>
      <c r="F858" t="s">
        <v>25</v>
      </c>
      <c r="G858">
        <v>8</v>
      </c>
      <c r="H858" t="s">
        <v>68</v>
      </c>
      <c r="I858">
        <v>17</v>
      </c>
      <c r="J858" s="10">
        <f t="shared" si="13"/>
        <v>8</v>
      </c>
    </row>
    <row r="859" spans="1:10" x14ac:dyDescent="0.2">
      <c r="A859" s="6">
        <v>43480</v>
      </c>
      <c r="B859">
        <v>2003</v>
      </c>
      <c r="C859">
        <v>2824</v>
      </c>
      <c r="D859">
        <v>858</v>
      </c>
      <c r="E859">
        <v>8000</v>
      </c>
      <c r="F859" t="s">
        <v>25</v>
      </c>
      <c r="G859">
        <v>12</v>
      </c>
      <c r="H859" t="s">
        <v>68</v>
      </c>
      <c r="I859">
        <v>16</v>
      </c>
      <c r="J859" s="10">
        <f t="shared" si="13"/>
        <v>12</v>
      </c>
    </row>
    <row r="860" spans="1:10" x14ac:dyDescent="0.2">
      <c r="A860" s="6">
        <v>43468</v>
      </c>
      <c r="B860">
        <v>2003</v>
      </c>
      <c r="C860">
        <v>2824</v>
      </c>
      <c r="D860">
        <v>859</v>
      </c>
      <c r="E860">
        <v>8500</v>
      </c>
      <c r="F860" t="s">
        <v>25</v>
      </c>
      <c r="G860">
        <v>50</v>
      </c>
      <c r="H860" t="s">
        <v>26</v>
      </c>
      <c r="I860">
        <v>16</v>
      </c>
      <c r="J860" s="10">
        <f t="shared" si="13"/>
        <v>2</v>
      </c>
    </row>
    <row r="861" spans="1:10" x14ac:dyDescent="0.2">
      <c r="A861" s="6">
        <v>43458</v>
      </c>
      <c r="B861">
        <v>2003</v>
      </c>
      <c r="C861">
        <v>2824</v>
      </c>
      <c r="D861">
        <v>860</v>
      </c>
      <c r="E861">
        <v>8500</v>
      </c>
      <c r="F861" t="s">
        <v>25</v>
      </c>
      <c r="G861">
        <v>50</v>
      </c>
      <c r="H861" t="s">
        <v>26</v>
      </c>
      <c r="I861">
        <v>16</v>
      </c>
      <c r="J861" s="10">
        <f t="shared" si="13"/>
        <v>2</v>
      </c>
    </row>
    <row r="862" spans="1:10" x14ac:dyDescent="0.2">
      <c r="A862" s="6">
        <v>43425</v>
      </c>
      <c r="B862">
        <v>2003</v>
      </c>
      <c r="C862">
        <v>2824</v>
      </c>
      <c r="D862">
        <v>861</v>
      </c>
      <c r="E862">
        <v>9500</v>
      </c>
      <c r="F862" t="s">
        <v>25</v>
      </c>
      <c r="G862">
        <v>50</v>
      </c>
      <c r="H862" t="s">
        <v>26</v>
      </c>
      <c r="I862">
        <v>16</v>
      </c>
      <c r="J862" s="10">
        <f t="shared" si="13"/>
        <v>2</v>
      </c>
    </row>
    <row r="863" spans="1:10" x14ac:dyDescent="0.2">
      <c r="A863" s="6">
        <v>43418</v>
      </c>
      <c r="B863">
        <v>2005</v>
      </c>
      <c r="C863">
        <v>2824</v>
      </c>
      <c r="D863">
        <v>862</v>
      </c>
      <c r="E863">
        <v>10000</v>
      </c>
      <c r="F863" t="s">
        <v>25</v>
      </c>
      <c r="G863">
        <v>4</v>
      </c>
      <c r="H863" t="s">
        <v>68</v>
      </c>
      <c r="I863">
        <v>14</v>
      </c>
      <c r="J863" s="10">
        <f t="shared" si="13"/>
        <v>4</v>
      </c>
    </row>
    <row r="864" spans="1:10" x14ac:dyDescent="0.2">
      <c r="A864" s="6">
        <v>43410</v>
      </c>
      <c r="B864">
        <v>2002</v>
      </c>
      <c r="C864">
        <v>2824</v>
      </c>
      <c r="D864">
        <v>863</v>
      </c>
      <c r="E864">
        <v>9100</v>
      </c>
      <c r="F864" t="s">
        <v>25</v>
      </c>
      <c r="G864">
        <v>7</v>
      </c>
      <c r="H864" t="s">
        <v>68</v>
      </c>
      <c r="I864">
        <v>17</v>
      </c>
      <c r="J864" s="10">
        <f t="shared" si="13"/>
        <v>7</v>
      </c>
    </row>
    <row r="865" spans="1:10" x14ac:dyDescent="0.2">
      <c r="A865" s="6">
        <v>43395</v>
      </c>
      <c r="B865">
        <v>2003</v>
      </c>
      <c r="C865">
        <v>2824</v>
      </c>
      <c r="D865">
        <v>864</v>
      </c>
      <c r="E865">
        <v>10550</v>
      </c>
      <c r="F865" t="s">
        <v>25</v>
      </c>
      <c r="G865">
        <v>6</v>
      </c>
      <c r="H865" t="s">
        <v>68</v>
      </c>
      <c r="I865">
        <v>16</v>
      </c>
      <c r="J865" s="10">
        <f t="shared" si="13"/>
        <v>6</v>
      </c>
    </row>
    <row r="866" spans="1:10" x14ac:dyDescent="0.2">
      <c r="A866" s="6">
        <v>43327</v>
      </c>
      <c r="B866">
        <v>2003</v>
      </c>
      <c r="C866">
        <v>2824</v>
      </c>
      <c r="D866">
        <v>865</v>
      </c>
      <c r="E866">
        <v>10750</v>
      </c>
      <c r="F866" t="s">
        <v>25</v>
      </c>
      <c r="G866">
        <v>9</v>
      </c>
      <c r="H866" t="s">
        <v>68</v>
      </c>
      <c r="I866">
        <v>16</v>
      </c>
      <c r="J866" s="10">
        <f t="shared" si="13"/>
        <v>9</v>
      </c>
    </row>
    <row r="867" spans="1:10" x14ac:dyDescent="0.2">
      <c r="A867" s="6">
        <v>43321</v>
      </c>
      <c r="B867">
        <v>2003</v>
      </c>
      <c r="C867">
        <v>2824</v>
      </c>
      <c r="D867">
        <v>866</v>
      </c>
      <c r="E867">
        <v>10150</v>
      </c>
      <c r="F867" t="s">
        <v>25</v>
      </c>
      <c r="G867">
        <v>4</v>
      </c>
      <c r="H867" t="s">
        <v>68</v>
      </c>
      <c r="I867">
        <v>16</v>
      </c>
      <c r="J867" s="10">
        <f t="shared" si="13"/>
        <v>4</v>
      </c>
    </row>
    <row r="868" spans="1:10" x14ac:dyDescent="0.2">
      <c r="A868" s="6">
        <v>43318</v>
      </c>
      <c r="B868">
        <v>2005</v>
      </c>
      <c r="C868">
        <v>2824</v>
      </c>
      <c r="D868">
        <v>867</v>
      </c>
      <c r="E868">
        <v>11400</v>
      </c>
      <c r="F868" t="s">
        <v>25</v>
      </c>
      <c r="G868">
        <v>6</v>
      </c>
      <c r="H868" t="s">
        <v>68</v>
      </c>
      <c r="I868">
        <v>14</v>
      </c>
      <c r="J868" s="10">
        <f t="shared" si="13"/>
        <v>6</v>
      </c>
    </row>
    <row r="869" spans="1:10" x14ac:dyDescent="0.2">
      <c r="A869" s="6">
        <v>43308</v>
      </c>
      <c r="B869">
        <v>2005</v>
      </c>
      <c r="C869">
        <v>2824</v>
      </c>
      <c r="D869">
        <v>868</v>
      </c>
      <c r="E869">
        <v>10900</v>
      </c>
      <c r="F869" t="s">
        <v>25</v>
      </c>
      <c r="G869">
        <v>6</v>
      </c>
      <c r="H869" t="s">
        <v>68</v>
      </c>
      <c r="I869">
        <v>14</v>
      </c>
      <c r="J869" s="10">
        <f t="shared" si="13"/>
        <v>6</v>
      </c>
    </row>
    <row r="870" spans="1:10" x14ac:dyDescent="0.2">
      <c r="A870" s="6">
        <v>43301</v>
      </c>
      <c r="B870">
        <v>2005</v>
      </c>
      <c r="C870">
        <v>2824</v>
      </c>
      <c r="D870">
        <v>869</v>
      </c>
      <c r="E870">
        <v>11400</v>
      </c>
      <c r="F870" t="s">
        <v>25</v>
      </c>
      <c r="G870">
        <v>8</v>
      </c>
      <c r="H870" t="s">
        <v>68</v>
      </c>
      <c r="I870">
        <v>14</v>
      </c>
      <c r="J870" s="10">
        <f t="shared" si="13"/>
        <v>8</v>
      </c>
    </row>
    <row r="871" spans="1:10" x14ac:dyDescent="0.2">
      <c r="A871" s="6">
        <v>43293</v>
      </c>
      <c r="B871">
        <v>2005</v>
      </c>
      <c r="C871">
        <v>2824</v>
      </c>
      <c r="D871">
        <v>870</v>
      </c>
      <c r="E871">
        <v>11750</v>
      </c>
      <c r="F871" t="s">
        <v>25</v>
      </c>
      <c r="G871">
        <v>40</v>
      </c>
      <c r="H871" t="s">
        <v>26</v>
      </c>
      <c r="I871">
        <v>14</v>
      </c>
      <c r="J871" s="10">
        <f t="shared" si="13"/>
        <v>1</v>
      </c>
    </row>
    <row r="872" spans="1:10" x14ac:dyDescent="0.2">
      <c r="A872" s="6">
        <v>43191</v>
      </c>
      <c r="B872">
        <v>2005</v>
      </c>
      <c r="C872">
        <v>2824</v>
      </c>
      <c r="D872">
        <v>871</v>
      </c>
      <c r="E872">
        <v>10400</v>
      </c>
      <c r="F872" t="s">
        <v>25</v>
      </c>
      <c r="G872">
        <v>7</v>
      </c>
      <c r="H872" t="s">
        <v>68</v>
      </c>
      <c r="I872">
        <v>14</v>
      </c>
      <c r="J872" s="10">
        <f t="shared" si="13"/>
        <v>7</v>
      </c>
    </row>
    <row r="873" spans="1:10" x14ac:dyDescent="0.2">
      <c r="A873" s="6">
        <v>43187</v>
      </c>
      <c r="B873">
        <v>2003</v>
      </c>
      <c r="C873">
        <v>2824</v>
      </c>
      <c r="D873">
        <v>872</v>
      </c>
      <c r="E873">
        <v>10500</v>
      </c>
      <c r="F873" t="s">
        <v>25</v>
      </c>
      <c r="G873">
        <v>12</v>
      </c>
      <c r="H873" t="s">
        <v>68</v>
      </c>
      <c r="I873">
        <v>16</v>
      </c>
      <c r="J873" s="10">
        <f t="shared" si="13"/>
        <v>12</v>
      </c>
    </row>
    <row r="874" spans="1:10" x14ac:dyDescent="0.2">
      <c r="A874" s="6">
        <v>43172</v>
      </c>
      <c r="B874">
        <v>2003</v>
      </c>
      <c r="C874">
        <v>2824</v>
      </c>
      <c r="D874">
        <v>873</v>
      </c>
      <c r="E874">
        <v>9250</v>
      </c>
      <c r="F874" t="s">
        <v>25</v>
      </c>
      <c r="G874">
        <v>5</v>
      </c>
      <c r="H874" t="s">
        <v>68</v>
      </c>
      <c r="I874">
        <v>16</v>
      </c>
      <c r="J874" s="10">
        <f t="shared" si="13"/>
        <v>5</v>
      </c>
    </row>
    <row r="875" spans="1:10" x14ac:dyDescent="0.2">
      <c r="A875" s="6">
        <v>43160</v>
      </c>
      <c r="B875">
        <v>2005</v>
      </c>
      <c r="C875">
        <v>2824</v>
      </c>
      <c r="D875">
        <v>874</v>
      </c>
      <c r="E875">
        <v>9000</v>
      </c>
      <c r="F875" t="s">
        <v>25</v>
      </c>
      <c r="G875">
        <v>13</v>
      </c>
      <c r="H875" t="s">
        <v>68</v>
      </c>
      <c r="I875">
        <v>14</v>
      </c>
      <c r="J875" s="10">
        <f t="shared" si="13"/>
        <v>13</v>
      </c>
    </row>
    <row r="876" spans="1:10" x14ac:dyDescent="0.2">
      <c r="A876" s="6">
        <v>43151</v>
      </c>
      <c r="B876">
        <v>2002</v>
      </c>
      <c r="C876">
        <v>2824</v>
      </c>
      <c r="D876">
        <v>875</v>
      </c>
      <c r="E876">
        <v>9100</v>
      </c>
      <c r="F876" t="s">
        <v>25</v>
      </c>
      <c r="G876">
        <v>8</v>
      </c>
      <c r="H876" t="s">
        <v>68</v>
      </c>
      <c r="I876">
        <v>17</v>
      </c>
      <c r="J876" s="10">
        <f t="shared" si="13"/>
        <v>8</v>
      </c>
    </row>
    <row r="877" spans="1:10" x14ac:dyDescent="0.2">
      <c r="A877" s="6">
        <v>43130</v>
      </c>
      <c r="B877">
        <v>2005</v>
      </c>
      <c r="C877">
        <v>2824</v>
      </c>
      <c r="D877">
        <v>876</v>
      </c>
      <c r="E877">
        <v>9000</v>
      </c>
      <c r="F877" t="s">
        <v>25</v>
      </c>
      <c r="G877">
        <v>120</v>
      </c>
      <c r="H877" t="s">
        <v>26</v>
      </c>
      <c r="I877">
        <v>14</v>
      </c>
      <c r="J877" s="10">
        <f t="shared" si="13"/>
        <v>4</v>
      </c>
    </row>
    <row r="878" spans="1:10" x14ac:dyDescent="0.2">
      <c r="A878" s="6">
        <v>43115</v>
      </c>
      <c r="B878">
        <v>2005</v>
      </c>
      <c r="C878">
        <v>2824</v>
      </c>
      <c r="D878">
        <v>877</v>
      </c>
      <c r="E878">
        <v>9000</v>
      </c>
      <c r="F878" t="s">
        <v>25</v>
      </c>
      <c r="G878">
        <v>6</v>
      </c>
      <c r="H878" t="s">
        <v>68</v>
      </c>
      <c r="I878">
        <v>14</v>
      </c>
      <c r="J878" s="10">
        <f t="shared" si="13"/>
        <v>6</v>
      </c>
    </row>
    <row r="879" spans="1:10" x14ac:dyDescent="0.2">
      <c r="A879" s="6">
        <v>43115</v>
      </c>
      <c r="B879">
        <v>2003</v>
      </c>
      <c r="C879">
        <v>2824</v>
      </c>
      <c r="D879">
        <v>878</v>
      </c>
      <c r="E879">
        <v>9100</v>
      </c>
      <c r="F879" t="s">
        <v>25</v>
      </c>
      <c r="G879">
        <v>70</v>
      </c>
      <c r="H879" t="s">
        <v>26</v>
      </c>
      <c r="I879">
        <v>16</v>
      </c>
      <c r="J879" s="10">
        <f t="shared" si="13"/>
        <v>2</v>
      </c>
    </row>
    <row r="880" spans="1:10" x14ac:dyDescent="0.2">
      <c r="A880" s="6">
        <v>43109</v>
      </c>
      <c r="B880">
        <v>2003</v>
      </c>
      <c r="C880">
        <v>2824</v>
      </c>
      <c r="D880">
        <v>879</v>
      </c>
      <c r="E880">
        <v>9000</v>
      </c>
      <c r="F880" t="s">
        <v>25</v>
      </c>
      <c r="G880">
        <v>35</v>
      </c>
      <c r="H880" t="s">
        <v>26</v>
      </c>
      <c r="I880">
        <v>16</v>
      </c>
      <c r="J880" s="10">
        <f t="shared" si="13"/>
        <v>1</v>
      </c>
    </row>
    <row r="881" spans="1:10" x14ac:dyDescent="0.2">
      <c r="A881" s="6">
        <v>43109</v>
      </c>
      <c r="B881">
        <v>2003</v>
      </c>
      <c r="C881">
        <v>2824</v>
      </c>
      <c r="D881">
        <v>880</v>
      </c>
      <c r="E881">
        <v>9000</v>
      </c>
      <c r="F881" t="s">
        <v>25</v>
      </c>
      <c r="G881">
        <v>35</v>
      </c>
      <c r="H881" t="s">
        <v>26</v>
      </c>
      <c r="I881">
        <v>16</v>
      </c>
      <c r="J881" s="10">
        <f t="shared" si="13"/>
        <v>1</v>
      </c>
    </row>
    <row r="882" spans="1:10" x14ac:dyDescent="0.2">
      <c r="A882" s="6">
        <v>43074</v>
      </c>
      <c r="B882">
        <v>2002</v>
      </c>
      <c r="C882">
        <v>2824</v>
      </c>
      <c r="D882">
        <v>881</v>
      </c>
      <c r="E882">
        <v>9200</v>
      </c>
      <c r="F882" t="s">
        <v>25</v>
      </c>
      <c r="G882">
        <v>56</v>
      </c>
      <c r="H882" t="s">
        <v>26</v>
      </c>
      <c r="I882">
        <v>17</v>
      </c>
      <c r="J882" s="10">
        <f t="shared" si="13"/>
        <v>2</v>
      </c>
    </row>
    <row r="883" spans="1:10" x14ac:dyDescent="0.2">
      <c r="A883" s="6">
        <v>43073</v>
      </c>
      <c r="B883">
        <v>2003</v>
      </c>
      <c r="C883">
        <v>2824</v>
      </c>
      <c r="D883">
        <v>882</v>
      </c>
      <c r="E883">
        <v>9200</v>
      </c>
      <c r="F883" t="s">
        <v>25</v>
      </c>
      <c r="G883">
        <v>1</v>
      </c>
      <c r="H883" t="s">
        <v>68</v>
      </c>
      <c r="I883">
        <v>16</v>
      </c>
      <c r="J883" s="10">
        <f t="shared" si="13"/>
        <v>1</v>
      </c>
    </row>
    <row r="884" spans="1:10" x14ac:dyDescent="0.2">
      <c r="A884" s="6">
        <v>43073</v>
      </c>
      <c r="B884">
        <v>2005</v>
      </c>
      <c r="C884">
        <v>2824</v>
      </c>
      <c r="D884">
        <v>883</v>
      </c>
      <c r="E884">
        <v>8650</v>
      </c>
      <c r="F884" t="s">
        <v>25</v>
      </c>
      <c r="G884">
        <v>8</v>
      </c>
      <c r="H884" t="s">
        <v>68</v>
      </c>
      <c r="I884">
        <v>14</v>
      </c>
      <c r="J884" s="10">
        <f t="shared" si="13"/>
        <v>8</v>
      </c>
    </row>
    <row r="885" spans="1:10" x14ac:dyDescent="0.2">
      <c r="A885" s="6">
        <v>43054</v>
      </c>
      <c r="B885">
        <v>2003</v>
      </c>
      <c r="C885">
        <v>2824</v>
      </c>
      <c r="D885">
        <v>884</v>
      </c>
      <c r="E885">
        <v>9300</v>
      </c>
      <c r="F885" t="s">
        <v>25</v>
      </c>
      <c r="G885">
        <v>30</v>
      </c>
      <c r="H885" t="s">
        <v>26</v>
      </c>
      <c r="I885">
        <v>16</v>
      </c>
      <c r="J885" s="10">
        <f t="shared" si="13"/>
        <v>1</v>
      </c>
    </row>
    <row r="886" spans="1:10" x14ac:dyDescent="0.2">
      <c r="A886" s="6">
        <v>43040</v>
      </c>
      <c r="B886">
        <v>2003</v>
      </c>
      <c r="C886">
        <v>2824</v>
      </c>
      <c r="D886">
        <v>885</v>
      </c>
      <c r="E886">
        <v>9250</v>
      </c>
      <c r="F886" t="s">
        <v>25</v>
      </c>
      <c r="G886">
        <v>7</v>
      </c>
      <c r="H886" t="s">
        <v>68</v>
      </c>
      <c r="I886">
        <v>16</v>
      </c>
      <c r="J886" s="10">
        <f t="shared" si="13"/>
        <v>7</v>
      </c>
    </row>
    <row r="887" spans="1:10" x14ac:dyDescent="0.2">
      <c r="A887" s="6">
        <v>43028</v>
      </c>
      <c r="B887">
        <v>2003</v>
      </c>
      <c r="C887">
        <v>2824</v>
      </c>
      <c r="D887">
        <v>886</v>
      </c>
      <c r="E887">
        <v>9300</v>
      </c>
      <c r="F887" t="s">
        <v>25</v>
      </c>
      <c r="G887">
        <v>1</v>
      </c>
      <c r="H887" t="s">
        <v>68</v>
      </c>
      <c r="I887">
        <v>16</v>
      </c>
      <c r="J887" s="10">
        <f t="shared" si="13"/>
        <v>1</v>
      </c>
    </row>
    <row r="888" spans="1:10" x14ac:dyDescent="0.2">
      <c r="A888" s="6">
        <v>43009</v>
      </c>
      <c r="B888">
        <v>2003</v>
      </c>
      <c r="C888">
        <v>2824</v>
      </c>
      <c r="D888">
        <v>887</v>
      </c>
      <c r="E888">
        <v>9100</v>
      </c>
      <c r="F888" t="s">
        <v>25</v>
      </c>
      <c r="G888">
        <v>5.5</v>
      </c>
      <c r="H888" t="s">
        <v>68</v>
      </c>
      <c r="I888">
        <v>16</v>
      </c>
      <c r="J888" s="10">
        <f t="shared" si="13"/>
        <v>5.5</v>
      </c>
    </row>
    <row r="889" spans="1:10" x14ac:dyDescent="0.2">
      <c r="A889" s="6">
        <v>43005</v>
      </c>
      <c r="B889">
        <v>2005</v>
      </c>
      <c r="C889">
        <v>2824</v>
      </c>
      <c r="D889">
        <v>888</v>
      </c>
      <c r="E889">
        <v>9350</v>
      </c>
      <c r="F889" t="s">
        <v>25</v>
      </c>
      <c r="G889">
        <v>6</v>
      </c>
      <c r="H889" t="s">
        <v>68</v>
      </c>
      <c r="I889">
        <v>14</v>
      </c>
      <c r="J889" s="10">
        <f t="shared" si="13"/>
        <v>6</v>
      </c>
    </row>
    <row r="890" spans="1:10" x14ac:dyDescent="0.2">
      <c r="A890" s="6">
        <v>42936</v>
      </c>
      <c r="B890">
        <v>2005</v>
      </c>
      <c r="C890">
        <v>2824</v>
      </c>
      <c r="D890">
        <v>889</v>
      </c>
      <c r="E890">
        <v>8500</v>
      </c>
      <c r="F890" t="s">
        <v>25</v>
      </c>
      <c r="G890">
        <v>12</v>
      </c>
      <c r="H890" t="s">
        <v>68</v>
      </c>
      <c r="I890">
        <v>14</v>
      </c>
      <c r="J890" s="10">
        <f t="shared" si="13"/>
        <v>12</v>
      </c>
    </row>
    <row r="891" spans="1:10" x14ac:dyDescent="0.2">
      <c r="A891" s="6">
        <v>42887</v>
      </c>
      <c r="B891">
        <v>2003</v>
      </c>
      <c r="C891">
        <v>2824</v>
      </c>
      <c r="D891">
        <v>890</v>
      </c>
      <c r="E891">
        <v>9600</v>
      </c>
      <c r="F891" t="s">
        <v>25</v>
      </c>
      <c r="G891">
        <v>8</v>
      </c>
      <c r="H891" t="s">
        <v>68</v>
      </c>
      <c r="I891">
        <v>16</v>
      </c>
      <c r="J891" s="10">
        <f t="shared" si="13"/>
        <v>8</v>
      </c>
    </row>
    <row r="892" spans="1:10" x14ac:dyDescent="0.2">
      <c r="A892" s="6">
        <v>42870</v>
      </c>
      <c r="B892">
        <v>2003</v>
      </c>
      <c r="C892">
        <v>2824</v>
      </c>
      <c r="D892">
        <v>891</v>
      </c>
      <c r="E892">
        <v>9800</v>
      </c>
      <c r="F892" t="s">
        <v>25</v>
      </c>
      <c r="G892">
        <v>5</v>
      </c>
      <c r="H892" t="s">
        <v>68</v>
      </c>
      <c r="I892">
        <v>16</v>
      </c>
      <c r="J892" s="10">
        <f t="shared" si="13"/>
        <v>5</v>
      </c>
    </row>
    <row r="893" spans="1:10" x14ac:dyDescent="0.2">
      <c r="A893" s="6">
        <v>42846</v>
      </c>
      <c r="B893">
        <v>2003</v>
      </c>
      <c r="C893">
        <v>2824</v>
      </c>
      <c r="D893">
        <v>892</v>
      </c>
      <c r="E893">
        <v>9500</v>
      </c>
      <c r="F893" t="s">
        <v>25</v>
      </c>
      <c r="G893">
        <v>8</v>
      </c>
      <c r="H893" t="s">
        <v>68</v>
      </c>
      <c r="I893">
        <v>16</v>
      </c>
      <c r="J893" s="10">
        <f t="shared" si="13"/>
        <v>8</v>
      </c>
    </row>
    <row r="894" spans="1:10" x14ac:dyDescent="0.2">
      <c r="A894" s="6">
        <v>42831</v>
      </c>
      <c r="B894">
        <v>2005</v>
      </c>
      <c r="C894">
        <v>2824</v>
      </c>
      <c r="D894">
        <v>893</v>
      </c>
      <c r="E894">
        <v>8750</v>
      </c>
      <c r="F894" t="s">
        <v>25</v>
      </c>
      <c r="G894">
        <v>6</v>
      </c>
      <c r="H894" t="s">
        <v>68</v>
      </c>
      <c r="I894">
        <v>14</v>
      </c>
      <c r="J894" s="10">
        <f t="shared" si="13"/>
        <v>6</v>
      </c>
    </row>
    <row r="895" spans="1:10" x14ac:dyDescent="0.2">
      <c r="A895" s="6">
        <v>42830</v>
      </c>
      <c r="B895">
        <v>2003</v>
      </c>
      <c r="C895">
        <v>2824</v>
      </c>
      <c r="D895">
        <v>894</v>
      </c>
      <c r="E895">
        <v>9500</v>
      </c>
      <c r="F895" t="s">
        <v>25</v>
      </c>
      <c r="G895">
        <v>7</v>
      </c>
      <c r="H895" t="s">
        <v>68</v>
      </c>
      <c r="I895">
        <v>16</v>
      </c>
      <c r="J895" s="10">
        <f t="shared" si="13"/>
        <v>7</v>
      </c>
    </row>
    <row r="896" spans="1:10" x14ac:dyDescent="0.2">
      <c r="A896" s="6">
        <v>42830</v>
      </c>
      <c r="B896">
        <v>2003</v>
      </c>
      <c r="C896">
        <v>2824</v>
      </c>
      <c r="D896">
        <v>895</v>
      </c>
      <c r="E896">
        <v>9500</v>
      </c>
      <c r="F896" t="s">
        <v>25</v>
      </c>
      <c r="G896">
        <v>7</v>
      </c>
      <c r="H896" t="s">
        <v>68</v>
      </c>
      <c r="I896">
        <v>16</v>
      </c>
      <c r="J896" s="10">
        <f t="shared" si="13"/>
        <v>7</v>
      </c>
    </row>
    <row r="897" spans="1:10" x14ac:dyDescent="0.2">
      <c r="A897" s="6">
        <v>42814</v>
      </c>
      <c r="B897">
        <v>2005</v>
      </c>
      <c r="C897">
        <v>2824</v>
      </c>
      <c r="D897">
        <v>896</v>
      </c>
      <c r="E897">
        <v>6750</v>
      </c>
      <c r="F897" t="s">
        <v>25</v>
      </c>
      <c r="G897">
        <v>6</v>
      </c>
      <c r="H897" t="s">
        <v>68</v>
      </c>
      <c r="I897">
        <v>14</v>
      </c>
      <c r="J897" s="10">
        <f t="shared" si="13"/>
        <v>6</v>
      </c>
    </row>
    <row r="898" spans="1:10" x14ac:dyDescent="0.2">
      <c r="A898" s="6">
        <v>42807</v>
      </c>
      <c r="B898">
        <v>2003</v>
      </c>
      <c r="C898">
        <v>2824</v>
      </c>
      <c r="D898">
        <v>897</v>
      </c>
      <c r="E898">
        <v>6500</v>
      </c>
      <c r="F898" t="s">
        <v>25</v>
      </c>
      <c r="G898">
        <v>6</v>
      </c>
      <c r="H898" t="s">
        <v>68</v>
      </c>
      <c r="I898">
        <v>16</v>
      </c>
      <c r="J898" s="10">
        <f t="shared" ref="J898:J931" si="14">IF(H898="days",ROUND(G898/30,0),IF(H898="years",G898*12,G898))</f>
        <v>6</v>
      </c>
    </row>
    <row r="899" spans="1:10" x14ac:dyDescent="0.2">
      <c r="A899" s="6">
        <v>42795</v>
      </c>
      <c r="B899">
        <v>2003</v>
      </c>
      <c r="C899">
        <v>2824</v>
      </c>
      <c r="D899">
        <v>898</v>
      </c>
      <c r="E899">
        <v>6500</v>
      </c>
      <c r="F899" t="s">
        <v>25</v>
      </c>
      <c r="G899">
        <v>8</v>
      </c>
      <c r="H899" t="s">
        <v>68</v>
      </c>
      <c r="I899">
        <v>16</v>
      </c>
      <c r="J899" s="10">
        <f t="shared" si="14"/>
        <v>8</v>
      </c>
    </row>
    <row r="900" spans="1:10" x14ac:dyDescent="0.2">
      <c r="A900" s="6">
        <v>42794</v>
      </c>
      <c r="B900">
        <v>2002</v>
      </c>
      <c r="C900">
        <v>2824</v>
      </c>
      <c r="D900">
        <v>899</v>
      </c>
      <c r="E900">
        <v>6300</v>
      </c>
      <c r="F900" t="s">
        <v>25</v>
      </c>
      <c r="G900">
        <v>5</v>
      </c>
      <c r="H900" t="s">
        <v>68</v>
      </c>
      <c r="I900">
        <v>17</v>
      </c>
      <c r="J900" s="10">
        <f t="shared" si="14"/>
        <v>5</v>
      </c>
    </row>
    <row r="901" spans="1:10" x14ac:dyDescent="0.2">
      <c r="A901" s="6">
        <v>42758</v>
      </c>
      <c r="B901">
        <v>2005</v>
      </c>
      <c r="C901">
        <v>2824</v>
      </c>
      <c r="D901">
        <v>900</v>
      </c>
      <c r="E901">
        <v>6000</v>
      </c>
      <c r="F901" t="s">
        <v>25</v>
      </c>
      <c r="G901">
        <v>12</v>
      </c>
      <c r="H901" t="s">
        <v>68</v>
      </c>
      <c r="I901">
        <v>14</v>
      </c>
      <c r="J901" s="10">
        <f t="shared" si="14"/>
        <v>12</v>
      </c>
    </row>
    <row r="902" spans="1:10" x14ac:dyDescent="0.2">
      <c r="A902" s="6">
        <v>42702</v>
      </c>
      <c r="B902">
        <v>2005</v>
      </c>
      <c r="C902">
        <v>2824</v>
      </c>
      <c r="D902">
        <v>901</v>
      </c>
      <c r="E902">
        <v>6000</v>
      </c>
      <c r="F902" t="s">
        <v>25</v>
      </c>
      <c r="G902">
        <v>12</v>
      </c>
      <c r="H902" t="s">
        <v>68</v>
      </c>
      <c r="I902">
        <v>14</v>
      </c>
      <c r="J902" s="10">
        <f t="shared" si="14"/>
        <v>12</v>
      </c>
    </row>
    <row r="903" spans="1:10" x14ac:dyDescent="0.2">
      <c r="A903" s="6">
        <v>42697</v>
      </c>
      <c r="B903">
        <v>2002</v>
      </c>
      <c r="C903">
        <v>2824</v>
      </c>
      <c r="D903">
        <v>902</v>
      </c>
      <c r="E903">
        <v>6000</v>
      </c>
      <c r="F903" t="s">
        <v>25</v>
      </c>
      <c r="G903">
        <v>3</v>
      </c>
      <c r="H903" t="s">
        <v>68</v>
      </c>
      <c r="I903">
        <v>17</v>
      </c>
      <c r="J903" s="10">
        <f t="shared" si="14"/>
        <v>3</v>
      </c>
    </row>
    <row r="904" spans="1:10" x14ac:dyDescent="0.2">
      <c r="A904" s="6">
        <v>42681</v>
      </c>
      <c r="B904">
        <v>2003</v>
      </c>
      <c r="C904">
        <v>2824</v>
      </c>
      <c r="D904">
        <v>903</v>
      </c>
      <c r="E904">
        <v>6000</v>
      </c>
      <c r="F904" t="s">
        <v>25</v>
      </c>
      <c r="G904">
        <v>6</v>
      </c>
      <c r="H904" t="s">
        <v>68</v>
      </c>
      <c r="I904">
        <v>16</v>
      </c>
      <c r="J904" s="10">
        <f t="shared" si="14"/>
        <v>6</v>
      </c>
    </row>
    <row r="905" spans="1:10" x14ac:dyDescent="0.2">
      <c r="A905" s="6">
        <v>42632</v>
      </c>
      <c r="B905">
        <v>2005</v>
      </c>
      <c r="C905">
        <v>2824</v>
      </c>
      <c r="D905">
        <v>904</v>
      </c>
      <c r="E905">
        <v>6000</v>
      </c>
      <c r="F905" t="s">
        <v>25</v>
      </c>
      <c r="G905">
        <v>12</v>
      </c>
      <c r="H905" t="s">
        <v>68</v>
      </c>
      <c r="I905">
        <v>14</v>
      </c>
      <c r="J905" s="10">
        <f t="shared" si="14"/>
        <v>12</v>
      </c>
    </row>
    <row r="906" spans="1:10" x14ac:dyDescent="0.2">
      <c r="A906" s="6">
        <v>42632</v>
      </c>
      <c r="B906">
        <v>2002</v>
      </c>
      <c r="C906">
        <v>2824</v>
      </c>
      <c r="D906">
        <v>905</v>
      </c>
      <c r="E906">
        <v>6000</v>
      </c>
      <c r="F906" t="s">
        <v>25</v>
      </c>
      <c r="G906">
        <v>3</v>
      </c>
      <c r="H906" t="s">
        <v>68</v>
      </c>
      <c r="I906">
        <v>17</v>
      </c>
      <c r="J906" s="10">
        <f t="shared" si="14"/>
        <v>3</v>
      </c>
    </row>
    <row r="907" spans="1:10" x14ac:dyDescent="0.2">
      <c r="A907" s="6">
        <v>42602</v>
      </c>
      <c r="B907">
        <v>2005</v>
      </c>
      <c r="C907">
        <v>2824</v>
      </c>
      <c r="D907">
        <v>906</v>
      </c>
      <c r="E907">
        <v>6000</v>
      </c>
      <c r="F907" t="s">
        <v>25</v>
      </c>
      <c r="G907">
        <v>12</v>
      </c>
      <c r="H907" t="s">
        <v>68</v>
      </c>
      <c r="I907">
        <v>14</v>
      </c>
      <c r="J907" s="10">
        <f t="shared" si="14"/>
        <v>12</v>
      </c>
    </row>
    <row r="908" spans="1:10" x14ac:dyDescent="0.2">
      <c r="A908" s="6">
        <v>42564</v>
      </c>
      <c r="B908">
        <v>2005</v>
      </c>
      <c r="C908">
        <v>2824</v>
      </c>
      <c r="D908">
        <v>907</v>
      </c>
      <c r="E908">
        <v>6000</v>
      </c>
      <c r="F908" t="s">
        <v>25</v>
      </c>
      <c r="G908">
        <v>4</v>
      </c>
      <c r="H908" t="s">
        <v>68</v>
      </c>
      <c r="I908">
        <v>14</v>
      </c>
      <c r="J908" s="10">
        <f t="shared" si="14"/>
        <v>4</v>
      </c>
    </row>
    <row r="909" spans="1:10" x14ac:dyDescent="0.2">
      <c r="A909" s="6">
        <v>42505</v>
      </c>
      <c r="B909">
        <v>2003</v>
      </c>
      <c r="C909">
        <v>2824</v>
      </c>
      <c r="D909">
        <v>908</v>
      </c>
      <c r="E909">
        <v>6000</v>
      </c>
      <c r="F909" t="s">
        <v>25</v>
      </c>
      <c r="G909">
        <v>6</v>
      </c>
      <c r="H909" t="s">
        <v>68</v>
      </c>
      <c r="I909">
        <v>16</v>
      </c>
      <c r="J909" s="10">
        <f t="shared" si="14"/>
        <v>6</v>
      </c>
    </row>
    <row r="910" spans="1:10" x14ac:dyDescent="0.2">
      <c r="A910" s="6">
        <v>42505</v>
      </c>
      <c r="B910">
        <v>2003</v>
      </c>
      <c r="C910">
        <v>2824</v>
      </c>
      <c r="D910">
        <v>909</v>
      </c>
      <c r="E910">
        <v>6000</v>
      </c>
      <c r="F910" t="s">
        <v>25</v>
      </c>
      <c r="G910">
        <v>6</v>
      </c>
      <c r="H910" t="s">
        <v>68</v>
      </c>
      <c r="I910">
        <v>16</v>
      </c>
      <c r="J910" s="10">
        <f t="shared" si="14"/>
        <v>6</v>
      </c>
    </row>
    <row r="911" spans="1:10" x14ac:dyDescent="0.2">
      <c r="A911" s="6">
        <v>42500</v>
      </c>
      <c r="B911">
        <v>2005</v>
      </c>
      <c r="C911">
        <v>2824</v>
      </c>
      <c r="D911">
        <v>910</v>
      </c>
      <c r="E911">
        <v>6000</v>
      </c>
      <c r="F911" t="s">
        <v>25</v>
      </c>
      <c r="G911">
        <v>6</v>
      </c>
      <c r="H911" t="s">
        <v>68</v>
      </c>
      <c r="I911">
        <v>14</v>
      </c>
      <c r="J911" s="10">
        <f t="shared" si="14"/>
        <v>6</v>
      </c>
    </row>
    <row r="912" spans="1:10" x14ac:dyDescent="0.2">
      <c r="A912" s="6">
        <v>42491</v>
      </c>
      <c r="B912">
        <v>2005</v>
      </c>
      <c r="C912">
        <v>2824</v>
      </c>
      <c r="D912">
        <v>911</v>
      </c>
      <c r="E912">
        <v>6000</v>
      </c>
      <c r="F912" t="s">
        <v>25</v>
      </c>
      <c r="G912">
        <v>6</v>
      </c>
      <c r="H912" t="s">
        <v>68</v>
      </c>
      <c r="I912">
        <v>14</v>
      </c>
      <c r="J912" s="10">
        <f t="shared" si="14"/>
        <v>6</v>
      </c>
    </row>
    <row r="913" spans="1:10" x14ac:dyDescent="0.2">
      <c r="A913" s="6">
        <v>42467</v>
      </c>
      <c r="B913">
        <v>2003</v>
      </c>
      <c r="C913">
        <v>2824</v>
      </c>
      <c r="D913">
        <v>912</v>
      </c>
      <c r="E913">
        <v>6000</v>
      </c>
      <c r="F913" t="s">
        <v>25</v>
      </c>
      <c r="G913">
        <v>7</v>
      </c>
      <c r="H913" t="s">
        <v>68</v>
      </c>
      <c r="I913">
        <v>16</v>
      </c>
      <c r="J913" s="10">
        <f t="shared" si="14"/>
        <v>7</v>
      </c>
    </row>
    <row r="914" spans="1:10" x14ac:dyDescent="0.2">
      <c r="A914" s="6">
        <v>42461</v>
      </c>
      <c r="B914">
        <v>2003</v>
      </c>
      <c r="C914">
        <v>2824</v>
      </c>
      <c r="D914">
        <v>913</v>
      </c>
      <c r="E914">
        <v>6000</v>
      </c>
      <c r="F914" t="s">
        <v>25</v>
      </c>
      <c r="G914">
        <v>12</v>
      </c>
      <c r="H914" t="s">
        <v>68</v>
      </c>
      <c r="I914">
        <v>16</v>
      </c>
      <c r="J914" s="10">
        <f t="shared" si="14"/>
        <v>12</v>
      </c>
    </row>
    <row r="915" spans="1:10" x14ac:dyDescent="0.2">
      <c r="A915" s="6">
        <v>42460</v>
      </c>
      <c r="B915">
        <v>2002</v>
      </c>
      <c r="C915">
        <v>2824</v>
      </c>
      <c r="D915">
        <v>914</v>
      </c>
      <c r="E915">
        <v>6000</v>
      </c>
      <c r="F915" t="s">
        <v>25</v>
      </c>
      <c r="G915">
        <v>5</v>
      </c>
      <c r="H915" t="s">
        <v>68</v>
      </c>
      <c r="I915">
        <v>17</v>
      </c>
      <c r="J915" s="10">
        <f t="shared" si="14"/>
        <v>5</v>
      </c>
    </row>
    <row r="916" spans="1:10" x14ac:dyDescent="0.2">
      <c r="A916" s="6">
        <v>42450</v>
      </c>
      <c r="B916">
        <v>2005</v>
      </c>
      <c r="C916">
        <v>2824</v>
      </c>
      <c r="D916">
        <v>915</v>
      </c>
      <c r="E916">
        <v>6250</v>
      </c>
      <c r="F916" t="s">
        <v>25</v>
      </c>
      <c r="G916">
        <v>6</v>
      </c>
      <c r="H916" t="s">
        <v>68</v>
      </c>
      <c r="I916">
        <v>14</v>
      </c>
      <c r="J916" s="10">
        <f t="shared" si="14"/>
        <v>6</v>
      </c>
    </row>
    <row r="917" spans="1:10" x14ac:dyDescent="0.2">
      <c r="A917" s="6">
        <v>42429</v>
      </c>
      <c r="B917">
        <v>2003</v>
      </c>
      <c r="C917">
        <v>2824</v>
      </c>
      <c r="D917">
        <v>916</v>
      </c>
      <c r="E917">
        <v>6000</v>
      </c>
      <c r="F917" t="s">
        <v>25</v>
      </c>
      <c r="G917">
        <v>3</v>
      </c>
      <c r="H917" t="s">
        <v>68</v>
      </c>
      <c r="I917">
        <v>16</v>
      </c>
      <c r="J917" s="10">
        <f t="shared" si="14"/>
        <v>3</v>
      </c>
    </row>
    <row r="918" spans="1:10" x14ac:dyDescent="0.2">
      <c r="A918" s="6">
        <v>42408</v>
      </c>
      <c r="B918">
        <v>2005</v>
      </c>
      <c r="C918">
        <v>2824</v>
      </c>
      <c r="D918">
        <v>917</v>
      </c>
      <c r="E918">
        <v>6100</v>
      </c>
      <c r="F918" t="s">
        <v>25</v>
      </c>
      <c r="G918">
        <v>5</v>
      </c>
      <c r="H918" t="s">
        <v>68</v>
      </c>
      <c r="I918">
        <v>14</v>
      </c>
      <c r="J918" s="10">
        <f t="shared" si="14"/>
        <v>5</v>
      </c>
    </row>
    <row r="919" spans="1:10" x14ac:dyDescent="0.2">
      <c r="A919" s="6">
        <v>42401</v>
      </c>
      <c r="B919">
        <v>2005</v>
      </c>
      <c r="C919">
        <v>2824</v>
      </c>
      <c r="D919">
        <v>918</v>
      </c>
      <c r="E919">
        <v>6000</v>
      </c>
      <c r="F919" t="s">
        <v>25</v>
      </c>
      <c r="G919">
        <v>6</v>
      </c>
      <c r="H919" t="s">
        <v>68</v>
      </c>
      <c r="I919">
        <v>14</v>
      </c>
      <c r="J919" s="10">
        <f t="shared" si="14"/>
        <v>6</v>
      </c>
    </row>
    <row r="920" spans="1:10" x14ac:dyDescent="0.2">
      <c r="A920" s="6">
        <v>42401</v>
      </c>
      <c r="B920">
        <v>2003</v>
      </c>
      <c r="C920">
        <v>2824</v>
      </c>
      <c r="D920">
        <v>919</v>
      </c>
      <c r="E920">
        <v>6000</v>
      </c>
      <c r="F920" t="s">
        <v>25</v>
      </c>
      <c r="G920">
        <v>6</v>
      </c>
      <c r="H920" t="s">
        <v>68</v>
      </c>
      <c r="I920">
        <v>16</v>
      </c>
      <c r="J920" s="10">
        <f t="shared" si="14"/>
        <v>6</v>
      </c>
    </row>
    <row r="921" spans="1:10" x14ac:dyDescent="0.2">
      <c r="A921" s="6">
        <v>43558</v>
      </c>
      <c r="B921">
        <v>2005</v>
      </c>
      <c r="C921">
        <v>2826</v>
      </c>
      <c r="D921">
        <v>920</v>
      </c>
      <c r="E921">
        <v>8500</v>
      </c>
      <c r="F921" t="s">
        <v>25</v>
      </c>
      <c r="G921">
        <v>6</v>
      </c>
      <c r="H921" t="s">
        <v>68</v>
      </c>
      <c r="I921">
        <v>14</v>
      </c>
      <c r="J921" s="10">
        <f t="shared" si="14"/>
        <v>6</v>
      </c>
    </row>
    <row r="922" spans="1:10" x14ac:dyDescent="0.2">
      <c r="A922" s="6">
        <v>43531</v>
      </c>
      <c r="B922">
        <v>2005</v>
      </c>
      <c r="C922">
        <v>2826</v>
      </c>
      <c r="D922">
        <v>921</v>
      </c>
      <c r="E922">
        <v>8500</v>
      </c>
      <c r="F922" t="s">
        <v>25</v>
      </c>
      <c r="G922">
        <v>2</v>
      </c>
      <c r="H922" t="s">
        <v>68</v>
      </c>
      <c r="I922">
        <v>14</v>
      </c>
      <c r="J922" s="10">
        <f t="shared" si="14"/>
        <v>2</v>
      </c>
    </row>
    <row r="923" spans="1:10" x14ac:dyDescent="0.2">
      <c r="A923" s="6">
        <v>43525</v>
      </c>
      <c r="B923">
        <v>2005</v>
      </c>
      <c r="C923">
        <v>2826</v>
      </c>
      <c r="D923">
        <v>922</v>
      </c>
      <c r="E923">
        <v>9150</v>
      </c>
      <c r="F923" t="s">
        <v>25</v>
      </c>
      <c r="G923">
        <v>6</v>
      </c>
      <c r="H923" t="s">
        <v>68</v>
      </c>
      <c r="I923">
        <v>14</v>
      </c>
      <c r="J923" s="10">
        <f t="shared" si="14"/>
        <v>6</v>
      </c>
    </row>
    <row r="924" spans="1:10" x14ac:dyDescent="0.2">
      <c r="A924" s="6">
        <v>43399</v>
      </c>
      <c r="B924">
        <v>2005</v>
      </c>
      <c r="C924">
        <v>2826</v>
      </c>
      <c r="D924">
        <v>923</v>
      </c>
      <c r="E924">
        <v>10300</v>
      </c>
      <c r="F924" t="s">
        <v>25</v>
      </c>
      <c r="G924">
        <v>70</v>
      </c>
      <c r="H924" t="s">
        <v>26</v>
      </c>
      <c r="I924">
        <v>14</v>
      </c>
      <c r="J924" s="10">
        <f t="shared" si="14"/>
        <v>2</v>
      </c>
    </row>
    <row r="925" spans="1:10" x14ac:dyDescent="0.2">
      <c r="A925" s="6">
        <v>43304</v>
      </c>
      <c r="B925">
        <v>2005</v>
      </c>
      <c r="C925">
        <v>2826</v>
      </c>
      <c r="D925">
        <v>924</v>
      </c>
      <c r="E925">
        <v>11500</v>
      </c>
      <c r="F925" t="s">
        <v>25</v>
      </c>
      <c r="G925">
        <v>10</v>
      </c>
      <c r="H925" t="s">
        <v>68</v>
      </c>
      <c r="I925">
        <v>14</v>
      </c>
      <c r="J925" s="10">
        <f t="shared" si="14"/>
        <v>10</v>
      </c>
    </row>
    <row r="926" spans="1:10" x14ac:dyDescent="0.2">
      <c r="A926" s="6">
        <v>43123</v>
      </c>
      <c r="B926">
        <v>2005</v>
      </c>
      <c r="C926">
        <v>2826</v>
      </c>
      <c r="D926">
        <v>925</v>
      </c>
      <c r="E926">
        <v>9000</v>
      </c>
      <c r="F926" t="s">
        <v>25</v>
      </c>
      <c r="G926">
        <v>8</v>
      </c>
      <c r="H926" t="s">
        <v>68</v>
      </c>
      <c r="I926">
        <v>14</v>
      </c>
      <c r="J926" s="10">
        <f t="shared" si="14"/>
        <v>8</v>
      </c>
    </row>
    <row r="927" spans="1:10" x14ac:dyDescent="0.2">
      <c r="A927" s="6">
        <v>43017</v>
      </c>
      <c r="B927">
        <v>2005</v>
      </c>
      <c r="C927">
        <v>2826</v>
      </c>
      <c r="D927">
        <v>926</v>
      </c>
      <c r="E927">
        <v>7500</v>
      </c>
      <c r="F927" t="s">
        <v>25</v>
      </c>
      <c r="G927">
        <v>10</v>
      </c>
      <c r="H927" t="s">
        <v>68</v>
      </c>
      <c r="I927">
        <v>14</v>
      </c>
      <c r="J927" s="10">
        <f t="shared" si="14"/>
        <v>10</v>
      </c>
    </row>
    <row r="928" spans="1:10" x14ac:dyDescent="0.2">
      <c r="A928" s="6">
        <v>42757</v>
      </c>
      <c r="B928">
        <v>2005</v>
      </c>
      <c r="C928">
        <v>2826</v>
      </c>
      <c r="D928">
        <v>927</v>
      </c>
      <c r="E928">
        <v>6000</v>
      </c>
      <c r="F928" t="s">
        <v>25</v>
      </c>
      <c r="G928">
        <v>12</v>
      </c>
      <c r="H928" t="s">
        <v>68</v>
      </c>
      <c r="I928">
        <v>14</v>
      </c>
      <c r="J928" s="10">
        <f t="shared" si="14"/>
        <v>12</v>
      </c>
    </row>
    <row r="929" spans="1:10" x14ac:dyDescent="0.2">
      <c r="A929" s="6">
        <v>42685</v>
      </c>
      <c r="B929">
        <v>2005</v>
      </c>
      <c r="C929">
        <v>2826</v>
      </c>
      <c r="D929">
        <v>928</v>
      </c>
      <c r="E929">
        <v>6000</v>
      </c>
      <c r="F929" t="s">
        <v>25</v>
      </c>
      <c r="G929">
        <v>10</v>
      </c>
      <c r="H929" t="s">
        <v>68</v>
      </c>
      <c r="I929">
        <v>14</v>
      </c>
      <c r="J929" s="10">
        <f t="shared" si="14"/>
        <v>10</v>
      </c>
    </row>
    <row r="930" spans="1:10" x14ac:dyDescent="0.2">
      <c r="A930" s="6">
        <v>42439</v>
      </c>
      <c r="B930">
        <v>2005</v>
      </c>
      <c r="C930">
        <v>2826</v>
      </c>
      <c r="D930">
        <v>929</v>
      </c>
      <c r="E930">
        <v>6000</v>
      </c>
      <c r="F930" t="s">
        <v>25</v>
      </c>
      <c r="G930">
        <v>9</v>
      </c>
      <c r="H930" t="s">
        <v>68</v>
      </c>
      <c r="I930">
        <v>14</v>
      </c>
      <c r="J930" s="10">
        <f t="shared" si="14"/>
        <v>9</v>
      </c>
    </row>
    <row r="931" spans="1:10" x14ac:dyDescent="0.2">
      <c r="A931" s="6">
        <v>42430</v>
      </c>
      <c r="B931">
        <v>2005</v>
      </c>
      <c r="C931">
        <v>2826</v>
      </c>
      <c r="D931">
        <v>930</v>
      </c>
      <c r="E931">
        <v>6000</v>
      </c>
      <c r="F931" t="s">
        <v>25</v>
      </c>
      <c r="G931">
        <v>12</v>
      </c>
      <c r="H931" t="s">
        <v>68</v>
      </c>
      <c r="I931">
        <v>14</v>
      </c>
      <c r="J931" s="10">
        <f t="shared" si="14"/>
        <v>12</v>
      </c>
    </row>
  </sheetData>
  <autoFilter ref="A1:J931">
    <sortState ref="A2:J931">
      <sortCondition ref="C1:C93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J467"/>
  <sheetViews>
    <sheetView workbookViewId="0">
      <selection activeCell="J419" sqref="J419"/>
    </sheetView>
  </sheetViews>
  <sheetFormatPr baseColWidth="10" defaultColWidth="11.5" defaultRowHeight="15" x14ac:dyDescent="0.2"/>
  <cols>
    <col min="1" max="2" width="9.6640625" bestFit="1" customWidth="1"/>
    <col min="3" max="3" width="8.6640625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7.6640625" bestFit="1" customWidth="1"/>
    <col min="8" max="8" width="15.1640625" bestFit="1" customWidth="1"/>
    <col min="9" max="9" width="8.6640625" bestFit="1" customWidth="1"/>
    <col min="10" max="10" width="20.33203125" bestFit="1" customWidth="1"/>
  </cols>
  <sheetData>
    <row r="1" spans="1:10" x14ac:dyDescent="0.2">
      <c r="A1" s="11" t="s">
        <v>17</v>
      </c>
      <c r="B1" s="11" t="s">
        <v>18</v>
      </c>
      <c r="C1" s="11" t="s">
        <v>19</v>
      </c>
      <c r="D1" s="11" t="s">
        <v>313</v>
      </c>
      <c r="E1" s="11" t="s">
        <v>20</v>
      </c>
      <c r="F1" s="11" t="s">
        <v>21</v>
      </c>
      <c r="G1" s="11" t="s">
        <v>22</v>
      </c>
      <c r="H1" s="11" t="s">
        <v>23</v>
      </c>
      <c r="I1" s="11" t="s">
        <v>24</v>
      </c>
      <c r="J1" s="11" t="s">
        <v>314</v>
      </c>
    </row>
    <row r="2" spans="1:10" x14ac:dyDescent="0.2">
      <c r="A2" s="6">
        <v>42753</v>
      </c>
      <c r="B2">
        <v>1999</v>
      </c>
      <c r="C2">
        <v>1005</v>
      </c>
      <c r="D2">
        <v>1</v>
      </c>
      <c r="E2">
        <v>6600</v>
      </c>
      <c r="F2" t="s">
        <v>25</v>
      </c>
      <c r="G2">
        <v>6</v>
      </c>
      <c r="H2" t="s">
        <v>68</v>
      </c>
      <c r="I2">
        <v>20</v>
      </c>
      <c r="J2" s="10">
        <f t="shared" ref="J2:J65" si="0">IF(H2="days",ROUND(G2/30,0),IF(H2="years",G2*12,G2))</f>
        <v>6</v>
      </c>
    </row>
    <row r="3" spans="1:10" x14ac:dyDescent="0.2">
      <c r="A3" s="6">
        <v>42380</v>
      </c>
      <c r="B3">
        <v>1999</v>
      </c>
      <c r="C3">
        <v>1005</v>
      </c>
      <c r="D3">
        <v>2</v>
      </c>
      <c r="E3">
        <v>6700</v>
      </c>
      <c r="F3" t="s">
        <v>25</v>
      </c>
      <c r="G3">
        <v>6</v>
      </c>
      <c r="H3" t="s">
        <v>68</v>
      </c>
      <c r="I3">
        <v>20</v>
      </c>
      <c r="J3" s="10">
        <f t="shared" si="0"/>
        <v>6</v>
      </c>
    </row>
    <row r="4" spans="1:10" x14ac:dyDescent="0.2">
      <c r="A4" s="6">
        <v>42879</v>
      </c>
      <c r="B4">
        <v>1992</v>
      </c>
      <c r="C4">
        <v>1012</v>
      </c>
      <c r="D4">
        <v>3</v>
      </c>
      <c r="E4">
        <v>5500</v>
      </c>
      <c r="F4" t="s">
        <v>25</v>
      </c>
      <c r="G4">
        <v>3</v>
      </c>
      <c r="H4" t="s">
        <v>68</v>
      </c>
      <c r="I4">
        <v>27</v>
      </c>
      <c r="J4" s="10">
        <f t="shared" si="0"/>
        <v>3</v>
      </c>
    </row>
    <row r="5" spans="1:10" x14ac:dyDescent="0.2">
      <c r="A5" s="6">
        <v>42739</v>
      </c>
      <c r="B5">
        <v>1992</v>
      </c>
      <c r="C5">
        <v>1012</v>
      </c>
      <c r="D5">
        <v>4</v>
      </c>
      <c r="E5">
        <v>6000</v>
      </c>
      <c r="F5" t="s">
        <v>25</v>
      </c>
      <c r="G5">
        <v>3</v>
      </c>
      <c r="H5" t="s">
        <v>68</v>
      </c>
      <c r="I5">
        <v>27</v>
      </c>
      <c r="J5" s="10">
        <f t="shared" si="0"/>
        <v>3</v>
      </c>
    </row>
    <row r="6" spans="1:10" x14ac:dyDescent="0.2">
      <c r="A6" s="6">
        <v>42709</v>
      </c>
      <c r="B6">
        <v>1992</v>
      </c>
      <c r="C6">
        <v>1012</v>
      </c>
      <c r="D6">
        <v>5</v>
      </c>
      <c r="E6">
        <v>5800</v>
      </c>
      <c r="F6" t="s">
        <v>25</v>
      </c>
      <c r="G6">
        <v>45</v>
      </c>
      <c r="H6" t="s">
        <v>26</v>
      </c>
      <c r="I6">
        <v>27</v>
      </c>
      <c r="J6" s="10">
        <f t="shared" si="0"/>
        <v>2</v>
      </c>
    </row>
    <row r="7" spans="1:10" x14ac:dyDescent="0.2">
      <c r="A7" s="6">
        <v>42643</v>
      </c>
      <c r="B7">
        <v>1992</v>
      </c>
      <c r="C7">
        <v>1012</v>
      </c>
      <c r="D7">
        <v>6</v>
      </c>
      <c r="E7">
        <v>6000</v>
      </c>
      <c r="F7" t="s">
        <v>25</v>
      </c>
      <c r="G7">
        <v>12</v>
      </c>
      <c r="H7" t="s">
        <v>68</v>
      </c>
      <c r="I7">
        <v>27</v>
      </c>
      <c r="J7" s="10">
        <f t="shared" si="0"/>
        <v>12</v>
      </c>
    </row>
    <row r="8" spans="1:10" x14ac:dyDescent="0.2">
      <c r="A8" s="6">
        <v>42709</v>
      </c>
      <c r="B8">
        <v>1996</v>
      </c>
      <c r="C8">
        <v>1015</v>
      </c>
      <c r="D8">
        <v>7</v>
      </c>
      <c r="E8">
        <v>5800</v>
      </c>
      <c r="F8" t="s">
        <v>25</v>
      </c>
      <c r="G8">
        <v>6</v>
      </c>
      <c r="H8" t="s">
        <v>68</v>
      </c>
      <c r="I8">
        <v>23</v>
      </c>
      <c r="J8" s="10">
        <f t="shared" si="0"/>
        <v>6</v>
      </c>
    </row>
    <row r="9" spans="1:10" x14ac:dyDescent="0.2">
      <c r="A9" s="6">
        <v>43152</v>
      </c>
      <c r="B9">
        <v>1996</v>
      </c>
      <c r="C9">
        <v>1018</v>
      </c>
      <c r="D9">
        <v>8</v>
      </c>
      <c r="E9">
        <v>5850</v>
      </c>
      <c r="F9" t="s">
        <v>25</v>
      </c>
      <c r="G9">
        <v>6</v>
      </c>
      <c r="H9" t="s">
        <v>68</v>
      </c>
      <c r="I9">
        <v>23</v>
      </c>
      <c r="J9" s="10">
        <f t="shared" si="0"/>
        <v>6</v>
      </c>
    </row>
    <row r="10" spans="1:10" x14ac:dyDescent="0.2">
      <c r="A10" s="6">
        <v>42866</v>
      </c>
      <c r="B10">
        <v>1996</v>
      </c>
      <c r="C10">
        <v>1018</v>
      </c>
      <c r="D10">
        <v>9</v>
      </c>
      <c r="E10">
        <v>5100</v>
      </c>
      <c r="F10" t="s">
        <v>25</v>
      </c>
      <c r="G10">
        <v>3</v>
      </c>
      <c r="H10" t="s">
        <v>68</v>
      </c>
      <c r="I10">
        <v>23</v>
      </c>
      <c r="J10" s="10">
        <f t="shared" si="0"/>
        <v>3</v>
      </c>
    </row>
    <row r="11" spans="1:10" x14ac:dyDescent="0.2">
      <c r="A11" s="6">
        <v>42807</v>
      </c>
      <c r="B11">
        <v>1995</v>
      </c>
      <c r="C11">
        <v>1018</v>
      </c>
      <c r="D11">
        <v>10</v>
      </c>
      <c r="E11">
        <v>5500</v>
      </c>
      <c r="F11" t="s">
        <v>25</v>
      </c>
      <c r="G11">
        <v>5</v>
      </c>
      <c r="H11" t="s">
        <v>68</v>
      </c>
      <c r="I11">
        <v>24</v>
      </c>
      <c r="J11" s="10">
        <f t="shared" si="0"/>
        <v>5</v>
      </c>
    </row>
    <row r="12" spans="1:10" x14ac:dyDescent="0.2">
      <c r="A12" s="6">
        <v>42797</v>
      </c>
      <c r="B12">
        <v>1996</v>
      </c>
      <c r="C12">
        <v>1018</v>
      </c>
      <c r="D12">
        <v>11</v>
      </c>
      <c r="E12">
        <v>5500</v>
      </c>
      <c r="F12" t="s">
        <v>25</v>
      </c>
      <c r="G12">
        <v>7</v>
      </c>
      <c r="H12" t="s">
        <v>68</v>
      </c>
      <c r="I12">
        <v>23</v>
      </c>
      <c r="J12" s="10">
        <f t="shared" si="0"/>
        <v>7</v>
      </c>
    </row>
    <row r="13" spans="1:10" x14ac:dyDescent="0.2">
      <c r="A13" s="6">
        <v>42758</v>
      </c>
      <c r="B13">
        <v>1996</v>
      </c>
      <c r="C13">
        <v>1018</v>
      </c>
      <c r="D13">
        <v>12</v>
      </c>
      <c r="E13">
        <v>5850</v>
      </c>
      <c r="F13" t="s">
        <v>25</v>
      </c>
      <c r="G13">
        <v>9</v>
      </c>
      <c r="H13" t="s">
        <v>68</v>
      </c>
      <c r="I13">
        <v>23</v>
      </c>
      <c r="J13" s="10">
        <f t="shared" si="0"/>
        <v>9</v>
      </c>
    </row>
    <row r="14" spans="1:10" x14ac:dyDescent="0.2">
      <c r="A14" s="6">
        <v>42674</v>
      </c>
      <c r="B14">
        <v>1996</v>
      </c>
      <c r="C14">
        <v>1018</v>
      </c>
      <c r="D14">
        <v>13</v>
      </c>
      <c r="E14">
        <v>6000</v>
      </c>
      <c r="F14" t="s">
        <v>25</v>
      </c>
      <c r="G14">
        <v>12</v>
      </c>
      <c r="H14" t="s">
        <v>68</v>
      </c>
      <c r="I14">
        <v>23</v>
      </c>
      <c r="J14" s="10">
        <f t="shared" si="0"/>
        <v>12</v>
      </c>
    </row>
    <row r="15" spans="1:10" x14ac:dyDescent="0.2">
      <c r="A15" s="6">
        <v>42669</v>
      </c>
      <c r="B15">
        <v>1996</v>
      </c>
      <c r="C15">
        <v>1018</v>
      </c>
      <c r="D15">
        <v>14</v>
      </c>
      <c r="E15">
        <v>5850</v>
      </c>
      <c r="F15" t="s">
        <v>25</v>
      </c>
      <c r="G15">
        <v>9</v>
      </c>
      <c r="H15" t="s">
        <v>68</v>
      </c>
      <c r="I15">
        <v>23</v>
      </c>
      <c r="J15" s="10">
        <f t="shared" si="0"/>
        <v>9</v>
      </c>
    </row>
    <row r="16" spans="1:10" x14ac:dyDescent="0.2">
      <c r="A16" s="6">
        <v>42650</v>
      </c>
      <c r="B16">
        <v>1995</v>
      </c>
      <c r="C16">
        <v>1018</v>
      </c>
      <c r="D16">
        <v>15</v>
      </c>
      <c r="E16">
        <v>5900</v>
      </c>
      <c r="F16" t="s">
        <v>25</v>
      </c>
      <c r="G16">
        <v>6</v>
      </c>
      <c r="H16" t="s">
        <v>68</v>
      </c>
      <c r="I16">
        <v>24</v>
      </c>
      <c r="J16" s="10">
        <f t="shared" si="0"/>
        <v>6</v>
      </c>
    </row>
    <row r="17" spans="1:10" x14ac:dyDescent="0.2">
      <c r="A17" s="6">
        <v>42576</v>
      </c>
      <c r="B17">
        <v>1996</v>
      </c>
      <c r="C17">
        <v>1018</v>
      </c>
      <c r="D17">
        <v>16</v>
      </c>
      <c r="E17">
        <v>6000</v>
      </c>
      <c r="F17" t="s">
        <v>25</v>
      </c>
      <c r="G17">
        <v>6</v>
      </c>
      <c r="H17" t="s">
        <v>68</v>
      </c>
      <c r="I17">
        <v>23</v>
      </c>
      <c r="J17" s="10">
        <f t="shared" si="0"/>
        <v>6</v>
      </c>
    </row>
    <row r="18" spans="1:10" x14ac:dyDescent="0.2">
      <c r="A18" s="6">
        <v>42396</v>
      </c>
      <c r="B18">
        <v>1995</v>
      </c>
      <c r="C18">
        <v>1018</v>
      </c>
      <c r="D18">
        <v>17</v>
      </c>
      <c r="E18">
        <v>6075</v>
      </c>
      <c r="F18" t="s">
        <v>25</v>
      </c>
      <c r="G18">
        <v>8</v>
      </c>
      <c r="H18" t="s">
        <v>68</v>
      </c>
      <c r="I18">
        <v>24</v>
      </c>
      <c r="J18" s="10">
        <f t="shared" si="0"/>
        <v>8</v>
      </c>
    </row>
    <row r="19" spans="1:10" x14ac:dyDescent="0.2">
      <c r="A19" s="6">
        <v>43529</v>
      </c>
      <c r="B19">
        <v>1997</v>
      </c>
      <c r="C19">
        <v>1032</v>
      </c>
      <c r="D19">
        <v>18</v>
      </c>
      <c r="E19">
        <v>7600</v>
      </c>
      <c r="F19" t="s">
        <v>25</v>
      </c>
      <c r="G19">
        <v>5</v>
      </c>
      <c r="H19" t="s">
        <v>68</v>
      </c>
      <c r="I19">
        <v>22</v>
      </c>
      <c r="J19" s="10">
        <f t="shared" si="0"/>
        <v>5</v>
      </c>
    </row>
    <row r="20" spans="1:10" x14ac:dyDescent="0.2">
      <c r="A20" s="6">
        <v>43213</v>
      </c>
      <c r="B20">
        <v>1997</v>
      </c>
      <c r="C20">
        <v>1032</v>
      </c>
      <c r="D20">
        <v>19</v>
      </c>
      <c r="E20">
        <v>9450</v>
      </c>
      <c r="F20" t="s">
        <v>25</v>
      </c>
      <c r="G20">
        <v>7</v>
      </c>
      <c r="H20" t="s">
        <v>68</v>
      </c>
      <c r="I20">
        <v>22</v>
      </c>
      <c r="J20" s="10">
        <f t="shared" si="0"/>
        <v>7</v>
      </c>
    </row>
    <row r="21" spans="1:10" x14ac:dyDescent="0.2">
      <c r="A21" s="6">
        <v>43157</v>
      </c>
      <c r="B21">
        <v>1998</v>
      </c>
      <c r="C21">
        <v>1032</v>
      </c>
      <c r="D21">
        <v>20</v>
      </c>
      <c r="E21">
        <v>7700</v>
      </c>
      <c r="F21" t="s">
        <v>25</v>
      </c>
      <c r="G21">
        <v>13</v>
      </c>
      <c r="H21" t="s">
        <v>68</v>
      </c>
      <c r="I21">
        <v>21</v>
      </c>
      <c r="J21" s="10">
        <f t="shared" si="0"/>
        <v>13</v>
      </c>
    </row>
    <row r="22" spans="1:10" x14ac:dyDescent="0.2">
      <c r="A22" s="6">
        <v>42788</v>
      </c>
      <c r="B22">
        <v>1998</v>
      </c>
      <c r="C22">
        <v>1032</v>
      </c>
      <c r="D22">
        <v>21</v>
      </c>
      <c r="E22">
        <v>7200</v>
      </c>
      <c r="F22" t="s">
        <v>25</v>
      </c>
      <c r="G22">
        <v>14</v>
      </c>
      <c r="H22" t="s">
        <v>68</v>
      </c>
      <c r="I22">
        <v>21</v>
      </c>
      <c r="J22" s="10">
        <f t="shared" si="0"/>
        <v>14</v>
      </c>
    </row>
    <row r="23" spans="1:10" x14ac:dyDescent="0.2">
      <c r="A23" s="6">
        <v>43367</v>
      </c>
      <c r="B23">
        <v>1996</v>
      </c>
      <c r="C23">
        <v>1050</v>
      </c>
      <c r="D23">
        <v>22</v>
      </c>
      <c r="E23">
        <v>6400</v>
      </c>
      <c r="F23" t="s">
        <v>25</v>
      </c>
      <c r="G23">
        <v>1</v>
      </c>
      <c r="H23" t="s">
        <v>68</v>
      </c>
      <c r="I23">
        <v>23</v>
      </c>
      <c r="J23" s="10">
        <f t="shared" si="0"/>
        <v>1</v>
      </c>
    </row>
    <row r="24" spans="1:10" x14ac:dyDescent="0.2">
      <c r="A24" s="6">
        <v>43141</v>
      </c>
      <c r="B24">
        <v>1996</v>
      </c>
      <c r="C24">
        <v>1050</v>
      </c>
      <c r="D24">
        <v>23</v>
      </c>
      <c r="E24">
        <v>7300</v>
      </c>
      <c r="F24" t="s">
        <v>25</v>
      </c>
      <c r="G24">
        <v>4</v>
      </c>
      <c r="H24" t="s">
        <v>68</v>
      </c>
      <c r="I24">
        <v>23</v>
      </c>
      <c r="J24" s="10">
        <f t="shared" si="0"/>
        <v>4</v>
      </c>
    </row>
    <row r="25" spans="1:10" x14ac:dyDescent="0.2">
      <c r="A25" s="6">
        <v>42948</v>
      </c>
      <c r="B25">
        <v>1996</v>
      </c>
      <c r="C25">
        <v>1050</v>
      </c>
      <c r="D25">
        <v>24</v>
      </c>
      <c r="E25">
        <v>6000</v>
      </c>
      <c r="F25" t="s">
        <v>25</v>
      </c>
      <c r="G25">
        <v>1</v>
      </c>
      <c r="H25" t="s">
        <v>68</v>
      </c>
      <c r="I25">
        <v>23</v>
      </c>
      <c r="J25" s="10">
        <f t="shared" si="0"/>
        <v>1</v>
      </c>
    </row>
    <row r="26" spans="1:10" x14ac:dyDescent="0.2">
      <c r="A26" s="6">
        <v>42887</v>
      </c>
      <c r="B26">
        <v>1996</v>
      </c>
      <c r="C26">
        <v>1050</v>
      </c>
      <c r="D26">
        <v>25</v>
      </c>
      <c r="E26">
        <v>6300</v>
      </c>
      <c r="F26" t="s">
        <v>25</v>
      </c>
      <c r="G26">
        <v>9</v>
      </c>
      <c r="H26" t="s">
        <v>68</v>
      </c>
      <c r="I26">
        <v>23</v>
      </c>
      <c r="J26" s="10">
        <f t="shared" si="0"/>
        <v>9</v>
      </c>
    </row>
    <row r="27" spans="1:10" x14ac:dyDescent="0.2">
      <c r="A27" s="6">
        <v>42795</v>
      </c>
      <c r="B27">
        <v>1996</v>
      </c>
      <c r="C27">
        <v>1050</v>
      </c>
      <c r="D27">
        <v>26</v>
      </c>
      <c r="E27">
        <v>6300</v>
      </c>
      <c r="F27" t="s">
        <v>25</v>
      </c>
      <c r="G27">
        <v>3</v>
      </c>
      <c r="H27" t="s">
        <v>68</v>
      </c>
      <c r="I27">
        <v>23</v>
      </c>
      <c r="J27" s="10">
        <f t="shared" si="0"/>
        <v>3</v>
      </c>
    </row>
    <row r="28" spans="1:10" x14ac:dyDescent="0.2">
      <c r="A28" s="6">
        <v>42440</v>
      </c>
      <c r="B28">
        <v>1997</v>
      </c>
      <c r="C28">
        <v>1050</v>
      </c>
      <c r="D28">
        <v>27</v>
      </c>
      <c r="E28">
        <v>7500</v>
      </c>
      <c r="F28" t="s">
        <v>25</v>
      </c>
      <c r="G28">
        <v>12</v>
      </c>
      <c r="H28" t="s">
        <v>68</v>
      </c>
      <c r="I28">
        <v>22</v>
      </c>
      <c r="J28" s="10">
        <f t="shared" si="0"/>
        <v>12</v>
      </c>
    </row>
    <row r="29" spans="1:10" x14ac:dyDescent="0.2">
      <c r="A29" s="6">
        <v>43374</v>
      </c>
      <c r="B29">
        <v>1998</v>
      </c>
      <c r="C29">
        <v>1060</v>
      </c>
      <c r="D29">
        <v>28</v>
      </c>
      <c r="E29">
        <v>7300</v>
      </c>
      <c r="F29" t="s">
        <v>25</v>
      </c>
      <c r="G29">
        <v>8</v>
      </c>
      <c r="H29" t="s">
        <v>68</v>
      </c>
      <c r="I29">
        <v>21</v>
      </c>
      <c r="J29" s="10">
        <f t="shared" si="0"/>
        <v>8</v>
      </c>
    </row>
    <row r="30" spans="1:10" x14ac:dyDescent="0.2">
      <c r="A30" s="6">
        <v>43332</v>
      </c>
      <c r="B30">
        <v>1998</v>
      </c>
      <c r="C30">
        <v>1060</v>
      </c>
      <c r="D30">
        <v>29</v>
      </c>
      <c r="E30">
        <v>7450</v>
      </c>
      <c r="F30" t="s">
        <v>25</v>
      </c>
      <c r="G30">
        <v>2</v>
      </c>
      <c r="H30" t="s">
        <v>68</v>
      </c>
      <c r="I30">
        <v>21</v>
      </c>
      <c r="J30" s="10">
        <f t="shared" si="0"/>
        <v>2</v>
      </c>
    </row>
    <row r="31" spans="1:10" x14ac:dyDescent="0.2">
      <c r="A31" s="6">
        <v>43195</v>
      </c>
      <c r="B31">
        <v>1997</v>
      </c>
      <c r="C31">
        <v>1060</v>
      </c>
      <c r="D31">
        <v>30</v>
      </c>
      <c r="E31">
        <v>8500</v>
      </c>
      <c r="F31" t="s">
        <v>25</v>
      </c>
      <c r="G31">
        <v>8</v>
      </c>
      <c r="H31" t="s">
        <v>68</v>
      </c>
      <c r="I31">
        <v>22</v>
      </c>
      <c r="J31" s="10">
        <f t="shared" si="0"/>
        <v>8</v>
      </c>
    </row>
    <row r="32" spans="1:10" x14ac:dyDescent="0.2">
      <c r="A32" s="6">
        <v>43105</v>
      </c>
      <c r="B32">
        <v>1998</v>
      </c>
      <c r="C32">
        <v>1060</v>
      </c>
      <c r="D32">
        <v>31</v>
      </c>
      <c r="E32">
        <v>6650</v>
      </c>
      <c r="F32" t="s">
        <v>25</v>
      </c>
      <c r="G32">
        <v>6</v>
      </c>
      <c r="H32" t="s">
        <v>68</v>
      </c>
      <c r="I32">
        <v>21</v>
      </c>
      <c r="J32" s="10">
        <f t="shared" si="0"/>
        <v>6</v>
      </c>
    </row>
    <row r="33" spans="1:10" x14ac:dyDescent="0.2">
      <c r="A33" s="6">
        <v>43075</v>
      </c>
      <c r="B33">
        <v>1997</v>
      </c>
      <c r="C33">
        <v>1060</v>
      </c>
      <c r="D33">
        <v>32</v>
      </c>
      <c r="E33">
        <v>6500</v>
      </c>
      <c r="F33" t="s">
        <v>25</v>
      </c>
      <c r="G33">
        <v>12</v>
      </c>
      <c r="H33" t="s">
        <v>68</v>
      </c>
      <c r="I33">
        <v>22</v>
      </c>
      <c r="J33" s="10">
        <f t="shared" si="0"/>
        <v>12</v>
      </c>
    </row>
    <row r="34" spans="1:10" x14ac:dyDescent="0.2">
      <c r="A34" s="6">
        <v>43021</v>
      </c>
      <c r="B34">
        <v>1998</v>
      </c>
      <c r="C34">
        <v>1060</v>
      </c>
      <c r="D34">
        <v>33</v>
      </c>
      <c r="E34">
        <v>6500</v>
      </c>
      <c r="F34" t="s">
        <v>25</v>
      </c>
      <c r="G34">
        <v>3</v>
      </c>
      <c r="H34" t="s">
        <v>68</v>
      </c>
      <c r="I34">
        <v>21</v>
      </c>
      <c r="J34" s="10">
        <f t="shared" si="0"/>
        <v>3</v>
      </c>
    </row>
    <row r="35" spans="1:10" x14ac:dyDescent="0.2">
      <c r="A35" s="6">
        <v>42844</v>
      </c>
      <c r="B35">
        <v>1998</v>
      </c>
      <c r="C35">
        <v>1060</v>
      </c>
      <c r="D35">
        <v>34</v>
      </c>
      <c r="E35">
        <v>6350</v>
      </c>
      <c r="F35" t="s">
        <v>25</v>
      </c>
      <c r="G35">
        <v>6</v>
      </c>
      <c r="H35" t="s">
        <v>68</v>
      </c>
      <c r="I35">
        <v>21</v>
      </c>
      <c r="J35" s="10">
        <f t="shared" si="0"/>
        <v>6</v>
      </c>
    </row>
    <row r="36" spans="1:10" x14ac:dyDescent="0.2">
      <c r="A36" s="6">
        <v>42620</v>
      </c>
      <c r="B36">
        <v>1998</v>
      </c>
      <c r="C36">
        <v>1060</v>
      </c>
      <c r="D36">
        <v>35</v>
      </c>
      <c r="E36">
        <v>6500</v>
      </c>
      <c r="F36" t="s">
        <v>25</v>
      </c>
      <c r="G36">
        <v>4</v>
      </c>
      <c r="H36" t="s">
        <v>68</v>
      </c>
      <c r="I36">
        <v>21</v>
      </c>
      <c r="J36" s="10">
        <f t="shared" si="0"/>
        <v>4</v>
      </c>
    </row>
    <row r="37" spans="1:10" x14ac:dyDescent="0.2">
      <c r="A37" s="6">
        <v>42479</v>
      </c>
      <c r="B37">
        <v>1997</v>
      </c>
      <c r="C37">
        <v>1060</v>
      </c>
      <c r="D37">
        <v>36</v>
      </c>
      <c r="E37">
        <v>6550</v>
      </c>
      <c r="F37" t="s">
        <v>25</v>
      </c>
      <c r="G37">
        <v>5</v>
      </c>
      <c r="H37" t="s">
        <v>68</v>
      </c>
      <c r="I37">
        <v>22</v>
      </c>
      <c r="J37" s="10">
        <f t="shared" si="0"/>
        <v>5</v>
      </c>
    </row>
    <row r="38" spans="1:10" x14ac:dyDescent="0.2">
      <c r="A38" s="6">
        <v>42460</v>
      </c>
      <c r="B38">
        <v>1998</v>
      </c>
      <c r="C38">
        <v>1060</v>
      </c>
      <c r="D38">
        <v>37</v>
      </c>
      <c r="E38">
        <v>6500</v>
      </c>
      <c r="F38" t="s">
        <v>25</v>
      </c>
      <c r="G38">
        <v>150</v>
      </c>
      <c r="H38" t="s">
        <v>26</v>
      </c>
      <c r="I38">
        <v>21</v>
      </c>
      <c r="J38" s="10">
        <f t="shared" si="0"/>
        <v>5</v>
      </c>
    </row>
    <row r="39" spans="1:10" x14ac:dyDescent="0.2">
      <c r="A39" s="6">
        <v>43535</v>
      </c>
      <c r="B39">
        <v>1998</v>
      </c>
      <c r="C39">
        <v>1064</v>
      </c>
      <c r="D39">
        <v>38</v>
      </c>
      <c r="E39">
        <v>7300</v>
      </c>
      <c r="F39" t="s">
        <v>25</v>
      </c>
      <c r="G39">
        <v>3</v>
      </c>
      <c r="H39" t="s">
        <v>68</v>
      </c>
      <c r="I39">
        <v>21</v>
      </c>
      <c r="J39" s="10">
        <f t="shared" si="0"/>
        <v>3</v>
      </c>
    </row>
    <row r="40" spans="1:10" x14ac:dyDescent="0.2">
      <c r="A40" s="6">
        <v>43412</v>
      </c>
      <c r="B40">
        <v>1998</v>
      </c>
      <c r="C40">
        <v>1064</v>
      </c>
      <c r="D40">
        <v>39</v>
      </c>
      <c r="E40">
        <v>7300</v>
      </c>
      <c r="F40" t="s">
        <v>25</v>
      </c>
      <c r="G40">
        <v>4</v>
      </c>
      <c r="H40" t="s">
        <v>68</v>
      </c>
      <c r="I40">
        <v>21</v>
      </c>
      <c r="J40" s="10">
        <f t="shared" si="0"/>
        <v>4</v>
      </c>
    </row>
    <row r="41" spans="1:10" x14ac:dyDescent="0.2">
      <c r="A41" s="6">
        <v>43255</v>
      </c>
      <c r="B41">
        <v>1998</v>
      </c>
      <c r="C41">
        <v>1064</v>
      </c>
      <c r="D41">
        <v>40</v>
      </c>
      <c r="E41">
        <v>8250</v>
      </c>
      <c r="F41" t="s">
        <v>25</v>
      </c>
      <c r="G41">
        <v>4</v>
      </c>
      <c r="H41" t="s">
        <v>68</v>
      </c>
      <c r="I41">
        <v>21</v>
      </c>
      <c r="J41" s="10">
        <f t="shared" si="0"/>
        <v>4</v>
      </c>
    </row>
    <row r="42" spans="1:10" x14ac:dyDescent="0.2">
      <c r="A42" s="6">
        <v>43119</v>
      </c>
      <c r="B42">
        <v>1998</v>
      </c>
      <c r="C42">
        <v>1064</v>
      </c>
      <c r="D42">
        <v>41</v>
      </c>
      <c r="E42">
        <v>7200</v>
      </c>
      <c r="F42" t="s">
        <v>25</v>
      </c>
      <c r="G42">
        <v>3</v>
      </c>
      <c r="H42" t="s">
        <v>68</v>
      </c>
      <c r="I42">
        <v>21</v>
      </c>
      <c r="J42" s="10">
        <f t="shared" si="0"/>
        <v>3</v>
      </c>
    </row>
    <row r="43" spans="1:10" x14ac:dyDescent="0.2">
      <c r="A43" s="6">
        <v>42401</v>
      </c>
      <c r="B43">
        <v>1998</v>
      </c>
      <c r="C43">
        <v>1064</v>
      </c>
      <c r="D43">
        <v>42</v>
      </c>
      <c r="E43">
        <v>6250</v>
      </c>
      <c r="F43" t="s">
        <v>25</v>
      </c>
      <c r="G43">
        <v>6</v>
      </c>
      <c r="H43" t="s">
        <v>68</v>
      </c>
      <c r="I43">
        <v>21</v>
      </c>
      <c r="J43" s="10">
        <f t="shared" si="0"/>
        <v>6</v>
      </c>
    </row>
    <row r="44" spans="1:10" x14ac:dyDescent="0.2">
      <c r="A44" s="6">
        <v>43070</v>
      </c>
      <c r="B44">
        <v>1999</v>
      </c>
      <c r="C44">
        <v>1102</v>
      </c>
      <c r="D44">
        <v>43</v>
      </c>
      <c r="E44">
        <v>6600</v>
      </c>
      <c r="F44" t="s">
        <v>25</v>
      </c>
      <c r="G44">
        <v>30</v>
      </c>
      <c r="H44" t="s">
        <v>26</v>
      </c>
      <c r="I44">
        <v>20</v>
      </c>
      <c r="J44" s="10">
        <f t="shared" si="0"/>
        <v>1</v>
      </c>
    </row>
    <row r="45" spans="1:10" x14ac:dyDescent="0.2">
      <c r="A45" s="6">
        <v>42794</v>
      </c>
      <c r="B45">
        <v>1999</v>
      </c>
      <c r="C45">
        <v>1102</v>
      </c>
      <c r="D45">
        <v>44</v>
      </c>
      <c r="E45">
        <v>5350</v>
      </c>
      <c r="F45" t="s">
        <v>25</v>
      </c>
      <c r="G45">
        <v>7</v>
      </c>
      <c r="H45" t="s">
        <v>68</v>
      </c>
      <c r="I45">
        <v>20</v>
      </c>
      <c r="J45" s="10">
        <f t="shared" si="0"/>
        <v>7</v>
      </c>
    </row>
    <row r="46" spans="1:10" x14ac:dyDescent="0.2">
      <c r="A46" s="6">
        <v>42524</v>
      </c>
      <c r="B46">
        <v>1999</v>
      </c>
      <c r="C46">
        <v>1102</v>
      </c>
      <c r="D46">
        <v>45</v>
      </c>
      <c r="E46">
        <v>6250</v>
      </c>
      <c r="F46" t="s">
        <v>25</v>
      </c>
      <c r="G46">
        <v>3</v>
      </c>
      <c r="H46" t="s">
        <v>68</v>
      </c>
      <c r="I46">
        <v>20</v>
      </c>
      <c r="J46" s="10">
        <f t="shared" si="0"/>
        <v>3</v>
      </c>
    </row>
    <row r="47" spans="1:10" x14ac:dyDescent="0.2">
      <c r="A47" s="6">
        <v>42417</v>
      </c>
      <c r="B47">
        <v>1999</v>
      </c>
      <c r="C47">
        <v>1102</v>
      </c>
      <c r="D47">
        <v>46</v>
      </c>
      <c r="E47">
        <v>6000</v>
      </c>
      <c r="F47" t="s">
        <v>25</v>
      </c>
      <c r="G47">
        <v>12</v>
      </c>
      <c r="H47" t="s">
        <v>68</v>
      </c>
      <c r="I47">
        <v>20</v>
      </c>
      <c r="J47" s="10">
        <f t="shared" si="0"/>
        <v>12</v>
      </c>
    </row>
    <row r="48" spans="1:10" x14ac:dyDescent="0.2">
      <c r="A48" s="6">
        <v>43585</v>
      </c>
      <c r="B48">
        <v>1998</v>
      </c>
      <c r="C48">
        <v>1104</v>
      </c>
      <c r="D48">
        <v>47</v>
      </c>
      <c r="E48">
        <v>8500</v>
      </c>
      <c r="F48" t="s">
        <v>25</v>
      </c>
      <c r="G48">
        <v>4</v>
      </c>
      <c r="H48" t="s">
        <v>69</v>
      </c>
      <c r="I48">
        <v>21</v>
      </c>
      <c r="J48" s="10">
        <f t="shared" si="0"/>
        <v>48</v>
      </c>
    </row>
    <row r="49" spans="1:10" x14ac:dyDescent="0.2">
      <c r="A49" s="6">
        <v>43199</v>
      </c>
      <c r="B49">
        <v>1998</v>
      </c>
      <c r="C49">
        <v>1104</v>
      </c>
      <c r="D49">
        <v>48</v>
      </c>
      <c r="E49">
        <v>7500</v>
      </c>
      <c r="F49" t="s">
        <v>25</v>
      </c>
      <c r="G49">
        <v>14</v>
      </c>
      <c r="H49" t="s">
        <v>68</v>
      </c>
      <c r="I49">
        <v>21</v>
      </c>
      <c r="J49" s="10">
        <f t="shared" si="0"/>
        <v>14</v>
      </c>
    </row>
    <row r="50" spans="1:10" x14ac:dyDescent="0.2">
      <c r="A50" s="6">
        <v>42772</v>
      </c>
      <c r="B50">
        <v>1998</v>
      </c>
      <c r="C50">
        <v>1104</v>
      </c>
      <c r="D50">
        <v>49</v>
      </c>
      <c r="E50">
        <v>6000</v>
      </c>
      <c r="F50" t="s">
        <v>25</v>
      </c>
      <c r="G50">
        <v>12</v>
      </c>
      <c r="H50" t="s">
        <v>68</v>
      </c>
      <c r="I50">
        <v>21</v>
      </c>
      <c r="J50" s="10">
        <f t="shared" si="0"/>
        <v>12</v>
      </c>
    </row>
    <row r="51" spans="1:10" x14ac:dyDescent="0.2">
      <c r="A51" s="6">
        <v>43069</v>
      </c>
      <c r="B51">
        <v>1996</v>
      </c>
      <c r="C51">
        <v>1120</v>
      </c>
      <c r="D51">
        <v>50</v>
      </c>
      <c r="E51">
        <v>6300</v>
      </c>
      <c r="F51" t="s">
        <v>25</v>
      </c>
      <c r="G51">
        <v>45</v>
      </c>
      <c r="H51" t="s">
        <v>26</v>
      </c>
      <c r="I51">
        <v>23</v>
      </c>
      <c r="J51" s="10">
        <f t="shared" si="0"/>
        <v>2</v>
      </c>
    </row>
    <row r="52" spans="1:10" x14ac:dyDescent="0.2">
      <c r="A52" s="6">
        <v>42933</v>
      </c>
      <c r="B52">
        <v>1996</v>
      </c>
      <c r="C52">
        <v>1120</v>
      </c>
      <c r="D52">
        <v>51</v>
      </c>
      <c r="E52">
        <v>6000</v>
      </c>
      <c r="F52" t="s">
        <v>25</v>
      </c>
      <c r="G52">
        <v>3</v>
      </c>
      <c r="H52" t="s">
        <v>68</v>
      </c>
      <c r="I52">
        <v>23</v>
      </c>
      <c r="J52" s="10">
        <f t="shared" si="0"/>
        <v>3</v>
      </c>
    </row>
    <row r="53" spans="1:10" x14ac:dyDescent="0.2">
      <c r="A53" s="6">
        <v>42826</v>
      </c>
      <c r="B53">
        <v>1996</v>
      </c>
      <c r="C53">
        <v>1120</v>
      </c>
      <c r="D53">
        <v>52</v>
      </c>
      <c r="E53">
        <v>6000</v>
      </c>
      <c r="F53" t="s">
        <v>25</v>
      </c>
      <c r="G53">
        <v>3</v>
      </c>
      <c r="H53" t="s">
        <v>68</v>
      </c>
      <c r="I53">
        <v>23</v>
      </c>
      <c r="J53" s="10">
        <f t="shared" si="0"/>
        <v>3</v>
      </c>
    </row>
    <row r="54" spans="1:10" x14ac:dyDescent="0.2">
      <c r="A54" s="6">
        <v>42751</v>
      </c>
      <c r="B54">
        <v>1996</v>
      </c>
      <c r="C54">
        <v>1120</v>
      </c>
      <c r="D54">
        <v>53</v>
      </c>
      <c r="E54">
        <v>6000</v>
      </c>
      <c r="F54" t="s">
        <v>25</v>
      </c>
      <c r="G54">
        <v>3</v>
      </c>
      <c r="H54" t="s">
        <v>68</v>
      </c>
      <c r="I54">
        <v>23</v>
      </c>
      <c r="J54" s="10">
        <f t="shared" si="0"/>
        <v>3</v>
      </c>
    </row>
    <row r="55" spans="1:10" x14ac:dyDescent="0.2">
      <c r="A55" s="6">
        <v>42530</v>
      </c>
      <c r="B55">
        <v>1996</v>
      </c>
      <c r="C55">
        <v>1120</v>
      </c>
      <c r="D55">
        <v>54</v>
      </c>
      <c r="E55">
        <v>6250</v>
      </c>
      <c r="F55" t="s">
        <v>25</v>
      </c>
      <c r="G55">
        <v>6</v>
      </c>
      <c r="H55" t="s">
        <v>68</v>
      </c>
      <c r="I55">
        <v>23</v>
      </c>
      <c r="J55" s="10">
        <f t="shared" si="0"/>
        <v>6</v>
      </c>
    </row>
    <row r="56" spans="1:10" x14ac:dyDescent="0.2">
      <c r="A56" s="6">
        <v>43486</v>
      </c>
      <c r="B56">
        <v>1996</v>
      </c>
      <c r="C56">
        <v>1122</v>
      </c>
      <c r="D56">
        <v>55</v>
      </c>
      <c r="E56">
        <v>6250</v>
      </c>
      <c r="F56" t="s">
        <v>25</v>
      </c>
      <c r="G56">
        <v>11</v>
      </c>
      <c r="H56" t="s">
        <v>68</v>
      </c>
      <c r="I56">
        <v>23</v>
      </c>
      <c r="J56" s="10">
        <f t="shared" si="0"/>
        <v>11</v>
      </c>
    </row>
    <row r="57" spans="1:10" x14ac:dyDescent="0.2">
      <c r="A57" s="6">
        <v>43374</v>
      </c>
      <c r="B57">
        <v>1996</v>
      </c>
      <c r="C57">
        <v>1122</v>
      </c>
      <c r="D57">
        <v>56</v>
      </c>
      <c r="E57">
        <v>6500</v>
      </c>
      <c r="F57" t="s">
        <v>25</v>
      </c>
      <c r="G57">
        <v>7</v>
      </c>
      <c r="H57" t="s">
        <v>68</v>
      </c>
      <c r="I57">
        <v>23</v>
      </c>
      <c r="J57" s="10">
        <f t="shared" si="0"/>
        <v>7</v>
      </c>
    </row>
    <row r="58" spans="1:10" x14ac:dyDescent="0.2">
      <c r="A58" s="6">
        <v>42863</v>
      </c>
      <c r="B58">
        <v>1996</v>
      </c>
      <c r="C58">
        <v>1122</v>
      </c>
      <c r="D58">
        <v>57</v>
      </c>
      <c r="E58">
        <v>7000</v>
      </c>
      <c r="F58" t="s">
        <v>25</v>
      </c>
      <c r="G58">
        <v>10</v>
      </c>
      <c r="H58" t="s">
        <v>68</v>
      </c>
      <c r="I58">
        <v>23</v>
      </c>
      <c r="J58" s="10">
        <f t="shared" si="0"/>
        <v>10</v>
      </c>
    </row>
    <row r="59" spans="1:10" x14ac:dyDescent="0.2">
      <c r="A59" s="6">
        <v>42863</v>
      </c>
      <c r="B59">
        <v>1996</v>
      </c>
      <c r="C59">
        <v>1122</v>
      </c>
      <c r="D59">
        <v>58</v>
      </c>
      <c r="E59">
        <v>7000</v>
      </c>
      <c r="F59" t="s">
        <v>25</v>
      </c>
      <c r="G59">
        <v>10</v>
      </c>
      <c r="H59" t="s">
        <v>68</v>
      </c>
      <c r="I59">
        <v>23</v>
      </c>
      <c r="J59" s="10">
        <f t="shared" si="0"/>
        <v>10</v>
      </c>
    </row>
    <row r="60" spans="1:10" x14ac:dyDescent="0.2">
      <c r="A60" s="6">
        <v>42692</v>
      </c>
      <c r="B60">
        <v>1996</v>
      </c>
      <c r="C60">
        <v>1122</v>
      </c>
      <c r="D60">
        <v>59</v>
      </c>
      <c r="E60">
        <v>6800</v>
      </c>
      <c r="F60" t="s">
        <v>25</v>
      </c>
      <c r="G60">
        <v>6</v>
      </c>
      <c r="H60" t="s">
        <v>68</v>
      </c>
      <c r="I60">
        <v>23</v>
      </c>
      <c r="J60" s="10">
        <f t="shared" si="0"/>
        <v>6</v>
      </c>
    </row>
    <row r="61" spans="1:10" x14ac:dyDescent="0.2">
      <c r="A61" s="6">
        <v>42439</v>
      </c>
      <c r="B61">
        <v>1996</v>
      </c>
      <c r="C61">
        <v>1122</v>
      </c>
      <c r="D61">
        <v>60</v>
      </c>
      <c r="E61">
        <v>7000</v>
      </c>
      <c r="F61" t="s">
        <v>25</v>
      </c>
      <c r="G61">
        <v>13</v>
      </c>
      <c r="H61" t="s">
        <v>68</v>
      </c>
      <c r="I61">
        <v>23</v>
      </c>
      <c r="J61" s="10">
        <f t="shared" si="0"/>
        <v>13</v>
      </c>
    </row>
    <row r="62" spans="1:10" x14ac:dyDescent="0.2">
      <c r="A62" s="6">
        <v>42415</v>
      </c>
      <c r="B62">
        <v>1996</v>
      </c>
      <c r="C62">
        <v>1122</v>
      </c>
      <c r="D62">
        <v>61</v>
      </c>
      <c r="E62">
        <v>7100</v>
      </c>
      <c r="F62" t="s">
        <v>25</v>
      </c>
      <c r="G62">
        <v>5</v>
      </c>
      <c r="H62" t="s">
        <v>68</v>
      </c>
      <c r="I62">
        <v>23</v>
      </c>
      <c r="J62" s="10">
        <f t="shared" si="0"/>
        <v>5</v>
      </c>
    </row>
    <row r="63" spans="1:10" x14ac:dyDescent="0.2">
      <c r="A63" s="6">
        <v>42614</v>
      </c>
      <c r="B63">
        <v>1999</v>
      </c>
      <c r="C63">
        <v>1128</v>
      </c>
      <c r="D63">
        <v>62</v>
      </c>
      <c r="E63">
        <v>6900</v>
      </c>
      <c r="F63" t="s">
        <v>25</v>
      </c>
      <c r="G63">
        <v>3</v>
      </c>
      <c r="H63" t="s">
        <v>68</v>
      </c>
      <c r="I63">
        <v>20</v>
      </c>
      <c r="J63" s="10">
        <f t="shared" si="0"/>
        <v>3</v>
      </c>
    </row>
    <row r="64" spans="1:10" x14ac:dyDescent="0.2">
      <c r="A64" s="6">
        <v>43242</v>
      </c>
      <c r="B64">
        <v>1996</v>
      </c>
      <c r="C64">
        <v>1129</v>
      </c>
      <c r="D64">
        <v>63</v>
      </c>
      <c r="E64">
        <v>9200</v>
      </c>
      <c r="F64" t="s">
        <v>25</v>
      </c>
      <c r="G64">
        <v>6</v>
      </c>
      <c r="H64" t="s">
        <v>68</v>
      </c>
      <c r="I64">
        <v>23</v>
      </c>
      <c r="J64" s="10">
        <f t="shared" si="0"/>
        <v>6</v>
      </c>
    </row>
    <row r="65" spans="1:10" x14ac:dyDescent="0.2">
      <c r="A65" s="6">
        <v>43136</v>
      </c>
      <c r="B65">
        <v>1996</v>
      </c>
      <c r="C65">
        <v>1129</v>
      </c>
      <c r="D65">
        <v>64</v>
      </c>
      <c r="E65">
        <v>7300</v>
      </c>
      <c r="F65" t="s">
        <v>25</v>
      </c>
      <c r="G65">
        <v>13</v>
      </c>
      <c r="H65" t="s">
        <v>68</v>
      </c>
      <c r="I65">
        <v>23</v>
      </c>
      <c r="J65" s="10">
        <f t="shared" si="0"/>
        <v>13</v>
      </c>
    </row>
    <row r="66" spans="1:10" x14ac:dyDescent="0.2">
      <c r="A66" s="6">
        <v>43047</v>
      </c>
      <c r="B66">
        <v>1996</v>
      </c>
      <c r="C66">
        <v>1129</v>
      </c>
      <c r="D66">
        <v>65</v>
      </c>
      <c r="E66">
        <v>6950</v>
      </c>
      <c r="F66" t="s">
        <v>25</v>
      </c>
      <c r="G66">
        <v>6</v>
      </c>
      <c r="H66" t="s">
        <v>68</v>
      </c>
      <c r="I66">
        <v>23</v>
      </c>
      <c r="J66" s="10">
        <f t="shared" ref="J66:J129" si="1">IF(H66="days",ROUND(G66/30,0),IF(H66="years",G66*12,G66))</f>
        <v>6</v>
      </c>
    </row>
    <row r="67" spans="1:10" x14ac:dyDescent="0.2">
      <c r="A67" s="6">
        <v>42826</v>
      </c>
      <c r="B67">
        <v>1996</v>
      </c>
      <c r="C67">
        <v>1129</v>
      </c>
      <c r="D67">
        <v>66</v>
      </c>
      <c r="E67">
        <v>6850</v>
      </c>
      <c r="F67" t="s">
        <v>25</v>
      </c>
      <c r="G67">
        <v>42</v>
      </c>
      <c r="H67" t="s">
        <v>26</v>
      </c>
      <c r="I67">
        <v>23</v>
      </c>
      <c r="J67" s="10">
        <f t="shared" si="1"/>
        <v>1</v>
      </c>
    </row>
    <row r="68" spans="1:10" x14ac:dyDescent="0.2">
      <c r="A68" s="6">
        <v>42440</v>
      </c>
      <c r="B68">
        <v>1997</v>
      </c>
      <c r="C68">
        <v>1129</v>
      </c>
      <c r="D68">
        <v>67</v>
      </c>
      <c r="E68">
        <v>7000</v>
      </c>
      <c r="F68" t="s">
        <v>25</v>
      </c>
      <c r="G68">
        <v>5</v>
      </c>
      <c r="H68" t="s">
        <v>68</v>
      </c>
      <c r="I68">
        <v>22</v>
      </c>
      <c r="J68" s="10">
        <f t="shared" si="1"/>
        <v>5</v>
      </c>
    </row>
    <row r="69" spans="1:10" x14ac:dyDescent="0.2">
      <c r="A69" s="6">
        <v>42440</v>
      </c>
      <c r="B69">
        <v>1997</v>
      </c>
      <c r="C69">
        <v>1129</v>
      </c>
      <c r="D69">
        <v>68</v>
      </c>
      <c r="E69">
        <v>7000</v>
      </c>
      <c r="F69" t="s">
        <v>25</v>
      </c>
      <c r="G69">
        <v>5</v>
      </c>
      <c r="H69" t="s">
        <v>68</v>
      </c>
      <c r="I69">
        <v>22</v>
      </c>
      <c r="J69" s="10">
        <f t="shared" si="1"/>
        <v>5</v>
      </c>
    </row>
    <row r="70" spans="1:10" x14ac:dyDescent="0.2">
      <c r="A70" s="6">
        <v>43083</v>
      </c>
      <c r="B70">
        <v>1995</v>
      </c>
      <c r="C70">
        <v>1131</v>
      </c>
      <c r="D70">
        <v>69</v>
      </c>
      <c r="E70">
        <v>6750</v>
      </c>
      <c r="F70" t="s">
        <v>25</v>
      </c>
      <c r="G70">
        <v>12</v>
      </c>
      <c r="H70" t="s">
        <v>68</v>
      </c>
      <c r="I70">
        <v>24</v>
      </c>
      <c r="J70" s="10">
        <f t="shared" si="1"/>
        <v>12</v>
      </c>
    </row>
    <row r="71" spans="1:10" x14ac:dyDescent="0.2">
      <c r="A71" s="6">
        <v>43070</v>
      </c>
      <c r="B71">
        <v>1995</v>
      </c>
      <c r="C71">
        <v>1131</v>
      </c>
      <c r="D71">
        <v>70</v>
      </c>
      <c r="E71">
        <v>6750</v>
      </c>
      <c r="F71" t="s">
        <v>25</v>
      </c>
      <c r="G71">
        <v>13</v>
      </c>
      <c r="H71" t="s">
        <v>68</v>
      </c>
      <c r="I71">
        <v>24</v>
      </c>
      <c r="J71" s="10">
        <f t="shared" si="1"/>
        <v>13</v>
      </c>
    </row>
    <row r="72" spans="1:10" x14ac:dyDescent="0.2">
      <c r="A72" s="6">
        <v>43635</v>
      </c>
      <c r="B72">
        <v>1998</v>
      </c>
      <c r="C72">
        <v>1138</v>
      </c>
      <c r="D72">
        <v>71</v>
      </c>
      <c r="E72">
        <v>6600</v>
      </c>
      <c r="F72" t="s">
        <v>25</v>
      </c>
      <c r="G72">
        <v>12</v>
      </c>
      <c r="H72" t="s">
        <v>68</v>
      </c>
      <c r="I72">
        <v>21</v>
      </c>
      <c r="J72" s="10">
        <f t="shared" si="1"/>
        <v>12</v>
      </c>
    </row>
    <row r="73" spans="1:10" x14ac:dyDescent="0.2">
      <c r="A73" s="6">
        <v>43416</v>
      </c>
      <c r="B73">
        <v>1998</v>
      </c>
      <c r="C73">
        <v>1138</v>
      </c>
      <c r="D73">
        <v>72</v>
      </c>
      <c r="E73">
        <v>6900</v>
      </c>
      <c r="F73" t="s">
        <v>25</v>
      </c>
      <c r="G73">
        <v>12</v>
      </c>
      <c r="H73" t="s">
        <v>68</v>
      </c>
      <c r="I73">
        <v>21</v>
      </c>
      <c r="J73" s="10">
        <f t="shared" si="1"/>
        <v>12</v>
      </c>
    </row>
    <row r="74" spans="1:10" x14ac:dyDescent="0.2">
      <c r="A74" s="6">
        <v>43235</v>
      </c>
      <c r="B74">
        <v>1998</v>
      </c>
      <c r="C74">
        <v>1138</v>
      </c>
      <c r="D74">
        <v>73</v>
      </c>
      <c r="E74">
        <v>8500</v>
      </c>
      <c r="F74" t="s">
        <v>25</v>
      </c>
      <c r="G74">
        <v>5</v>
      </c>
      <c r="H74" t="s">
        <v>68</v>
      </c>
      <c r="I74">
        <v>21</v>
      </c>
      <c r="J74" s="10">
        <f t="shared" si="1"/>
        <v>5</v>
      </c>
    </row>
    <row r="75" spans="1:10" x14ac:dyDescent="0.2">
      <c r="A75" s="6">
        <v>42860</v>
      </c>
      <c r="B75">
        <v>1998</v>
      </c>
      <c r="C75">
        <v>1138</v>
      </c>
      <c r="D75">
        <v>74</v>
      </c>
      <c r="E75">
        <v>5950</v>
      </c>
      <c r="F75" t="s">
        <v>25</v>
      </c>
      <c r="G75">
        <v>12</v>
      </c>
      <c r="H75" t="s">
        <v>68</v>
      </c>
      <c r="I75">
        <v>21</v>
      </c>
      <c r="J75" s="10">
        <f t="shared" si="1"/>
        <v>12</v>
      </c>
    </row>
    <row r="76" spans="1:10" x14ac:dyDescent="0.2">
      <c r="A76" s="6">
        <v>42856</v>
      </c>
      <c r="B76">
        <v>1998</v>
      </c>
      <c r="C76">
        <v>1138</v>
      </c>
      <c r="D76">
        <v>75</v>
      </c>
      <c r="E76">
        <v>6250</v>
      </c>
      <c r="F76" t="s">
        <v>25</v>
      </c>
      <c r="G76">
        <v>6</v>
      </c>
      <c r="H76" t="s">
        <v>68</v>
      </c>
      <c r="I76">
        <v>21</v>
      </c>
      <c r="J76" s="10">
        <f t="shared" si="1"/>
        <v>6</v>
      </c>
    </row>
    <row r="77" spans="1:10" x14ac:dyDescent="0.2">
      <c r="A77" s="6">
        <v>42656</v>
      </c>
      <c r="B77">
        <v>1998</v>
      </c>
      <c r="C77">
        <v>1138</v>
      </c>
      <c r="D77">
        <v>76</v>
      </c>
      <c r="E77">
        <v>6500</v>
      </c>
      <c r="F77" t="s">
        <v>25</v>
      </c>
      <c r="G77">
        <v>12</v>
      </c>
      <c r="H77" t="s">
        <v>68</v>
      </c>
      <c r="I77">
        <v>21</v>
      </c>
      <c r="J77" s="10">
        <f t="shared" si="1"/>
        <v>12</v>
      </c>
    </row>
    <row r="78" spans="1:10" x14ac:dyDescent="0.2">
      <c r="A78" s="6">
        <v>42467</v>
      </c>
      <c r="B78">
        <v>1998</v>
      </c>
      <c r="C78">
        <v>1138</v>
      </c>
      <c r="D78">
        <v>77</v>
      </c>
      <c r="E78">
        <v>7100</v>
      </c>
      <c r="F78" t="s">
        <v>25</v>
      </c>
      <c r="G78">
        <v>12</v>
      </c>
      <c r="H78" t="s">
        <v>68</v>
      </c>
      <c r="I78">
        <v>21</v>
      </c>
      <c r="J78" s="10">
        <f t="shared" si="1"/>
        <v>12</v>
      </c>
    </row>
    <row r="79" spans="1:10" x14ac:dyDescent="0.2">
      <c r="A79" s="6">
        <v>42417</v>
      </c>
      <c r="B79">
        <v>1998</v>
      </c>
      <c r="C79">
        <v>1138</v>
      </c>
      <c r="D79">
        <v>78</v>
      </c>
      <c r="E79">
        <v>7150</v>
      </c>
      <c r="F79" t="s">
        <v>25</v>
      </c>
      <c r="G79">
        <v>6</v>
      </c>
      <c r="H79" t="s">
        <v>68</v>
      </c>
      <c r="I79">
        <v>21</v>
      </c>
      <c r="J79" s="10">
        <f t="shared" si="1"/>
        <v>6</v>
      </c>
    </row>
    <row r="80" spans="1:10" x14ac:dyDescent="0.2">
      <c r="A80" s="6">
        <v>42450</v>
      </c>
      <c r="B80">
        <v>1999</v>
      </c>
      <c r="C80">
        <v>1139</v>
      </c>
      <c r="D80">
        <v>79</v>
      </c>
      <c r="E80">
        <v>6250</v>
      </c>
      <c r="F80" t="s">
        <v>25</v>
      </c>
      <c r="G80">
        <v>6</v>
      </c>
      <c r="H80" t="s">
        <v>68</v>
      </c>
      <c r="I80">
        <v>20</v>
      </c>
      <c r="J80" s="10">
        <f t="shared" si="1"/>
        <v>6</v>
      </c>
    </row>
    <row r="81" spans="1:10" x14ac:dyDescent="0.2">
      <c r="A81" s="6">
        <v>42424</v>
      </c>
      <c r="B81">
        <v>1999</v>
      </c>
      <c r="C81">
        <v>1139</v>
      </c>
      <c r="D81">
        <v>80</v>
      </c>
      <c r="E81">
        <v>6800</v>
      </c>
      <c r="F81" t="s">
        <v>25</v>
      </c>
      <c r="G81">
        <v>10</v>
      </c>
      <c r="H81" t="s">
        <v>68</v>
      </c>
      <c r="I81">
        <v>20</v>
      </c>
      <c r="J81" s="10">
        <f t="shared" si="1"/>
        <v>10</v>
      </c>
    </row>
    <row r="82" spans="1:10" x14ac:dyDescent="0.2">
      <c r="A82" s="6">
        <v>42559</v>
      </c>
      <c r="B82">
        <v>1999</v>
      </c>
      <c r="C82">
        <v>1145</v>
      </c>
      <c r="D82">
        <v>81</v>
      </c>
      <c r="E82">
        <v>6700</v>
      </c>
      <c r="F82" t="s">
        <v>25</v>
      </c>
      <c r="G82">
        <v>6</v>
      </c>
      <c r="H82" t="s">
        <v>68</v>
      </c>
      <c r="I82">
        <v>20</v>
      </c>
      <c r="J82" s="10">
        <f t="shared" si="1"/>
        <v>6</v>
      </c>
    </row>
    <row r="83" spans="1:10" x14ac:dyDescent="0.2">
      <c r="A83" s="6">
        <v>42516</v>
      </c>
      <c r="B83">
        <v>1997</v>
      </c>
      <c r="C83">
        <v>1145</v>
      </c>
      <c r="D83">
        <v>82</v>
      </c>
      <c r="E83">
        <v>7100</v>
      </c>
      <c r="F83" t="s">
        <v>25</v>
      </c>
      <c r="G83">
        <v>12</v>
      </c>
      <c r="H83" t="s">
        <v>68</v>
      </c>
      <c r="I83">
        <v>22</v>
      </c>
      <c r="J83" s="10">
        <f t="shared" si="1"/>
        <v>12</v>
      </c>
    </row>
    <row r="84" spans="1:10" x14ac:dyDescent="0.2">
      <c r="A84" s="6">
        <v>42510</v>
      </c>
      <c r="B84">
        <v>1999</v>
      </c>
      <c r="C84">
        <v>1145</v>
      </c>
      <c r="D84">
        <v>83</v>
      </c>
      <c r="E84">
        <v>6350</v>
      </c>
      <c r="F84" t="s">
        <v>25</v>
      </c>
      <c r="G84">
        <v>45</v>
      </c>
      <c r="H84" t="s">
        <v>26</v>
      </c>
      <c r="I84">
        <v>20</v>
      </c>
      <c r="J84" s="10">
        <f t="shared" si="1"/>
        <v>2</v>
      </c>
    </row>
    <row r="85" spans="1:10" x14ac:dyDescent="0.2">
      <c r="A85" s="6">
        <v>42432</v>
      </c>
      <c r="B85">
        <v>1999</v>
      </c>
      <c r="C85">
        <v>1145</v>
      </c>
      <c r="D85">
        <v>84</v>
      </c>
      <c r="E85">
        <v>6700</v>
      </c>
      <c r="F85" t="s">
        <v>25</v>
      </c>
      <c r="G85">
        <v>8</v>
      </c>
      <c r="H85" t="s">
        <v>68</v>
      </c>
      <c r="I85">
        <v>20</v>
      </c>
      <c r="J85" s="10">
        <f t="shared" si="1"/>
        <v>8</v>
      </c>
    </row>
    <row r="86" spans="1:10" x14ac:dyDescent="0.2">
      <c r="A86" s="6">
        <v>43049</v>
      </c>
      <c r="B86">
        <v>1994</v>
      </c>
      <c r="C86">
        <v>1152</v>
      </c>
      <c r="D86">
        <v>85</v>
      </c>
      <c r="E86">
        <v>6550</v>
      </c>
      <c r="F86" t="s">
        <v>25</v>
      </c>
      <c r="G86">
        <v>180</v>
      </c>
      <c r="H86" t="s">
        <v>26</v>
      </c>
      <c r="I86">
        <v>25</v>
      </c>
      <c r="J86" s="10">
        <f t="shared" si="1"/>
        <v>6</v>
      </c>
    </row>
    <row r="87" spans="1:10" x14ac:dyDescent="0.2">
      <c r="A87" s="6">
        <v>43033</v>
      </c>
      <c r="B87">
        <v>1993</v>
      </c>
      <c r="C87">
        <v>1152</v>
      </c>
      <c r="D87">
        <v>86</v>
      </c>
      <c r="E87">
        <v>6400</v>
      </c>
      <c r="F87" t="s">
        <v>25</v>
      </c>
      <c r="G87">
        <v>4</v>
      </c>
      <c r="H87" t="s">
        <v>68</v>
      </c>
      <c r="I87">
        <v>26</v>
      </c>
      <c r="J87" s="10">
        <f t="shared" si="1"/>
        <v>4</v>
      </c>
    </row>
    <row r="88" spans="1:10" x14ac:dyDescent="0.2">
      <c r="A88" s="6">
        <v>42635</v>
      </c>
      <c r="B88">
        <v>1993</v>
      </c>
      <c r="C88">
        <v>1152</v>
      </c>
      <c r="D88">
        <v>87</v>
      </c>
      <c r="E88">
        <v>7000</v>
      </c>
      <c r="F88" t="s">
        <v>25</v>
      </c>
      <c r="G88">
        <v>12</v>
      </c>
      <c r="H88" t="s">
        <v>68</v>
      </c>
      <c r="I88">
        <v>26</v>
      </c>
      <c r="J88" s="10">
        <f t="shared" si="1"/>
        <v>12</v>
      </c>
    </row>
    <row r="89" spans="1:10" x14ac:dyDescent="0.2">
      <c r="A89" s="6">
        <v>43144</v>
      </c>
      <c r="B89">
        <v>1998</v>
      </c>
      <c r="C89">
        <v>1157</v>
      </c>
      <c r="D89">
        <v>88</v>
      </c>
      <c r="E89">
        <v>7800</v>
      </c>
      <c r="F89" t="s">
        <v>25</v>
      </c>
      <c r="G89">
        <v>6</v>
      </c>
      <c r="H89" t="s">
        <v>68</v>
      </c>
      <c r="I89">
        <v>21</v>
      </c>
      <c r="J89" s="10">
        <f t="shared" si="1"/>
        <v>6</v>
      </c>
    </row>
    <row r="90" spans="1:10" x14ac:dyDescent="0.2">
      <c r="A90" s="6">
        <v>43571</v>
      </c>
      <c r="B90">
        <v>1996</v>
      </c>
      <c r="C90">
        <v>1162</v>
      </c>
      <c r="D90">
        <v>89</v>
      </c>
      <c r="E90">
        <v>5750</v>
      </c>
      <c r="F90" t="s">
        <v>25</v>
      </c>
      <c r="G90">
        <v>10</v>
      </c>
      <c r="H90" t="s">
        <v>68</v>
      </c>
      <c r="I90">
        <v>23</v>
      </c>
      <c r="J90" s="10">
        <f t="shared" si="1"/>
        <v>10</v>
      </c>
    </row>
    <row r="91" spans="1:10" x14ac:dyDescent="0.2">
      <c r="A91" s="6">
        <v>43271</v>
      </c>
      <c r="B91">
        <v>1995</v>
      </c>
      <c r="C91">
        <v>1162</v>
      </c>
      <c r="D91">
        <v>90</v>
      </c>
      <c r="E91">
        <v>7750</v>
      </c>
      <c r="F91" t="s">
        <v>25</v>
      </c>
      <c r="G91">
        <v>12</v>
      </c>
      <c r="H91" t="s">
        <v>68</v>
      </c>
      <c r="I91">
        <v>24</v>
      </c>
      <c r="J91" s="10">
        <f t="shared" si="1"/>
        <v>12</v>
      </c>
    </row>
    <row r="92" spans="1:10" x14ac:dyDescent="0.2">
      <c r="A92" s="6">
        <v>43202</v>
      </c>
      <c r="B92">
        <v>1996</v>
      </c>
      <c r="C92">
        <v>1162</v>
      </c>
      <c r="D92">
        <v>91</v>
      </c>
      <c r="E92">
        <v>7750</v>
      </c>
      <c r="F92" t="s">
        <v>25</v>
      </c>
      <c r="G92">
        <v>11</v>
      </c>
      <c r="H92" t="s">
        <v>68</v>
      </c>
      <c r="I92">
        <v>23</v>
      </c>
      <c r="J92" s="10">
        <f t="shared" si="1"/>
        <v>11</v>
      </c>
    </row>
    <row r="93" spans="1:10" x14ac:dyDescent="0.2">
      <c r="A93" s="6">
        <v>43052</v>
      </c>
      <c r="B93">
        <v>1997</v>
      </c>
      <c r="C93">
        <v>1162</v>
      </c>
      <c r="D93">
        <v>92</v>
      </c>
      <c r="E93">
        <v>6100</v>
      </c>
      <c r="F93" t="s">
        <v>25</v>
      </c>
      <c r="G93">
        <v>12</v>
      </c>
      <c r="H93" t="s">
        <v>68</v>
      </c>
      <c r="I93">
        <v>22</v>
      </c>
      <c r="J93" s="10">
        <f t="shared" si="1"/>
        <v>12</v>
      </c>
    </row>
    <row r="94" spans="1:10" x14ac:dyDescent="0.2">
      <c r="A94" s="6">
        <v>43031</v>
      </c>
      <c r="B94">
        <v>1995</v>
      </c>
      <c r="C94">
        <v>1162</v>
      </c>
      <c r="D94">
        <v>93</v>
      </c>
      <c r="E94">
        <v>5600</v>
      </c>
      <c r="F94" t="s">
        <v>25</v>
      </c>
      <c r="G94">
        <v>6</v>
      </c>
      <c r="H94" t="s">
        <v>68</v>
      </c>
      <c r="I94">
        <v>24</v>
      </c>
      <c r="J94" s="10">
        <f t="shared" si="1"/>
        <v>6</v>
      </c>
    </row>
    <row r="95" spans="1:10" x14ac:dyDescent="0.2">
      <c r="A95" s="6">
        <v>43031</v>
      </c>
      <c r="B95">
        <v>1996</v>
      </c>
      <c r="C95">
        <v>1162</v>
      </c>
      <c r="D95">
        <v>94</v>
      </c>
      <c r="E95">
        <v>5600</v>
      </c>
      <c r="F95" t="s">
        <v>25</v>
      </c>
      <c r="G95">
        <v>6</v>
      </c>
      <c r="H95" t="s">
        <v>68</v>
      </c>
      <c r="I95">
        <v>23</v>
      </c>
      <c r="J95" s="10">
        <f t="shared" si="1"/>
        <v>6</v>
      </c>
    </row>
    <row r="96" spans="1:10" x14ac:dyDescent="0.2">
      <c r="A96" s="6">
        <v>42864</v>
      </c>
      <c r="B96">
        <v>1995</v>
      </c>
      <c r="C96">
        <v>1162</v>
      </c>
      <c r="D96">
        <v>95</v>
      </c>
      <c r="E96">
        <v>5500</v>
      </c>
      <c r="F96" t="s">
        <v>25</v>
      </c>
      <c r="G96">
        <v>6</v>
      </c>
      <c r="H96" t="s">
        <v>68</v>
      </c>
      <c r="I96">
        <v>24</v>
      </c>
      <c r="J96" s="10">
        <f t="shared" si="1"/>
        <v>6</v>
      </c>
    </row>
    <row r="97" spans="1:10" x14ac:dyDescent="0.2">
      <c r="A97" s="6">
        <v>42856</v>
      </c>
      <c r="B97">
        <v>1995</v>
      </c>
      <c r="C97">
        <v>1162</v>
      </c>
      <c r="D97">
        <v>96</v>
      </c>
      <c r="E97">
        <v>6500</v>
      </c>
      <c r="F97" t="s">
        <v>25</v>
      </c>
      <c r="G97">
        <v>12</v>
      </c>
      <c r="H97" t="s">
        <v>68</v>
      </c>
      <c r="I97">
        <v>24</v>
      </c>
      <c r="J97" s="10">
        <f t="shared" si="1"/>
        <v>12</v>
      </c>
    </row>
    <row r="98" spans="1:10" x14ac:dyDescent="0.2">
      <c r="A98" s="6">
        <v>42844</v>
      </c>
      <c r="B98">
        <v>1996</v>
      </c>
      <c r="C98">
        <v>1162</v>
      </c>
      <c r="D98">
        <v>97</v>
      </c>
      <c r="E98">
        <v>5450</v>
      </c>
      <c r="F98" t="s">
        <v>25</v>
      </c>
      <c r="G98">
        <v>6</v>
      </c>
      <c r="H98" t="s">
        <v>68</v>
      </c>
      <c r="I98">
        <v>23</v>
      </c>
      <c r="J98" s="10">
        <f t="shared" si="1"/>
        <v>6</v>
      </c>
    </row>
    <row r="99" spans="1:10" x14ac:dyDescent="0.2">
      <c r="A99" s="6">
        <v>42733</v>
      </c>
      <c r="B99">
        <v>1995</v>
      </c>
      <c r="C99">
        <v>1162</v>
      </c>
      <c r="D99">
        <v>98</v>
      </c>
      <c r="E99">
        <v>5400</v>
      </c>
      <c r="F99" t="s">
        <v>25</v>
      </c>
      <c r="G99">
        <v>6</v>
      </c>
      <c r="H99" t="s">
        <v>68</v>
      </c>
      <c r="I99">
        <v>24</v>
      </c>
      <c r="J99" s="10">
        <f t="shared" si="1"/>
        <v>6</v>
      </c>
    </row>
    <row r="100" spans="1:10" x14ac:dyDescent="0.2">
      <c r="A100" s="6">
        <v>42732</v>
      </c>
      <c r="B100">
        <v>1996</v>
      </c>
      <c r="C100">
        <v>1162</v>
      </c>
      <c r="D100">
        <v>99</v>
      </c>
      <c r="E100">
        <v>5400</v>
      </c>
      <c r="F100" t="s">
        <v>25</v>
      </c>
      <c r="G100">
        <v>4</v>
      </c>
      <c r="H100" t="s">
        <v>68</v>
      </c>
      <c r="I100">
        <v>23</v>
      </c>
      <c r="J100" s="10">
        <f t="shared" si="1"/>
        <v>4</v>
      </c>
    </row>
    <row r="101" spans="1:10" x14ac:dyDescent="0.2">
      <c r="A101" s="6">
        <v>42669</v>
      </c>
      <c r="B101">
        <v>1996</v>
      </c>
      <c r="C101">
        <v>1162</v>
      </c>
      <c r="D101">
        <v>100</v>
      </c>
      <c r="E101">
        <v>5800</v>
      </c>
      <c r="F101" t="s">
        <v>25</v>
      </c>
      <c r="G101">
        <v>30</v>
      </c>
      <c r="H101" t="s">
        <v>26</v>
      </c>
      <c r="I101">
        <v>23</v>
      </c>
      <c r="J101" s="10">
        <f t="shared" si="1"/>
        <v>1</v>
      </c>
    </row>
    <row r="102" spans="1:10" x14ac:dyDescent="0.2">
      <c r="A102" s="6">
        <v>42584</v>
      </c>
      <c r="B102">
        <v>1996</v>
      </c>
      <c r="C102">
        <v>1162</v>
      </c>
      <c r="D102">
        <v>101</v>
      </c>
      <c r="E102">
        <v>6250</v>
      </c>
      <c r="F102" t="s">
        <v>25</v>
      </c>
      <c r="G102">
        <v>6</v>
      </c>
      <c r="H102" t="s">
        <v>68</v>
      </c>
      <c r="I102">
        <v>23</v>
      </c>
      <c r="J102" s="10">
        <f t="shared" si="1"/>
        <v>6</v>
      </c>
    </row>
    <row r="103" spans="1:10" x14ac:dyDescent="0.2">
      <c r="A103" s="6">
        <v>42487</v>
      </c>
      <c r="B103">
        <v>1995</v>
      </c>
      <c r="C103">
        <v>1162</v>
      </c>
      <c r="D103">
        <v>102</v>
      </c>
      <c r="E103">
        <v>6200</v>
      </c>
      <c r="F103" t="s">
        <v>25</v>
      </c>
      <c r="G103">
        <v>14</v>
      </c>
      <c r="H103" t="s">
        <v>68</v>
      </c>
      <c r="I103">
        <v>24</v>
      </c>
      <c r="J103" s="10">
        <f t="shared" si="1"/>
        <v>14</v>
      </c>
    </row>
    <row r="104" spans="1:10" x14ac:dyDescent="0.2">
      <c r="A104" s="6">
        <v>42381</v>
      </c>
      <c r="B104">
        <v>1995</v>
      </c>
      <c r="C104">
        <v>1162</v>
      </c>
      <c r="D104">
        <v>103</v>
      </c>
      <c r="E104">
        <v>6100</v>
      </c>
      <c r="F104" t="s">
        <v>25</v>
      </c>
      <c r="G104">
        <v>6</v>
      </c>
      <c r="H104" t="s">
        <v>68</v>
      </c>
      <c r="I104">
        <v>24</v>
      </c>
      <c r="J104" s="10">
        <f t="shared" si="1"/>
        <v>6</v>
      </c>
    </row>
    <row r="105" spans="1:10" x14ac:dyDescent="0.2">
      <c r="A105" s="6">
        <v>43388</v>
      </c>
      <c r="B105">
        <v>1990</v>
      </c>
      <c r="C105">
        <v>1169</v>
      </c>
      <c r="D105">
        <v>104</v>
      </c>
      <c r="E105">
        <v>9750</v>
      </c>
      <c r="F105" t="s">
        <v>25</v>
      </c>
      <c r="G105">
        <v>5.5</v>
      </c>
      <c r="H105" t="s">
        <v>68</v>
      </c>
      <c r="I105">
        <v>29</v>
      </c>
      <c r="J105" s="10">
        <f t="shared" si="1"/>
        <v>5.5</v>
      </c>
    </row>
    <row r="106" spans="1:10" x14ac:dyDescent="0.2">
      <c r="A106" s="6">
        <v>43388</v>
      </c>
      <c r="B106">
        <v>1993</v>
      </c>
      <c r="C106">
        <v>1169</v>
      </c>
      <c r="D106">
        <v>105</v>
      </c>
      <c r="E106">
        <v>9750</v>
      </c>
      <c r="F106" t="s">
        <v>25</v>
      </c>
      <c r="G106">
        <v>5.5</v>
      </c>
      <c r="H106" t="s">
        <v>68</v>
      </c>
      <c r="I106">
        <v>26</v>
      </c>
      <c r="J106" s="10">
        <f t="shared" si="1"/>
        <v>5.5</v>
      </c>
    </row>
    <row r="107" spans="1:10" x14ac:dyDescent="0.2">
      <c r="A107" s="6">
        <v>43229</v>
      </c>
      <c r="B107">
        <v>1993</v>
      </c>
      <c r="C107">
        <v>1169</v>
      </c>
      <c r="D107">
        <v>106</v>
      </c>
      <c r="E107">
        <v>11500</v>
      </c>
      <c r="F107" t="s">
        <v>25</v>
      </c>
      <c r="G107">
        <v>8</v>
      </c>
      <c r="H107" t="s">
        <v>68</v>
      </c>
      <c r="I107">
        <v>26</v>
      </c>
      <c r="J107" s="10">
        <f t="shared" si="1"/>
        <v>8</v>
      </c>
    </row>
    <row r="108" spans="1:10" x14ac:dyDescent="0.2">
      <c r="A108" s="6">
        <v>43038</v>
      </c>
      <c r="B108">
        <v>1990</v>
      </c>
      <c r="C108">
        <v>1169</v>
      </c>
      <c r="D108">
        <v>107</v>
      </c>
      <c r="E108">
        <v>8300</v>
      </c>
      <c r="F108" t="s">
        <v>25</v>
      </c>
      <c r="G108">
        <v>7</v>
      </c>
      <c r="H108" t="s">
        <v>68</v>
      </c>
      <c r="I108">
        <v>29</v>
      </c>
      <c r="J108" s="10">
        <f t="shared" si="1"/>
        <v>7</v>
      </c>
    </row>
    <row r="109" spans="1:10" x14ac:dyDescent="0.2">
      <c r="A109" s="6">
        <v>42866</v>
      </c>
      <c r="B109">
        <v>1990</v>
      </c>
      <c r="C109">
        <v>1169</v>
      </c>
      <c r="D109">
        <v>108</v>
      </c>
      <c r="E109">
        <v>7500</v>
      </c>
      <c r="F109" t="s">
        <v>25</v>
      </c>
      <c r="G109">
        <v>6</v>
      </c>
      <c r="H109" t="s">
        <v>68</v>
      </c>
      <c r="I109">
        <v>29</v>
      </c>
      <c r="J109" s="10">
        <f t="shared" si="1"/>
        <v>6</v>
      </c>
    </row>
    <row r="110" spans="1:10" x14ac:dyDescent="0.2">
      <c r="A110" s="6">
        <v>42723</v>
      </c>
      <c r="B110">
        <v>1993</v>
      </c>
      <c r="C110">
        <v>1169</v>
      </c>
      <c r="D110">
        <v>109</v>
      </c>
      <c r="E110">
        <v>7000</v>
      </c>
      <c r="F110" t="s">
        <v>25</v>
      </c>
      <c r="G110">
        <v>8</v>
      </c>
      <c r="H110" t="s">
        <v>68</v>
      </c>
      <c r="I110">
        <v>26</v>
      </c>
      <c r="J110" s="10">
        <f t="shared" si="1"/>
        <v>8</v>
      </c>
    </row>
    <row r="111" spans="1:10" x14ac:dyDescent="0.2">
      <c r="A111" s="6">
        <v>42723</v>
      </c>
      <c r="B111">
        <v>1990</v>
      </c>
      <c r="C111">
        <v>1169</v>
      </c>
      <c r="D111">
        <v>110</v>
      </c>
      <c r="E111">
        <v>7000</v>
      </c>
      <c r="F111" t="s">
        <v>25</v>
      </c>
      <c r="G111">
        <v>5</v>
      </c>
      <c r="H111" t="s">
        <v>68</v>
      </c>
      <c r="I111">
        <v>29</v>
      </c>
      <c r="J111" s="10">
        <f t="shared" si="1"/>
        <v>5</v>
      </c>
    </row>
    <row r="112" spans="1:10" x14ac:dyDescent="0.2">
      <c r="A112" s="6">
        <v>42480</v>
      </c>
      <c r="B112">
        <v>1993</v>
      </c>
      <c r="C112">
        <v>1169</v>
      </c>
      <c r="D112">
        <v>111</v>
      </c>
      <c r="E112">
        <v>6900</v>
      </c>
      <c r="F112" t="s">
        <v>25</v>
      </c>
      <c r="G112">
        <v>9</v>
      </c>
      <c r="H112" t="s">
        <v>68</v>
      </c>
      <c r="I112">
        <v>26</v>
      </c>
      <c r="J112" s="10">
        <f t="shared" si="1"/>
        <v>9</v>
      </c>
    </row>
    <row r="113" spans="1:10" x14ac:dyDescent="0.2">
      <c r="A113" s="6">
        <v>43070</v>
      </c>
      <c r="B113">
        <v>1999</v>
      </c>
      <c r="C113">
        <v>1174</v>
      </c>
      <c r="D113">
        <v>112</v>
      </c>
      <c r="E113">
        <v>7300</v>
      </c>
      <c r="F113" t="s">
        <v>25</v>
      </c>
      <c r="G113">
        <v>12</v>
      </c>
      <c r="H113" t="s">
        <v>68</v>
      </c>
      <c r="I113">
        <v>20</v>
      </c>
      <c r="J113" s="10">
        <f t="shared" si="1"/>
        <v>12</v>
      </c>
    </row>
    <row r="114" spans="1:10" x14ac:dyDescent="0.2">
      <c r="A114" s="6">
        <v>42401</v>
      </c>
      <c r="B114">
        <v>1999</v>
      </c>
      <c r="C114">
        <v>1174</v>
      </c>
      <c r="D114">
        <v>113</v>
      </c>
      <c r="E114">
        <v>6800</v>
      </c>
      <c r="F114" t="s">
        <v>25</v>
      </c>
      <c r="G114">
        <v>12</v>
      </c>
      <c r="H114" t="s">
        <v>68</v>
      </c>
      <c r="I114">
        <v>20</v>
      </c>
      <c r="J114" s="10">
        <f t="shared" si="1"/>
        <v>12</v>
      </c>
    </row>
    <row r="115" spans="1:10" x14ac:dyDescent="0.2">
      <c r="A115" s="6">
        <v>43626</v>
      </c>
      <c r="B115">
        <v>1997</v>
      </c>
      <c r="C115">
        <v>1177</v>
      </c>
      <c r="D115">
        <v>114</v>
      </c>
      <c r="E115">
        <v>7400</v>
      </c>
      <c r="F115" t="s">
        <v>25</v>
      </c>
      <c r="G115">
        <v>4</v>
      </c>
      <c r="H115" t="s">
        <v>68</v>
      </c>
      <c r="I115">
        <v>22</v>
      </c>
      <c r="J115" s="10">
        <f t="shared" si="1"/>
        <v>4</v>
      </c>
    </row>
    <row r="116" spans="1:10" x14ac:dyDescent="0.2">
      <c r="A116" s="6">
        <v>43514</v>
      </c>
      <c r="B116">
        <v>1997</v>
      </c>
      <c r="C116">
        <v>1177</v>
      </c>
      <c r="D116">
        <v>115</v>
      </c>
      <c r="E116">
        <v>7500</v>
      </c>
      <c r="F116" t="s">
        <v>25</v>
      </c>
      <c r="G116">
        <v>2</v>
      </c>
      <c r="H116" t="s">
        <v>68</v>
      </c>
      <c r="I116">
        <v>22</v>
      </c>
      <c r="J116" s="10">
        <f t="shared" si="1"/>
        <v>2</v>
      </c>
    </row>
    <row r="117" spans="1:10" x14ac:dyDescent="0.2">
      <c r="A117" s="6">
        <v>42788</v>
      </c>
      <c r="B117">
        <v>1997</v>
      </c>
      <c r="C117">
        <v>1177</v>
      </c>
      <c r="D117">
        <v>116</v>
      </c>
      <c r="E117">
        <v>7200</v>
      </c>
      <c r="F117" t="s">
        <v>25</v>
      </c>
      <c r="G117">
        <v>14</v>
      </c>
      <c r="H117" t="s">
        <v>68</v>
      </c>
      <c r="I117">
        <v>22</v>
      </c>
      <c r="J117" s="10">
        <f t="shared" si="1"/>
        <v>14</v>
      </c>
    </row>
    <row r="118" spans="1:10" x14ac:dyDescent="0.2">
      <c r="A118" s="6">
        <v>42788</v>
      </c>
      <c r="B118">
        <v>1997</v>
      </c>
      <c r="C118">
        <v>1177</v>
      </c>
      <c r="D118">
        <v>117</v>
      </c>
      <c r="E118">
        <v>7200</v>
      </c>
      <c r="F118" t="s">
        <v>25</v>
      </c>
      <c r="G118">
        <v>14</v>
      </c>
      <c r="H118" t="s">
        <v>68</v>
      </c>
      <c r="I118">
        <v>22</v>
      </c>
      <c r="J118" s="10">
        <f t="shared" si="1"/>
        <v>14</v>
      </c>
    </row>
    <row r="119" spans="1:10" x14ac:dyDescent="0.2">
      <c r="A119" s="6">
        <v>43000</v>
      </c>
      <c r="B119">
        <v>1996</v>
      </c>
      <c r="C119">
        <v>1205</v>
      </c>
      <c r="D119">
        <v>118</v>
      </c>
      <c r="E119">
        <v>6350</v>
      </c>
      <c r="F119" t="s">
        <v>25</v>
      </c>
      <c r="G119">
        <v>6</v>
      </c>
      <c r="H119" t="s">
        <v>68</v>
      </c>
      <c r="I119">
        <v>23</v>
      </c>
      <c r="J119" s="10">
        <f t="shared" si="1"/>
        <v>6</v>
      </c>
    </row>
    <row r="120" spans="1:10" x14ac:dyDescent="0.2">
      <c r="A120" s="6">
        <v>42845</v>
      </c>
      <c r="B120">
        <v>1996</v>
      </c>
      <c r="C120">
        <v>1205</v>
      </c>
      <c r="D120">
        <v>119</v>
      </c>
      <c r="E120">
        <v>6275</v>
      </c>
      <c r="F120" t="s">
        <v>25</v>
      </c>
      <c r="G120">
        <v>5</v>
      </c>
      <c r="H120" t="s">
        <v>68</v>
      </c>
      <c r="I120">
        <v>23</v>
      </c>
      <c r="J120" s="10">
        <f t="shared" si="1"/>
        <v>5</v>
      </c>
    </row>
    <row r="121" spans="1:10" x14ac:dyDescent="0.2">
      <c r="A121" s="6">
        <v>42515</v>
      </c>
      <c r="B121">
        <v>1996</v>
      </c>
      <c r="C121">
        <v>1205</v>
      </c>
      <c r="D121">
        <v>120</v>
      </c>
      <c r="E121">
        <v>7300</v>
      </c>
      <c r="F121" t="s">
        <v>25</v>
      </c>
      <c r="G121">
        <v>42</v>
      </c>
      <c r="H121" t="s">
        <v>26</v>
      </c>
      <c r="I121">
        <v>23</v>
      </c>
      <c r="J121" s="10">
        <f t="shared" si="1"/>
        <v>1</v>
      </c>
    </row>
    <row r="122" spans="1:10" x14ac:dyDescent="0.2">
      <c r="A122" s="6">
        <v>43069</v>
      </c>
      <c r="B122">
        <v>1992</v>
      </c>
      <c r="C122">
        <v>1308</v>
      </c>
      <c r="D122">
        <v>121</v>
      </c>
      <c r="E122">
        <v>7500</v>
      </c>
      <c r="F122" t="s">
        <v>25</v>
      </c>
      <c r="G122">
        <v>5</v>
      </c>
      <c r="H122" t="s">
        <v>68</v>
      </c>
      <c r="I122">
        <v>27</v>
      </c>
      <c r="J122" s="10">
        <f t="shared" si="1"/>
        <v>5</v>
      </c>
    </row>
    <row r="123" spans="1:10" x14ac:dyDescent="0.2">
      <c r="A123" s="6">
        <v>42851</v>
      </c>
      <c r="B123">
        <v>1992</v>
      </c>
      <c r="C123">
        <v>1308</v>
      </c>
      <c r="D123">
        <v>122</v>
      </c>
      <c r="E123">
        <v>7000</v>
      </c>
      <c r="F123" t="s">
        <v>25</v>
      </c>
      <c r="G123">
        <v>6</v>
      </c>
      <c r="H123" t="s">
        <v>68</v>
      </c>
      <c r="I123">
        <v>27</v>
      </c>
      <c r="J123" s="10">
        <f t="shared" si="1"/>
        <v>6</v>
      </c>
    </row>
    <row r="124" spans="1:10" x14ac:dyDescent="0.2">
      <c r="A124" s="6">
        <v>43483</v>
      </c>
      <c r="B124">
        <v>1998</v>
      </c>
      <c r="C124">
        <v>1367</v>
      </c>
      <c r="D124">
        <v>123</v>
      </c>
      <c r="E124">
        <v>7650</v>
      </c>
      <c r="F124" t="s">
        <v>25</v>
      </c>
      <c r="G124">
        <v>6</v>
      </c>
      <c r="H124" t="s">
        <v>68</v>
      </c>
      <c r="I124">
        <v>21</v>
      </c>
      <c r="J124" s="10">
        <f t="shared" si="1"/>
        <v>6</v>
      </c>
    </row>
    <row r="125" spans="1:10" x14ac:dyDescent="0.2">
      <c r="A125" s="6">
        <v>43374</v>
      </c>
      <c r="B125">
        <v>1998</v>
      </c>
      <c r="C125">
        <v>1367</v>
      </c>
      <c r="D125">
        <v>124</v>
      </c>
      <c r="E125">
        <v>9250</v>
      </c>
      <c r="F125" t="s">
        <v>25</v>
      </c>
      <c r="G125">
        <v>5</v>
      </c>
      <c r="H125" t="s">
        <v>68</v>
      </c>
      <c r="I125">
        <v>21</v>
      </c>
      <c r="J125" s="10">
        <f t="shared" si="1"/>
        <v>5</v>
      </c>
    </row>
    <row r="126" spans="1:10" x14ac:dyDescent="0.2">
      <c r="A126" s="6">
        <v>43342</v>
      </c>
      <c r="B126">
        <v>1995</v>
      </c>
      <c r="C126">
        <v>1367</v>
      </c>
      <c r="D126">
        <v>125</v>
      </c>
      <c r="E126">
        <v>10000</v>
      </c>
      <c r="F126" t="s">
        <v>25</v>
      </c>
      <c r="G126">
        <v>6</v>
      </c>
      <c r="H126" t="s">
        <v>68</v>
      </c>
      <c r="I126">
        <v>24</v>
      </c>
      <c r="J126" s="10">
        <f t="shared" si="1"/>
        <v>6</v>
      </c>
    </row>
    <row r="127" spans="1:10" x14ac:dyDescent="0.2">
      <c r="A127" s="6">
        <v>43266</v>
      </c>
      <c r="B127">
        <v>1995</v>
      </c>
      <c r="C127">
        <v>1367</v>
      </c>
      <c r="D127">
        <v>126</v>
      </c>
      <c r="E127">
        <v>10500</v>
      </c>
      <c r="F127" t="s">
        <v>25</v>
      </c>
      <c r="G127">
        <v>4</v>
      </c>
      <c r="H127" t="s">
        <v>68</v>
      </c>
      <c r="I127">
        <v>24</v>
      </c>
      <c r="J127" s="10">
        <f t="shared" si="1"/>
        <v>4</v>
      </c>
    </row>
    <row r="128" spans="1:10" x14ac:dyDescent="0.2">
      <c r="A128" s="6">
        <v>43139</v>
      </c>
      <c r="B128">
        <v>1998</v>
      </c>
      <c r="C128">
        <v>1367</v>
      </c>
      <c r="D128">
        <v>127</v>
      </c>
      <c r="E128">
        <v>8900</v>
      </c>
      <c r="F128" t="s">
        <v>25</v>
      </c>
      <c r="G128">
        <v>7</v>
      </c>
      <c r="H128" t="s">
        <v>68</v>
      </c>
      <c r="I128">
        <v>21</v>
      </c>
      <c r="J128" s="10">
        <f t="shared" si="1"/>
        <v>7</v>
      </c>
    </row>
    <row r="129" spans="1:10" x14ac:dyDescent="0.2">
      <c r="A129" s="6">
        <v>43070</v>
      </c>
      <c r="B129">
        <v>1995</v>
      </c>
      <c r="C129">
        <v>1367</v>
      </c>
      <c r="D129">
        <v>128</v>
      </c>
      <c r="E129">
        <v>8250</v>
      </c>
      <c r="F129" t="s">
        <v>25</v>
      </c>
      <c r="G129">
        <v>4</v>
      </c>
      <c r="H129" t="s">
        <v>68</v>
      </c>
      <c r="I129">
        <v>24</v>
      </c>
      <c r="J129" s="10">
        <f t="shared" si="1"/>
        <v>4</v>
      </c>
    </row>
    <row r="130" spans="1:10" x14ac:dyDescent="0.2">
      <c r="A130" s="6">
        <v>43063</v>
      </c>
      <c r="B130">
        <v>1997</v>
      </c>
      <c r="C130">
        <v>1367</v>
      </c>
      <c r="D130">
        <v>129</v>
      </c>
      <c r="E130">
        <v>8200</v>
      </c>
      <c r="F130" t="s">
        <v>25</v>
      </c>
      <c r="G130">
        <v>7</v>
      </c>
      <c r="H130" t="s">
        <v>68</v>
      </c>
      <c r="I130">
        <v>22</v>
      </c>
      <c r="J130" s="10">
        <f t="shared" ref="J130:J193" si="2">IF(H130="days",ROUND(G130/30,0),IF(H130="years",G130*12,G130))</f>
        <v>7</v>
      </c>
    </row>
    <row r="131" spans="1:10" x14ac:dyDescent="0.2">
      <c r="A131" s="6">
        <v>42971</v>
      </c>
      <c r="B131">
        <v>1995</v>
      </c>
      <c r="C131">
        <v>1367</v>
      </c>
      <c r="D131">
        <v>130</v>
      </c>
      <c r="E131">
        <v>7000</v>
      </c>
      <c r="F131" t="s">
        <v>25</v>
      </c>
      <c r="G131">
        <v>4</v>
      </c>
      <c r="H131" t="s">
        <v>68</v>
      </c>
      <c r="I131">
        <v>24</v>
      </c>
      <c r="J131" s="10">
        <f t="shared" si="2"/>
        <v>4</v>
      </c>
    </row>
    <row r="132" spans="1:10" x14ac:dyDescent="0.2">
      <c r="A132" s="6">
        <v>42947</v>
      </c>
      <c r="B132">
        <v>1998</v>
      </c>
      <c r="C132">
        <v>1367</v>
      </c>
      <c r="D132">
        <v>131</v>
      </c>
      <c r="E132">
        <v>7000</v>
      </c>
      <c r="F132" t="s">
        <v>25</v>
      </c>
      <c r="G132">
        <v>6</v>
      </c>
      <c r="H132" t="s">
        <v>68</v>
      </c>
      <c r="I132">
        <v>21</v>
      </c>
      <c r="J132" s="10">
        <f t="shared" si="2"/>
        <v>6</v>
      </c>
    </row>
    <row r="133" spans="1:10" x14ac:dyDescent="0.2">
      <c r="A133" s="6">
        <v>42871</v>
      </c>
      <c r="B133">
        <v>1995</v>
      </c>
      <c r="C133">
        <v>1367</v>
      </c>
      <c r="D133">
        <v>132</v>
      </c>
      <c r="E133">
        <v>6700</v>
      </c>
      <c r="F133" t="s">
        <v>25</v>
      </c>
      <c r="G133">
        <v>4</v>
      </c>
      <c r="H133" t="s">
        <v>68</v>
      </c>
      <c r="I133">
        <v>24</v>
      </c>
      <c r="J133" s="10">
        <f t="shared" si="2"/>
        <v>4</v>
      </c>
    </row>
    <row r="134" spans="1:10" x14ac:dyDescent="0.2">
      <c r="A134" s="6">
        <v>42867</v>
      </c>
      <c r="B134">
        <v>1995</v>
      </c>
      <c r="C134">
        <v>1367</v>
      </c>
      <c r="D134">
        <v>133</v>
      </c>
      <c r="E134">
        <v>6200</v>
      </c>
      <c r="F134" t="s">
        <v>25</v>
      </c>
      <c r="G134">
        <v>9</v>
      </c>
      <c r="H134" t="s">
        <v>68</v>
      </c>
      <c r="I134">
        <v>24</v>
      </c>
      <c r="J134" s="10">
        <f t="shared" si="2"/>
        <v>9</v>
      </c>
    </row>
    <row r="135" spans="1:10" x14ac:dyDescent="0.2">
      <c r="A135" s="6">
        <v>42858</v>
      </c>
      <c r="B135">
        <v>1997</v>
      </c>
      <c r="C135">
        <v>1367</v>
      </c>
      <c r="D135">
        <v>134</v>
      </c>
      <c r="E135">
        <v>6900</v>
      </c>
      <c r="F135" t="s">
        <v>25</v>
      </c>
      <c r="G135">
        <v>100</v>
      </c>
      <c r="H135" t="s">
        <v>26</v>
      </c>
      <c r="I135">
        <v>22</v>
      </c>
      <c r="J135" s="10">
        <f t="shared" si="2"/>
        <v>3</v>
      </c>
    </row>
    <row r="136" spans="1:10" x14ac:dyDescent="0.2">
      <c r="A136" s="6">
        <v>42795</v>
      </c>
      <c r="B136">
        <v>1995</v>
      </c>
      <c r="C136">
        <v>1367</v>
      </c>
      <c r="D136">
        <v>135</v>
      </c>
      <c r="E136">
        <v>6700</v>
      </c>
      <c r="F136" t="s">
        <v>25</v>
      </c>
      <c r="G136">
        <v>30</v>
      </c>
      <c r="H136" t="s">
        <v>26</v>
      </c>
      <c r="I136">
        <v>24</v>
      </c>
      <c r="J136" s="10">
        <f t="shared" si="2"/>
        <v>1</v>
      </c>
    </row>
    <row r="137" spans="1:10" x14ac:dyDescent="0.2">
      <c r="A137" s="6">
        <v>42775</v>
      </c>
      <c r="B137">
        <v>1995</v>
      </c>
      <c r="C137">
        <v>1367</v>
      </c>
      <c r="D137">
        <v>136</v>
      </c>
      <c r="E137">
        <v>6200</v>
      </c>
      <c r="F137" t="s">
        <v>25</v>
      </c>
      <c r="G137">
        <v>42</v>
      </c>
      <c r="H137" t="s">
        <v>26</v>
      </c>
      <c r="I137">
        <v>24</v>
      </c>
      <c r="J137" s="10">
        <f t="shared" si="2"/>
        <v>1</v>
      </c>
    </row>
    <row r="138" spans="1:10" x14ac:dyDescent="0.2">
      <c r="A138" s="6">
        <v>42773</v>
      </c>
      <c r="B138">
        <v>1998</v>
      </c>
      <c r="C138">
        <v>1367</v>
      </c>
      <c r="D138">
        <v>137</v>
      </c>
      <c r="E138">
        <v>6500</v>
      </c>
      <c r="F138" t="s">
        <v>25</v>
      </c>
      <c r="G138">
        <v>6</v>
      </c>
      <c r="H138" t="s">
        <v>68</v>
      </c>
      <c r="I138">
        <v>21</v>
      </c>
      <c r="J138" s="10">
        <f t="shared" si="2"/>
        <v>6</v>
      </c>
    </row>
    <row r="139" spans="1:10" x14ac:dyDescent="0.2">
      <c r="A139" s="6">
        <v>42739</v>
      </c>
      <c r="B139">
        <v>1997</v>
      </c>
      <c r="C139">
        <v>1367</v>
      </c>
      <c r="D139">
        <v>138</v>
      </c>
      <c r="E139">
        <v>6100</v>
      </c>
      <c r="F139" t="s">
        <v>25</v>
      </c>
      <c r="G139">
        <v>3</v>
      </c>
      <c r="H139" t="s">
        <v>68</v>
      </c>
      <c r="I139">
        <v>22</v>
      </c>
      <c r="J139" s="10">
        <f t="shared" si="2"/>
        <v>3</v>
      </c>
    </row>
    <row r="140" spans="1:10" x14ac:dyDescent="0.2">
      <c r="A140" s="6">
        <v>42632</v>
      </c>
      <c r="B140">
        <v>1997</v>
      </c>
      <c r="C140">
        <v>1367</v>
      </c>
      <c r="D140">
        <v>139</v>
      </c>
      <c r="E140">
        <v>6200</v>
      </c>
      <c r="F140" t="s">
        <v>25</v>
      </c>
      <c r="G140">
        <v>3</v>
      </c>
      <c r="H140" t="s">
        <v>68</v>
      </c>
      <c r="I140">
        <v>22</v>
      </c>
      <c r="J140" s="10">
        <f t="shared" si="2"/>
        <v>3</v>
      </c>
    </row>
    <row r="141" spans="1:10" x14ac:dyDescent="0.2">
      <c r="A141" s="6">
        <v>42555</v>
      </c>
      <c r="B141">
        <v>1995</v>
      </c>
      <c r="C141">
        <v>1367</v>
      </c>
      <c r="D141">
        <v>140</v>
      </c>
      <c r="E141">
        <v>6500</v>
      </c>
      <c r="F141" t="s">
        <v>25</v>
      </c>
      <c r="G141">
        <v>60</v>
      </c>
      <c r="H141" t="s">
        <v>26</v>
      </c>
      <c r="I141">
        <v>24</v>
      </c>
      <c r="J141" s="10">
        <f t="shared" si="2"/>
        <v>2</v>
      </c>
    </row>
    <row r="142" spans="1:10" x14ac:dyDescent="0.2">
      <c r="A142" s="6">
        <v>42514</v>
      </c>
      <c r="B142">
        <v>1998</v>
      </c>
      <c r="C142">
        <v>1367</v>
      </c>
      <c r="D142">
        <v>141</v>
      </c>
      <c r="E142">
        <v>6500</v>
      </c>
      <c r="F142" t="s">
        <v>25</v>
      </c>
      <c r="G142">
        <v>30</v>
      </c>
      <c r="H142" t="s">
        <v>26</v>
      </c>
      <c r="I142">
        <v>21</v>
      </c>
      <c r="J142" s="10">
        <f t="shared" si="2"/>
        <v>1</v>
      </c>
    </row>
    <row r="143" spans="1:10" x14ac:dyDescent="0.2">
      <c r="A143" s="6">
        <v>42478</v>
      </c>
      <c r="B143">
        <v>1995</v>
      </c>
      <c r="C143">
        <v>1367</v>
      </c>
      <c r="D143">
        <v>142</v>
      </c>
      <c r="E143">
        <v>6500</v>
      </c>
      <c r="F143" t="s">
        <v>25</v>
      </c>
      <c r="G143">
        <v>70</v>
      </c>
      <c r="H143" t="s">
        <v>26</v>
      </c>
      <c r="I143">
        <v>24</v>
      </c>
      <c r="J143" s="10">
        <f t="shared" si="2"/>
        <v>2</v>
      </c>
    </row>
    <row r="144" spans="1:10" x14ac:dyDescent="0.2">
      <c r="A144" s="6">
        <v>42465</v>
      </c>
      <c r="B144">
        <v>1995</v>
      </c>
      <c r="C144">
        <v>1367</v>
      </c>
      <c r="D144">
        <v>143</v>
      </c>
      <c r="E144">
        <v>6900</v>
      </c>
      <c r="F144" t="s">
        <v>25</v>
      </c>
      <c r="G144">
        <v>7</v>
      </c>
      <c r="H144" t="s">
        <v>68</v>
      </c>
      <c r="I144">
        <v>24</v>
      </c>
      <c r="J144" s="10">
        <f t="shared" si="2"/>
        <v>7</v>
      </c>
    </row>
    <row r="145" spans="1:10" x14ac:dyDescent="0.2">
      <c r="A145" s="6">
        <v>42380</v>
      </c>
      <c r="B145">
        <v>1995</v>
      </c>
      <c r="C145">
        <v>1367</v>
      </c>
      <c r="D145">
        <v>144</v>
      </c>
      <c r="E145">
        <v>6750</v>
      </c>
      <c r="F145" t="s">
        <v>25</v>
      </c>
      <c r="G145">
        <v>5</v>
      </c>
      <c r="H145" t="s">
        <v>68</v>
      </c>
      <c r="I145">
        <v>24</v>
      </c>
      <c r="J145" s="10">
        <f t="shared" si="2"/>
        <v>5</v>
      </c>
    </row>
    <row r="146" spans="1:10" x14ac:dyDescent="0.2">
      <c r="A146" s="6">
        <v>43158</v>
      </c>
      <c r="B146">
        <v>1993</v>
      </c>
      <c r="C146">
        <v>1388</v>
      </c>
      <c r="D146">
        <v>145</v>
      </c>
      <c r="E146">
        <v>8500</v>
      </c>
      <c r="F146" t="s">
        <v>25</v>
      </c>
      <c r="G146">
        <v>4</v>
      </c>
      <c r="H146" t="s">
        <v>68</v>
      </c>
      <c r="I146">
        <v>26</v>
      </c>
      <c r="J146" s="10">
        <f t="shared" si="2"/>
        <v>4</v>
      </c>
    </row>
    <row r="147" spans="1:10" x14ac:dyDescent="0.2">
      <c r="A147" s="6">
        <v>43070</v>
      </c>
      <c r="B147">
        <v>1993</v>
      </c>
      <c r="C147">
        <v>1388</v>
      </c>
      <c r="D147">
        <v>146</v>
      </c>
      <c r="E147">
        <v>6750</v>
      </c>
      <c r="F147" t="s">
        <v>25</v>
      </c>
      <c r="G147">
        <v>90</v>
      </c>
      <c r="H147" t="s">
        <v>26</v>
      </c>
      <c r="I147">
        <v>26</v>
      </c>
      <c r="J147" s="10">
        <f t="shared" si="2"/>
        <v>3</v>
      </c>
    </row>
    <row r="148" spans="1:10" x14ac:dyDescent="0.2">
      <c r="A148" s="6">
        <v>42948</v>
      </c>
      <c r="B148">
        <v>1993</v>
      </c>
      <c r="C148">
        <v>1388</v>
      </c>
      <c r="D148">
        <v>147</v>
      </c>
      <c r="E148">
        <v>5800</v>
      </c>
      <c r="F148" t="s">
        <v>25</v>
      </c>
      <c r="G148">
        <v>56</v>
      </c>
      <c r="H148" t="s">
        <v>26</v>
      </c>
      <c r="I148">
        <v>26</v>
      </c>
      <c r="J148" s="10">
        <f t="shared" si="2"/>
        <v>2</v>
      </c>
    </row>
    <row r="149" spans="1:10" x14ac:dyDescent="0.2">
      <c r="A149" s="6">
        <v>42866</v>
      </c>
      <c r="B149">
        <v>1993</v>
      </c>
      <c r="C149">
        <v>1388</v>
      </c>
      <c r="D149">
        <v>148</v>
      </c>
      <c r="E149">
        <v>6000</v>
      </c>
      <c r="F149" t="s">
        <v>25</v>
      </c>
      <c r="G149">
        <v>30</v>
      </c>
      <c r="H149" t="s">
        <v>26</v>
      </c>
      <c r="I149">
        <v>26</v>
      </c>
      <c r="J149" s="10">
        <f t="shared" si="2"/>
        <v>1</v>
      </c>
    </row>
    <row r="150" spans="1:10" x14ac:dyDescent="0.2">
      <c r="A150" s="6">
        <v>42439</v>
      </c>
      <c r="B150">
        <v>1993</v>
      </c>
      <c r="C150">
        <v>1388</v>
      </c>
      <c r="D150">
        <v>149</v>
      </c>
      <c r="E150">
        <v>6000</v>
      </c>
      <c r="F150" t="s">
        <v>25</v>
      </c>
      <c r="G150">
        <v>7</v>
      </c>
      <c r="H150" t="s">
        <v>68</v>
      </c>
      <c r="I150">
        <v>26</v>
      </c>
      <c r="J150" s="10">
        <f t="shared" si="2"/>
        <v>7</v>
      </c>
    </row>
    <row r="151" spans="1:10" x14ac:dyDescent="0.2">
      <c r="A151" s="6">
        <v>43112</v>
      </c>
      <c r="B151">
        <v>1996</v>
      </c>
      <c r="C151">
        <v>1398</v>
      </c>
      <c r="D151">
        <v>150</v>
      </c>
      <c r="E151">
        <v>8250</v>
      </c>
      <c r="F151" t="s">
        <v>25</v>
      </c>
      <c r="G151">
        <v>11</v>
      </c>
      <c r="H151" t="s">
        <v>68</v>
      </c>
      <c r="I151">
        <v>23</v>
      </c>
      <c r="J151" s="10">
        <f t="shared" si="2"/>
        <v>11</v>
      </c>
    </row>
    <row r="152" spans="1:10" x14ac:dyDescent="0.2">
      <c r="A152" s="6">
        <v>43615</v>
      </c>
      <c r="B152">
        <v>1997</v>
      </c>
      <c r="C152">
        <v>1439</v>
      </c>
      <c r="D152">
        <v>151</v>
      </c>
      <c r="E152">
        <v>7300</v>
      </c>
      <c r="F152" t="s">
        <v>25</v>
      </c>
      <c r="G152">
        <v>5</v>
      </c>
      <c r="H152" t="s">
        <v>68</v>
      </c>
      <c r="I152">
        <v>22</v>
      </c>
      <c r="J152" s="10">
        <f t="shared" si="2"/>
        <v>5</v>
      </c>
    </row>
    <row r="153" spans="1:10" x14ac:dyDescent="0.2">
      <c r="A153" s="6">
        <v>43385</v>
      </c>
      <c r="B153">
        <v>1997</v>
      </c>
      <c r="C153">
        <v>1439</v>
      </c>
      <c r="D153">
        <v>152</v>
      </c>
      <c r="E153">
        <v>9250</v>
      </c>
      <c r="F153" t="s">
        <v>25</v>
      </c>
      <c r="G153">
        <v>5</v>
      </c>
      <c r="H153" t="s">
        <v>68</v>
      </c>
      <c r="I153">
        <v>22</v>
      </c>
      <c r="J153" s="10">
        <f t="shared" si="2"/>
        <v>5</v>
      </c>
    </row>
    <row r="154" spans="1:10" x14ac:dyDescent="0.2">
      <c r="A154" s="6">
        <v>43201</v>
      </c>
      <c r="B154">
        <v>1997</v>
      </c>
      <c r="C154">
        <v>1439</v>
      </c>
      <c r="D154">
        <v>153</v>
      </c>
      <c r="E154">
        <v>10500</v>
      </c>
      <c r="F154" t="s">
        <v>25</v>
      </c>
      <c r="G154">
        <v>6</v>
      </c>
      <c r="H154" t="s">
        <v>68</v>
      </c>
      <c r="I154">
        <v>22</v>
      </c>
      <c r="J154" s="10">
        <f t="shared" si="2"/>
        <v>6</v>
      </c>
    </row>
    <row r="155" spans="1:10" x14ac:dyDescent="0.2">
      <c r="A155" s="6">
        <v>43024</v>
      </c>
      <c r="B155">
        <v>1997</v>
      </c>
      <c r="C155">
        <v>1439</v>
      </c>
      <c r="D155">
        <v>154</v>
      </c>
      <c r="E155">
        <v>8250</v>
      </c>
      <c r="F155" t="s">
        <v>25</v>
      </c>
      <c r="G155">
        <v>6</v>
      </c>
      <c r="H155" t="s">
        <v>68</v>
      </c>
      <c r="I155">
        <v>22</v>
      </c>
      <c r="J155" s="10">
        <f t="shared" si="2"/>
        <v>6</v>
      </c>
    </row>
    <row r="156" spans="1:10" x14ac:dyDescent="0.2">
      <c r="A156" s="6">
        <v>42942</v>
      </c>
      <c r="B156">
        <v>1997</v>
      </c>
      <c r="C156">
        <v>1439</v>
      </c>
      <c r="D156">
        <v>155</v>
      </c>
      <c r="E156">
        <v>7000</v>
      </c>
      <c r="F156" t="s">
        <v>25</v>
      </c>
      <c r="G156">
        <v>1</v>
      </c>
      <c r="H156" t="s">
        <v>68</v>
      </c>
      <c r="I156">
        <v>22</v>
      </c>
      <c r="J156" s="10">
        <f t="shared" si="2"/>
        <v>1</v>
      </c>
    </row>
    <row r="157" spans="1:10" x14ac:dyDescent="0.2">
      <c r="A157" s="6">
        <v>42374</v>
      </c>
      <c r="B157">
        <v>1997</v>
      </c>
      <c r="C157">
        <v>1439</v>
      </c>
      <c r="D157">
        <v>156</v>
      </c>
      <c r="E157">
        <v>6300</v>
      </c>
      <c r="F157" t="s">
        <v>25</v>
      </c>
      <c r="G157">
        <v>8</v>
      </c>
      <c r="H157" t="s">
        <v>68</v>
      </c>
      <c r="I157">
        <v>22</v>
      </c>
      <c r="J157" s="10">
        <f t="shared" si="2"/>
        <v>8</v>
      </c>
    </row>
    <row r="158" spans="1:10" x14ac:dyDescent="0.2">
      <c r="A158" s="6">
        <v>43508</v>
      </c>
      <c r="B158">
        <v>1995</v>
      </c>
      <c r="C158">
        <v>1452</v>
      </c>
      <c r="D158">
        <v>157</v>
      </c>
      <c r="E158">
        <v>6800</v>
      </c>
      <c r="F158" t="s">
        <v>25</v>
      </c>
      <c r="G158">
        <v>12</v>
      </c>
      <c r="H158" t="s">
        <v>68</v>
      </c>
      <c r="I158">
        <v>24</v>
      </c>
      <c r="J158" s="10">
        <f t="shared" si="2"/>
        <v>12</v>
      </c>
    </row>
    <row r="159" spans="1:10" x14ac:dyDescent="0.2">
      <c r="A159" s="6">
        <v>43203</v>
      </c>
      <c r="B159">
        <v>1995</v>
      </c>
      <c r="C159">
        <v>1452</v>
      </c>
      <c r="D159">
        <v>158</v>
      </c>
      <c r="E159">
        <v>9500</v>
      </c>
      <c r="F159" t="s">
        <v>25</v>
      </c>
      <c r="G159">
        <v>12</v>
      </c>
      <c r="H159" t="s">
        <v>68</v>
      </c>
      <c r="I159">
        <v>24</v>
      </c>
      <c r="J159" s="10">
        <f t="shared" si="2"/>
        <v>12</v>
      </c>
    </row>
    <row r="160" spans="1:10" x14ac:dyDescent="0.2">
      <c r="A160" s="6">
        <v>43017</v>
      </c>
      <c r="B160">
        <v>1995</v>
      </c>
      <c r="C160">
        <v>1452</v>
      </c>
      <c r="D160">
        <v>159</v>
      </c>
      <c r="E160">
        <v>7000</v>
      </c>
      <c r="F160" t="s">
        <v>25</v>
      </c>
      <c r="G160">
        <v>6</v>
      </c>
      <c r="H160" t="s">
        <v>68</v>
      </c>
      <c r="I160">
        <v>24</v>
      </c>
      <c r="J160" s="10">
        <f t="shared" si="2"/>
        <v>6</v>
      </c>
    </row>
    <row r="161" spans="1:10" x14ac:dyDescent="0.2">
      <c r="A161" s="6">
        <v>42871</v>
      </c>
      <c r="B161">
        <v>1995</v>
      </c>
      <c r="C161">
        <v>1452</v>
      </c>
      <c r="D161">
        <v>160</v>
      </c>
      <c r="E161">
        <v>6250</v>
      </c>
      <c r="F161" t="s">
        <v>25</v>
      </c>
      <c r="G161">
        <v>4</v>
      </c>
      <c r="H161" t="s">
        <v>68</v>
      </c>
      <c r="I161">
        <v>24</v>
      </c>
      <c r="J161" s="10">
        <f t="shared" si="2"/>
        <v>4</v>
      </c>
    </row>
    <row r="162" spans="1:10" x14ac:dyDescent="0.2">
      <c r="A162" s="6">
        <v>42852</v>
      </c>
      <c r="B162">
        <v>1995</v>
      </c>
      <c r="C162">
        <v>1452</v>
      </c>
      <c r="D162">
        <v>161</v>
      </c>
      <c r="E162">
        <v>6100</v>
      </c>
      <c r="F162" t="s">
        <v>25</v>
      </c>
      <c r="G162">
        <v>3</v>
      </c>
      <c r="H162" t="s">
        <v>68</v>
      </c>
      <c r="I162">
        <v>24</v>
      </c>
      <c r="J162" s="10">
        <f t="shared" si="2"/>
        <v>3</v>
      </c>
    </row>
    <row r="163" spans="1:10" x14ac:dyDescent="0.2">
      <c r="A163" s="6">
        <v>42717</v>
      </c>
      <c r="B163">
        <v>1995</v>
      </c>
      <c r="C163">
        <v>1452</v>
      </c>
      <c r="D163">
        <v>162</v>
      </c>
      <c r="E163">
        <v>5900</v>
      </c>
      <c r="F163" t="s">
        <v>25</v>
      </c>
      <c r="G163">
        <v>5</v>
      </c>
      <c r="H163" t="s">
        <v>68</v>
      </c>
      <c r="I163">
        <v>24</v>
      </c>
      <c r="J163" s="10">
        <f t="shared" si="2"/>
        <v>5</v>
      </c>
    </row>
    <row r="164" spans="1:10" x14ac:dyDescent="0.2">
      <c r="A164" s="6">
        <v>42478</v>
      </c>
      <c r="B164">
        <v>1995</v>
      </c>
      <c r="C164">
        <v>1452</v>
      </c>
      <c r="D164">
        <v>163</v>
      </c>
      <c r="E164">
        <v>7500</v>
      </c>
      <c r="F164" t="s">
        <v>25</v>
      </c>
      <c r="G164">
        <v>11</v>
      </c>
      <c r="H164" t="s">
        <v>68</v>
      </c>
      <c r="I164">
        <v>24</v>
      </c>
      <c r="J164" s="10">
        <f t="shared" si="2"/>
        <v>11</v>
      </c>
    </row>
    <row r="165" spans="1:10" x14ac:dyDescent="0.2">
      <c r="A165" s="6">
        <v>42478</v>
      </c>
      <c r="B165">
        <v>1995</v>
      </c>
      <c r="C165">
        <v>1452</v>
      </c>
      <c r="D165">
        <v>164</v>
      </c>
      <c r="E165">
        <v>6500</v>
      </c>
      <c r="F165" t="s">
        <v>25</v>
      </c>
      <c r="G165">
        <v>12</v>
      </c>
      <c r="H165" t="s">
        <v>68</v>
      </c>
      <c r="I165">
        <v>24</v>
      </c>
      <c r="J165" s="10">
        <f t="shared" si="2"/>
        <v>12</v>
      </c>
    </row>
    <row r="166" spans="1:10" x14ac:dyDescent="0.2">
      <c r="A166" s="6">
        <v>42430</v>
      </c>
      <c r="B166">
        <v>1995</v>
      </c>
      <c r="C166">
        <v>1452</v>
      </c>
      <c r="D166">
        <v>165</v>
      </c>
      <c r="E166">
        <v>6000</v>
      </c>
      <c r="F166" t="s">
        <v>25</v>
      </c>
      <c r="G166">
        <v>6</v>
      </c>
      <c r="H166" t="s">
        <v>68</v>
      </c>
      <c r="I166">
        <v>24</v>
      </c>
      <c r="J166" s="10">
        <f t="shared" si="2"/>
        <v>6</v>
      </c>
    </row>
    <row r="167" spans="1:10" x14ac:dyDescent="0.2">
      <c r="A167" s="6">
        <v>42529</v>
      </c>
      <c r="B167">
        <v>1993</v>
      </c>
      <c r="C167">
        <v>1468</v>
      </c>
      <c r="D167">
        <v>166</v>
      </c>
      <c r="E167">
        <v>6300</v>
      </c>
      <c r="F167" t="s">
        <v>25</v>
      </c>
      <c r="G167">
        <v>100</v>
      </c>
      <c r="H167" t="s">
        <v>26</v>
      </c>
      <c r="I167">
        <v>26</v>
      </c>
      <c r="J167" s="10">
        <f t="shared" si="2"/>
        <v>3</v>
      </c>
    </row>
    <row r="168" spans="1:10" x14ac:dyDescent="0.2">
      <c r="A168" s="6">
        <v>43626</v>
      </c>
      <c r="B168">
        <v>1995</v>
      </c>
      <c r="C168">
        <v>1471</v>
      </c>
      <c r="D168">
        <v>167</v>
      </c>
      <c r="E168">
        <v>7500</v>
      </c>
      <c r="F168" t="s">
        <v>25</v>
      </c>
      <c r="G168">
        <v>3</v>
      </c>
      <c r="H168" t="s">
        <v>68</v>
      </c>
      <c r="I168">
        <v>24</v>
      </c>
      <c r="J168" s="10">
        <f t="shared" si="2"/>
        <v>3</v>
      </c>
    </row>
    <row r="169" spans="1:10" x14ac:dyDescent="0.2">
      <c r="A169" s="6">
        <v>43374</v>
      </c>
      <c r="B169">
        <v>1995</v>
      </c>
      <c r="C169">
        <v>1471</v>
      </c>
      <c r="D169">
        <v>168</v>
      </c>
      <c r="E169">
        <v>8000</v>
      </c>
      <c r="F169" t="s">
        <v>25</v>
      </c>
      <c r="G169">
        <v>6</v>
      </c>
      <c r="H169" t="s">
        <v>68</v>
      </c>
      <c r="I169">
        <v>24</v>
      </c>
      <c r="J169" s="10">
        <f t="shared" si="2"/>
        <v>6</v>
      </c>
    </row>
    <row r="170" spans="1:10" x14ac:dyDescent="0.2">
      <c r="A170" s="6">
        <v>43264</v>
      </c>
      <c r="B170">
        <v>1995</v>
      </c>
      <c r="C170">
        <v>1471</v>
      </c>
      <c r="D170">
        <v>169</v>
      </c>
      <c r="E170">
        <v>10500</v>
      </c>
      <c r="F170" t="s">
        <v>25</v>
      </c>
      <c r="G170">
        <v>4</v>
      </c>
      <c r="H170" t="s">
        <v>68</v>
      </c>
      <c r="I170">
        <v>24</v>
      </c>
      <c r="J170" s="10">
        <f t="shared" si="2"/>
        <v>4</v>
      </c>
    </row>
    <row r="171" spans="1:10" x14ac:dyDescent="0.2">
      <c r="A171" s="6">
        <v>43194</v>
      </c>
      <c r="B171">
        <v>1995</v>
      </c>
      <c r="C171">
        <v>1471</v>
      </c>
      <c r="D171">
        <v>170</v>
      </c>
      <c r="E171">
        <v>9800</v>
      </c>
      <c r="F171" t="s">
        <v>25</v>
      </c>
      <c r="G171">
        <v>5</v>
      </c>
      <c r="H171" t="s">
        <v>68</v>
      </c>
      <c r="I171">
        <v>24</v>
      </c>
      <c r="J171" s="10">
        <f t="shared" si="2"/>
        <v>5</v>
      </c>
    </row>
    <row r="172" spans="1:10" x14ac:dyDescent="0.2">
      <c r="A172" s="6">
        <v>43098</v>
      </c>
      <c r="B172">
        <v>1995</v>
      </c>
      <c r="C172">
        <v>1471</v>
      </c>
      <c r="D172">
        <v>171</v>
      </c>
      <c r="E172">
        <v>8250</v>
      </c>
      <c r="F172" t="s">
        <v>25</v>
      </c>
      <c r="G172">
        <v>5</v>
      </c>
      <c r="H172" t="s">
        <v>68</v>
      </c>
      <c r="I172">
        <v>24</v>
      </c>
      <c r="J172" s="10">
        <f t="shared" si="2"/>
        <v>5</v>
      </c>
    </row>
    <row r="173" spans="1:10" x14ac:dyDescent="0.2">
      <c r="A173" s="6">
        <v>43010</v>
      </c>
      <c r="B173">
        <v>1995</v>
      </c>
      <c r="C173">
        <v>1471</v>
      </c>
      <c r="D173">
        <v>172</v>
      </c>
      <c r="E173">
        <v>7350</v>
      </c>
      <c r="F173" t="s">
        <v>25</v>
      </c>
      <c r="G173">
        <v>6</v>
      </c>
      <c r="H173" t="s">
        <v>68</v>
      </c>
      <c r="I173">
        <v>24</v>
      </c>
      <c r="J173" s="10">
        <f t="shared" si="2"/>
        <v>6</v>
      </c>
    </row>
    <row r="174" spans="1:10" x14ac:dyDescent="0.2">
      <c r="A174" s="6">
        <v>43010</v>
      </c>
      <c r="B174">
        <v>1995</v>
      </c>
      <c r="C174">
        <v>1471</v>
      </c>
      <c r="D174">
        <v>173</v>
      </c>
      <c r="E174">
        <v>7250</v>
      </c>
      <c r="F174" t="s">
        <v>25</v>
      </c>
      <c r="G174">
        <v>90</v>
      </c>
      <c r="H174" t="s">
        <v>26</v>
      </c>
      <c r="I174">
        <v>24</v>
      </c>
      <c r="J174" s="10">
        <f t="shared" si="2"/>
        <v>3</v>
      </c>
    </row>
    <row r="175" spans="1:10" x14ac:dyDescent="0.2">
      <c r="A175" s="6">
        <v>42954</v>
      </c>
      <c r="B175">
        <v>1995</v>
      </c>
      <c r="C175">
        <v>1471</v>
      </c>
      <c r="D175">
        <v>174</v>
      </c>
      <c r="E175">
        <v>7000</v>
      </c>
      <c r="F175" t="s">
        <v>25</v>
      </c>
      <c r="G175">
        <v>3</v>
      </c>
      <c r="H175" t="s">
        <v>68</v>
      </c>
      <c r="I175">
        <v>24</v>
      </c>
      <c r="J175" s="10">
        <f t="shared" si="2"/>
        <v>3</v>
      </c>
    </row>
    <row r="176" spans="1:10" x14ac:dyDescent="0.2">
      <c r="A176" s="6">
        <v>42852</v>
      </c>
      <c r="B176">
        <v>1995</v>
      </c>
      <c r="C176">
        <v>1471</v>
      </c>
      <c r="D176">
        <v>175</v>
      </c>
      <c r="E176">
        <v>6900</v>
      </c>
      <c r="F176" t="s">
        <v>25</v>
      </c>
      <c r="G176">
        <v>7</v>
      </c>
      <c r="H176" t="s">
        <v>68</v>
      </c>
      <c r="I176">
        <v>24</v>
      </c>
      <c r="J176" s="10">
        <f t="shared" si="2"/>
        <v>7</v>
      </c>
    </row>
    <row r="177" spans="1:10" x14ac:dyDescent="0.2">
      <c r="A177" s="6">
        <v>42632</v>
      </c>
      <c r="B177">
        <v>1995</v>
      </c>
      <c r="C177">
        <v>1471</v>
      </c>
      <c r="D177">
        <v>176</v>
      </c>
      <c r="E177">
        <v>6000</v>
      </c>
      <c r="F177" t="s">
        <v>25</v>
      </c>
      <c r="G177">
        <v>6</v>
      </c>
      <c r="H177" t="s">
        <v>68</v>
      </c>
      <c r="I177">
        <v>24</v>
      </c>
      <c r="J177" s="10">
        <f t="shared" si="2"/>
        <v>6</v>
      </c>
    </row>
    <row r="178" spans="1:10" x14ac:dyDescent="0.2">
      <c r="A178" s="6">
        <v>42460</v>
      </c>
      <c r="B178">
        <v>1995</v>
      </c>
      <c r="C178">
        <v>1471</v>
      </c>
      <c r="D178">
        <v>177</v>
      </c>
      <c r="E178">
        <v>6600</v>
      </c>
      <c r="F178" t="s">
        <v>25</v>
      </c>
      <c r="G178">
        <v>6</v>
      </c>
      <c r="H178" t="s">
        <v>68</v>
      </c>
      <c r="I178">
        <v>24</v>
      </c>
      <c r="J178" s="10">
        <f t="shared" si="2"/>
        <v>6</v>
      </c>
    </row>
    <row r="179" spans="1:10" x14ac:dyDescent="0.2">
      <c r="A179" s="6">
        <v>43157</v>
      </c>
      <c r="B179">
        <v>1997</v>
      </c>
      <c r="C179">
        <v>1498</v>
      </c>
      <c r="D179">
        <v>178</v>
      </c>
      <c r="E179">
        <v>8800</v>
      </c>
      <c r="F179" t="s">
        <v>25</v>
      </c>
      <c r="G179">
        <v>4</v>
      </c>
      <c r="H179" t="s">
        <v>68</v>
      </c>
      <c r="I179">
        <v>22</v>
      </c>
      <c r="J179" s="10">
        <f t="shared" si="2"/>
        <v>4</v>
      </c>
    </row>
    <row r="180" spans="1:10" x14ac:dyDescent="0.2">
      <c r="A180" s="6">
        <v>43025</v>
      </c>
      <c r="B180">
        <v>1996</v>
      </c>
      <c r="C180">
        <v>1504</v>
      </c>
      <c r="D180">
        <v>179</v>
      </c>
      <c r="E180">
        <v>7500</v>
      </c>
      <c r="F180" t="s">
        <v>25</v>
      </c>
      <c r="G180">
        <v>6</v>
      </c>
      <c r="H180" t="s">
        <v>68</v>
      </c>
      <c r="I180">
        <v>23</v>
      </c>
      <c r="J180" s="10">
        <f t="shared" si="2"/>
        <v>6</v>
      </c>
    </row>
    <row r="181" spans="1:10" x14ac:dyDescent="0.2">
      <c r="A181" s="6">
        <v>42840</v>
      </c>
      <c r="B181">
        <v>1996</v>
      </c>
      <c r="C181">
        <v>1504</v>
      </c>
      <c r="D181">
        <v>180</v>
      </c>
      <c r="E181">
        <v>7000</v>
      </c>
      <c r="F181" t="s">
        <v>25</v>
      </c>
      <c r="G181">
        <v>6</v>
      </c>
      <c r="H181" t="s">
        <v>68</v>
      </c>
      <c r="I181">
        <v>23</v>
      </c>
      <c r="J181" s="10">
        <f t="shared" si="2"/>
        <v>6</v>
      </c>
    </row>
    <row r="182" spans="1:10" x14ac:dyDescent="0.2">
      <c r="A182" s="6">
        <v>42491</v>
      </c>
      <c r="B182">
        <v>1996</v>
      </c>
      <c r="C182">
        <v>1504</v>
      </c>
      <c r="D182">
        <v>181</v>
      </c>
      <c r="E182">
        <v>6750</v>
      </c>
      <c r="F182" t="s">
        <v>25</v>
      </c>
      <c r="G182">
        <v>6</v>
      </c>
      <c r="H182" t="s">
        <v>68</v>
      </c>
      <c r="I182">
        <v>23</v>
      </c>
      <c r="J182" s="10">
        <f t="shared" si="2"/>
        <v>6</v>
      </c>
    </row>
    <row r="183" spans="1:10" x14ac:dyDescent="0.2">
      <c r="A183" s="6">
        <v>42415</v>
      </c>
      <c r="B183">
        <v>1996</v>
      </c>
      <c r="C183">
        <v>1504</v>
      </c>
      <c r="D183">
        <v>182</v>
      </c>
      <c r="E183">
        <v>7000</v>
      </c>
      <c r="F183" t="s">
        <v>25</v>
      </c>
      <c r="G183">
        <v>2</v>
      </c>
      <c r="H183" t="s">
        <v>68</v>
      </c>
      <c r="I183">
        <v>23</v>
      </c>
      <c r="J183" s="10">
        <f t="shared" si="2"/>
        <v>2</v>
      </c>
    </row>
    <row r="184" spans="1:10" x14ac:dyDescent="0.2">
      <c r="A184" s="6">
        <v>42688</v>
      </c>
      <c r="B184">
        <v>1994</v>
      </c>
      <c r="C184">
        <v>1510</v>
      </c>
      <c r="D184">
        <v>183</v>
      </c>
      <c r="E184">
        <v>6000</v>
      </c>
      <c r="F184" t="s">
        <v>25</v>
      </c>
      <c r="G184">
        <v>35</v>
      </c>
      <c r="H184" t="s">
        <v>26</v>
      </c>
      <c r="I184">
        <v>25</v>
      </c>
      <c r="J184" s="10">
        <f t="shared" si="2"/>
        <v>1</v>
      </c>
    </row>
    <row r="185" spans="1:10" x14ac:dyDescent="0.2">
      <c r="A185" s="6">
        <v>42920</v>
      </c>
      <c r="B185">
        <v>1998</v>
      </c>
      <c r="C185">
        <v>1542</v>
      </c>
      <c r="D185">
        <v>184</v>
      </c>
      <c r="E185">
        <v>7000</v>
      </c>
      <c r="F185" t="s">
        <v>25</v>
      </c>
      <c r="G185">
        <v>12</v>
      </c>
      <c r="H185" t="s">
        <v>68</v>
      </c>
      <c r="I185">
        <v>21</v>
      </c>
      <c r="J185" s="10">
        <f t="shared" si="2"/>
        <v>12</v>
      </c>
    </row>
    <row r="186" spans="1:10" x14ac:dyDescent="0.2">
      <c r="A186" s="6">
        <v>42537</v>
      </c>
      <c r="B186">
        <v>1998</v>
      </c>
      <c r="C186">
        <v>1542</v>
      </c>
      <c r="D186">
        <v>185</v>
      </c>
      <c r="E186">
        <v>6975</v>
      </c>
      <c r="F186" t="s">
        <v>25</v>
      </c>
      <c r="G186">
        <v>12</v>
      </c>
      <c r="H186" t="s">
        <v>68</v>
      </c>
      <c r="I186">
        <v>21</v>
      </c>
      <c r="J186" s="10">
        <f t="shared" si="2"/>
        <v>12</v>
      </c>
    </row>
    <row r="187" spans="1:10" x14ac:dyDescent="0.2">
      <c r="A187" s="6">
        <v>42401</v>
      </c>
      <c r="B187">
        <v>1998</v>
      </c>
      <c r="C187">
        <v>1542</v>
      </c>
      <c r="D187">
        <v>186</v>
      </c>
      <c r="E187">
        <v>7000</v>
      </c>
      <c r="F187" t="s">
        <v>25</v>
      </c>
      <c r="G187">
        <v>6</v>
      </c>
      <c r="H187" t="s">
        <v>68</v>
      </c>
      <c r="I187">
        <v>21</v>
      </c>
      <c r="J187" s="10">
        <f t="shared" si="2"/>
        <v>6</v>
      </c>
    </row>
    <row r="188" spans="1:10" x14ac:dyDescent="0.2">
      <c r="A188" s="6">
        <v>43559</v>
      </c>
      <c r="B188">
        <v>1999</v>
      </c>
      <c r="C188">
        <v>1560</v>
      </c>
      <c r="D188">
        <v>187</v>
      </c>
      <c r="E188">
        <v>7850</v>
      </c>
      <c r="F188" t="s">
        <v>25</v>
      </c>
      <c r="G188">
        <v>6</v>
      </c>
      <c r="H188" t="s">
        <v>68</v>
      </c>
      <c r="I188">
        <v>20</v>
      </c>
      <c r="J188" s="10">
        <f t="shared" si="2"/>
        <v>6</v>
      </c>
    </row>
    <row r="189" spans="1:10" x14ac:dyDescent="0.2">
      <c r="A189" s="6">
        <v>43370</v>
      </c>
      <c r="B189">
        <v>1999</v>
      </c>
      <c r="C189">
        <v>1560</v>
      </c>
      <c r="D189">
        <v>188</v>
      </c>
      <c r="E189">
        <v>9500</v>
      </c>
      <c r="F189" t="s">
        <v>25</v>
      </c>
      <c r="G189">
        <v>6</v>
      </c>
      <c r="H189" t="s">
        <v>68</v>
      </c>
      <c r="I189">
        <v>20</v>
      </c>
      <c r="J189" s="10">
        <f t="shared" si="2"/>
        <v>6</v>
      </c>
    </row>
    <row r="190" spans="1:10" x14ac:dyDescent="0.2">
      <c r="A190" s="6">
        <v>43346</v>
      </c>
      <c r="B190">
        <v>1999</v>
      </c>
      <c r="C190">
        <v>1560</v>
      </c>
      <c r="D190">
        <v>189</v>
      </c>
      <c r="E190">
        <v>8200</v>
      </c>
      <c r="F190" t="s">
        <v>25</v>
      </c>
      <c r="G190">
        <v>8</v>
      </c>
      <c r="H190" t="s">
        <v>68</v>
      </c>
      <c r="I190">
        <v>20</v>
      </c>
      <c r="J190" s="10">
        <f t="shared" si="2"/>
        <v>8</v>
      </c>
    </row>
    <row r="191" spans="1:10" x14ac:dyDescent="0.2">
      <c r="A191" s="6">
        <v>43234</v>
      </c>
      <c r="B191">
        <v>1999</v>
      </c>
      <c r="C191">
        <v>1560</v>
      </c>
      <c r="D191">
        <v>190</v>
      </c>
      <c r="E191">
        <v>11250</v>
      </c>
      <c r="F191" t="s">
        <v>25</v>
      </c>
      <c r="G191">
        <v>4</v>
      </c>
      <c r="H191" t="s">
        <v>68</v>
      </c>
      <c r="I191">
        <v>20</v>
      </c>
      <c r="J191" s="10">
        <f t="shared" si="2"/>
        <v>4</v>
      </c>
    </row>
    <row r="192" spans="1:10" x14ac:dyDescent="0.2">
      <c r="A192" s="6">
        <v>43129</v>
      </c>
      <c r="B192">
        <v>1999</v>
      </c>
      <c r="C192">
        <v>1560</v>
      </c>
      <c r="D192">
        <v>191</v>
      </c>
      <c r="E192">
        <v>8750</v>
      </c>
      <c r="F192" t="s">
        <v>25</v>
      </c>
      <c r="G192">
        <v>4</v>
      </c>
      <c r="H192" t="s">
        <v>68</v>
      </c>
      <c r="I192">
        <v>20</v>
      </c>
      <c r="J192" s="10">
        <f t="shared" si="2"/>
        <v>4</v>
      </c>
    </row>
    <row r="193" spans="1:10" x14ac:dyDescent="0.2">
      <c r="A193" s="6">
        <v>43013</v>
      </c>
      <c r="B193">
        <v>1997</v>
      </c>
      <c r="C193">
        <v>1560</v>
      </c>
      <c r="D193">
        <v>192</v>
      </c>
      <c r="E193">
        <v>7900</v>
      </c>
      <c r="F193" t="s">
        <v>25</v>
      </c>
      <c r="G193">
        <v>6</v>
      </c>
      <c r="H193" t="s">
        <v>68</v>
      </c>
      <c r="I193">
        <v>22</v>
      </c>
      <c r="J193" s="10">
        <f t="shared" si="2"/>
        <v>6</v>
      </c>
    </row>
    <row r="194" spans="1:10" x14ac:dyDescent="0.2">
      <c r="A194" s="6">
        <v>42776</v>
      </c>
      <c r="B194">
        <v>1997</v>
      </c>
      <c r="C194">
        <v>1560</v>
      </c>
      <c r="D194">
        <v>193</v>
      </c>
      <c r="E194">
        <v>6500</v>
      </c>
      <c r="F194" t="s">
        <v>25</v>
      </c>
      <c r="G194">
        <v>5</v>
      </c>
      <c r="H194" t="s">
        <v>68</v>
      </c>
      <c r="I194">
        <v>22</v>
      </c>
      <c r="J194" s="10">
        <f t="shared" ref="J194:J257" si="3">IF(H194="days",ROUND(G194/30,0),IF(H194="years",G194*12,G194))</f>
        <v>5</v>
      </c>
    </row>
    <row r="195" spans="1:10" x14ac:dyDescent="0.2">
      <c r="A195" s="6">
        <v>43283</v>
      </c>
      <c r="B195">
        <v>1992</v>
      </c>
      <c r="C195">
        <v>1585</v>
      </c>
      <c r="D195">
        <v>194</v>
      </c>
      <c r="E195">
        <v>9000</v>
      </c>
      <c r="F195" t="s">
        <v>25</v>
      </c>
      <c r="G195">
        <v>35</v>
      </c>
      <c r="H195" t="s">
        <v>26</v>
      </c>
      <c r="I195">
        <v>27</v>
      </c>
      <c r="J195" s="10">
        <f t="shared" si="3"/>
        <v>1</v>
      </c>
    </row>
    <row r="196" spans="1:10" x14ac:dyDescent="0.2">
      <c r="A196" s="6">
        <v>43172</v>
      </c>
      <c r="B196">
        <v>1992</v>
      </c>
      <c r="C196">
        <v>1585</v>
      </c>
      <c r="D196">
        <v>195</v>
      </c>
      <c r="E196">
        <v>8600</v>
      </c>
      <c r="F196" t="s">
        <v>25</v>
      </c>
      <c r="G196">
        <v>60</v>
      </c>
      <c r="H196" t="s">
        <v>26</v>
      </c>
      <c r="I196">
        <v>27</v>
      </c>
      <c r="J196" s="10">
        <f t="shared" si="3"/>
        <v>2</v>
      </c>
    </row>
    <row r="197" spans="1:10" x14ac:dyDescent="0.2">
      <c r="A197" s="6">
        <v>42648</v>
      </c>
      <c r="B197">
        <v>1992</v>
      </c>
      <c r="C197">
        <v>1585</v>
      </c>
      <c r="D197">
        <v>196</v>
      </c>
      <c r="E197">
        <v>6250</v>
      </c>
      <c r="F197" t="s">
        <v>25</v>
      </c>
      <c r="G197">
        <v>5</v>
      </c>
      <c r="H197" t="s">
        <v>68</v>
      </c>
      <c r="I197">
        <v>27</v>
      </c>
      <c r="J197" s="10">
        <f t="shared" si="3"/>
        <v>5</v>
      </c>
    </row>
    <row r="198" spans="1:10" x14ac:dyDescent="0.2">
      <c r="A198" s="6">
        <v>43020</v>
      </c>
      <c r="B198">
        <v>1998</v>
      </c>
      <c r="C198">
        <v>1608</v>
      </c>
      <c r="D198">
        <v>197</v>
      </c>
      <c r="E198">
        <v>7000</v>
      </c>
      <c r="F198" t="s">
        <v>25</v>
      </c>
      <c r="G198">
        <v>42</v>
      </c>
      <c r="H198" t="s">
        <v>26</v>
      </c>
      <c r="I198">
        <v>21</v>
      </c>
      <c r="J198" s="10">
        <f t="shared" si="3"/>
        <v>1</v>
      </c>
    </row>
    <row r="199" spans="1:10" x14ac:dyDescent="0.2">
      <c r="A199" s="6">
        <v>42681</v>
      </c>
      <c r="B199">
        <v>1998</v>
      </c>
      <c r="C199">
        <v>1608</v>
      </c>
      <c r="D199">
        <v>198</v>
      </c>
      <c r="E199">
        <v>6000</v>
      </c>
      <c r="F199" t="s">
        <v>25</v>
      </c>
      <c r="G199">
        <v>8</v>
      </c>
      <c r="H199" t="s">
        <v>68</v>
      </c>
      <c r="I199">
        <v>21</v>
      </c>
      <c r="J199" s="10">
        <f t="shared" si="3"/>
        <v>8</v>
      </c>
    </row>
    <row r="200" spans="1:10" x14ac:dyDescent="0.2">
      <c r="A200" s="6">
        <v>42531</v>
      </c>
      <c r="B200">
        <v>1996</v>
      </c>
      <c r="C200">
        <v>1608</v>
      </c>
      <c r="D200">
        <v>199</v>
      </c>
      <c r="E200">
        <v>7150</v>
      </c>
      <c r="F200" t="s">
        <v>25</v>
      </c>
      <c r="G200">
        <v>7</v>
      </c>
      <c r="H200" t="s">
        <v>68</v>
      </c>
      <c r="I200">
        <v>23</v>
      </c>
      <c r="J200" s="10">
        <f t="shared" si="3"/>
        <v>7</v>
      </c>
    </row>
    <row r="201" spans="1:10" x14ac:dyDescent="0.2">
      <c r="A201" s="6">
        <v>42420</v>
      </c>
      <c r="B201">
        <v>1996</v>
      </c>
      <c r="C201">
        <v>1608</v>
      </c>
      <c r="D201">
        <v>200</v>
      </c>
      <c r="E201">
        <v>6950</v>
      </c>
      <c r="F201" t="s">
        <v>25</v>
      </c>
      <c r="G201">
        <v>7</v>
      </c>
      <c r="H201" t="s">
        <v>68</v>
      </c>
      <c r="I201">
        <v>23</v>
      </c>
      <c r="J201" s="10">
        <f t="shared" si="3"/>
        <v>7</v>
      </c>
    </row>
    <row r="202" spans="1:10" x14ac:dyDescent="0.2">
      <c r="A202" s="6">
        <v>43234</v>
      </c>
      <c r="B202">
        <v>1997</v>
      </c>
      <c r="C202">
        <v>1613</v>
      </c>
      <c r="D202">
        <v>201</v>
      </c>
      <c r="E202">
        <v>10500</v>
      </c>
      <c r="F202" t="s">
        <v>25</v>
      </c>
      <c r="G202">
        <v>5</v>
      </c>
      <c r="H202" t="s">
        <v>68</v>
      </c>
      <c r="I202">
        <v>22</v>
      </c>
      <c r="J202" s="10">
        <f t="shared" si="3"/>
        <v>5</v>
      </c>
    </row>
    <row r="203" spans="1:10" x14ac:dyDescent="0.2">
      <c r="A203" s="6">
        <v>43150</v>
      </c>
      <c r="B203">
        <v>1995</v>
      </c>
      <c r="C203">
        <v>1613</v>
      </c>
      <c r="D203">
        <v>202</v>
      </c>
      <c r="E203">
        <v>8700</v>
      </c>
      <c r="F203" t="s">
        <v>25</v>
      </c>
      <c r="G203">
        <v>6</v>
      </c>
      <c r="H203" t="s">
        <v>68</v>
      </c>
      <c r="I203">
        <v>24</v>
      </c>
      <c r="J203" s="10">
        <f t="shared" si="3"/>
        <v>6</v>
      </c>
    </row>
    <row r="204" spans="1:10" x14ac:dyDescent="0.2">
      <c r="A204" s="6">
        <v>43059</v>
      </c>
      <c r="B204">
        <v>1995</v>
      </c>
      <c r="C204">
        <v>1613</v>
      </c>
      <c r="D204">
        <v>203</v>
      </c>
      <c r="E204">
        <v>7600</v>
      </c>
      <c r="F204" t="s">
        <v>25</v>
      </c>
      <c r="G204">
        <v>8</v>
      </c>
      <c r="H204" t="s">
        <v>68</v>
      </c>
      <c r="I204">
        <v>24</v>
      </c>
      <c r="J204" s="10">
        <f t="shared" si="3"/>
        <v>8</v>
      </c>
    </row>
    <row r="205" spans="1:10" x14ac:dyDescent="0.2">
      <c r="A205" s="6">
        <v>42850</v>
      </c>
      <c r="B205">
        <v>1995</v>
      </c>
      <c r="C205">
        <v>1613</v>
      </c>
      <c r="D205">
        <v>204</v>
      </c>
      <c r="E205">
        <v>7000</v>
      </c>
      <c r="F205" t="s">
        <v>25</v>
      </c>
      <c r="G205">
        <v>12</v>
      </c>
      <c r="H205" t="s">
        <v>68</v>
      </c>
      <c r="I205">
        <v>24</v>
      </c>
      <c r="J205" s="10">
        <f t="shared" si="3"/>
        <v>12</v>
      </c>
    </row>
    <row r="206" spans="1:10" x14ac:dyDescent="0.2">
      <c r="A206" s="6">
        <v>42695</v>
      </c>
      <c r="B206">
        <v>1995</v>
      </c>
      <c r="C206">
        <v>1613</v>
      </c>
      <c r="D206">
        <v>205</v>
      </c>
      <c r="E206">
        <v>6000</v>
      </c>
      <c r="F206" t="s">
        <v>25</v>
      </c>
      <c r="G206">
        <v>40</v>
      </c>
      <c r="H206" t="s">
        <v>26</v>
      </c>
      <c r="I206">
        <v>24</v>
      </c>
      <c r="J206" s="10">
        <f t="shared" si="3"/>
        <v>1</v>
      </c>
    </row>
    <row r="207" spans="1:10" x14ac:dyDescent="0.2">
      <c r="A207" s="6">
        <v>42692</v>
      </c>
      <c r="B207">
        <v>1995</v>
      </c>
      <c r="C207">
        <v>1613</v>
      </c>
      <c r="D207">
        <v>206</v>
      </c>
      <c r="E207">
        <v>6150</v>
      </c>
      <c r="F207" t="s">
        <v>25</v>
      </c>
      <c r="G207">
        <v>3</v>
      </c>
      <c r="H207" t="s">
        <v>68</v>
      </c>
      <c r="I207">
        <v>24</v>
      </c>
      <c r="J207" s="10">
        <f t="shared" si="3"/>
        <v>3</v>
      </c>
    </row>
    <row r="208" spans="1:10" x14ac:dyDescent="0.2">
      <c r="A208" s="6">
        <v>42563</v>
      </c>
      <c r="B208">
        <v>1997</v>
      </c>
      <c r="C208">
        <v>1613</v>
      </c>
      <c r="D208">
        <v>207</v>
      </c>
      <c r="E208">
        <v>6750</v>
      </c>
      <c r="F208" t="s">
        <v>25</v>
      </c>
      <c r="G208">
        <v>6</v>
      </c>
      <c r="H208" t="s">
        <v>68</v>
      </c>
      <c r="I208">
        <v>22</v>
      </c>
      <c r="J208" s="10">
        <f t="shared" si="3"/>
        <v>6</v>
      </c>
    </row>
    <row r="209" spans="1:10" x14ac:dyDescent="0.2">
      <c r="A209" s="6">
        <v>43009</v>
      </c>
      <c r="B209">
        <v>1995</v>
      </c>
      <c r="C209">
        <v>1625</v>
      </c>
      <c r="D209">
        <v>208</v>
      </c>
      <c r="E209">
        <v>7300</v>
      </c>
      <c r="F209" t="s">
        <v>25</v>
      </c>
      <c r="G209">
        <v>7</v>
      </c>
      <c r="H209" t="s">
        <v>68</v>
      </c>
      <c r="I209">
        <v>24</v>
      </c>
      <c r="J209" s="10">
        <f t="shared" si="3"/>
        <v>7</v>
      </c>
    </row>
    <row r="210" spans="1:10" x14ac:dyDescent="0.2">
      <c r="A210" s="6">
        <v>42863</v>
      </c>
      <c r="B210">
        <v>1995</v>
      </c>
      <c r="C210">
        <v>1625</v>
      </c>
      <c r="D210">
        <v>209</v>
      </c>
      <c r="E210">
        <v>7000</v>
      </c>
      <c r="F210" t="s">
        <v>25</v>
      </c>
      <c r="G210">
        <v>5</v>
      </c>
      <c r="H210" t="s">
        <v>68</v>
      </c>
      <c r="I210">
        <v>24</v>
      </c>
      <c r="J210" s="10">
        <f t="shared" si="3"/>
        <v>5</v>
      </c>
    </row>
    <row r="211" spans="1:10" x14ac:dyDescent="0.2">
      <c r="A211" s="6">
        <v>42705</v>
      </c>
      <c r="B211">
        <v>1995</v>
      </c>
      <c r="C211">
        <v>1625</v>
      </c>
      <c r="D211">
        <v>210</v>
      </c>
      <c r="E211">
        <v>6500</v>
      </c>
      <c r="F211" t="s">
        <v>25</v>
      </c>
      <c r="G211">
        <v>4</v>
      </c>
      <c r="H211" t="s">
        <v>68</v>
      </c>
      <c r="I211">
        <v>24</v>
      </c>
      <c r="J211" s="10">
        <f t="shared" si="3"/>
        <v>4</v>
      </c>
    </row>
    <row r="212" spans="1:10" x14ac:dyDescent="0.2">
      <c r="A212" s="6">
        <v>42563</v>
      </c>
      <c r="B212">
        <v>1995</v>
      </c>
      <c r="C212">
        <v>1625</v>
      </c>
      <c r="D212">
        <v>211</v>
      </c>
      <c r="E212">
        <v>7250</v>
      </c>
      <c r="F212" t="s">
        <v>25</v>
      </c>
      <c r="G212">
        <v>6</v>
      </c>
      <c r="H212" t="s">
        <v>68</v>
      </c>
      <c r="I212">
        <v>24</v>
      </c>
      <c r="J212" s="10">
        <f t="shared" si="3"/>
        <v>6</v>
      </c>
    </row>
    <row r="213" spans="1:10" x14ac:dyDescent="0.2">
      <c r="A213" s="6">
        <v>42387</v>
      </c>
      <c r="B213">
        <v>1995</v>
      </c>
      <c r="C213">
        <v>1625</v>
      </c>
      <c r="D213">
        <v>212</v>
      </c>
      <c r="E213">
        <v>7000</v>
      </c>
      <c r="F213" t="s">
        <v>25</v>
      </c>
      <c r="G213">
        <v>6</v>
      </c>
      <c r="H213" t="s">
        <v>68</v>
      </c>
      <c r="I213">
        <v>24</v>
      </c>
      <c r="J213" s="10">
        <f t="shared" si="3"/>
        <v>6</v>
      </c>
    </row>
    <row r="214" spans="1:10" x14ac:dyDescent="0.2">
      <c r="A214" s="6">
        <v>42480</v>
      </c>
      <c r="B214">
        <v>1999</v>
      </c>
      <c r="C214">
        <v>1634</v>
      </c>
      <c r="D214">
        <v>213</v>
      </c>
      <c r="E214">
        <v>7200</v>
      </c>
      <c r="F214" t="s">
        <v>25</v>
      </c>
      <c r="G214">
        <v>12</v>
      </c>
      <c r="H214" t="s">
        <v>68</v>
      </c>
      <c r="I214">
        <v>20</v>
      </c>
      <c r="J214" s="10">
        <f t="shared" si="3"/>
        <v>12</v>
      </c>
    </row>
    <row r="215" spans="1:10" x14ac:dyDescent="0.2">
      <c r="A215" s="6">
        <v>43353</v>
      </c>
      <c r="B215">
        <v>1994</v>
      </c>
      <c r="C215">
        <v>1641</v>
      </c>
      <c r="D215">
        <v>214</v>
      </c>
      <c r="E215">
        <v>9650</v>
      </c>
      <c r="F215" t="s">
        <v>25</v>
      </c>
      <c r="G215">
        <v>84</v>
      </c>
      <c r="H215" t="s">
        <v>26</v>
      </c>
      <c r="I215">
        <v>25</v>
      </c>
      <c r="J215" s="10">
        <f t="shared" si="3"/>
        <v>3</v>
      </c>
    </row>
    <row r="216" spans="1:10" x14ac:dyDescent="0.2">
      <c r="A216" s="6">
        <v>43153</v>
      </c>
      <c r="B216">
        <v>1994</v>
      </c>
      <c r="C216">
        <v>1641</v>
      </c>
      <c r="D216">
        <v>215</v>
      </c>
      <c r="E216">
        <v>9800</v>
      </c>
      <c r="F216" t="s">
        <v>25</v>
      </c>
      <c r="G216">
        <v>6</v>
      </c>
      <c r="H216" t="s">
        <v>68</v>
      </c>
      <c r="I216">
        <v>25</v>
      </c>
      <c r="J216" s="10">
        <f t="shared" si="3"/>
        <v>6</v>
      </c>
    </row>
    <row r="217" spans="1:10" x14ac:dyDescent="0.2">
      <c r="A217" s="6">
        <v>43045</v>
      </c>
      <c r="B217">
        <v>1994</v>
      </c>
      <c r="C217">
        <v>1641</v>
      </c>
      <c r="D217">
        <v>216</v>
      </c>
      <c r="E217">
        <v>8300</v>
      </c>
      <c r="F217" t="s">
        <v>25</v>
      </c>
      <c r="G217">
        <v>4</v>
      </c>
      <c r="H217" t="s">
        <v>68</v>
      </c>
      <c r="I217">
        <v>25</v>
      </c>
      <c r="J217" s="10">
        <f t="shared" si="3"/>
        <v>4</v>
      </c>
    </row>
    <row r="218" spans="1:10" x14ac:dyDescent="0.2">
      <c r="A218" s="6">
        <v>42993</v>
      </c>
      <c r="B218">
        <v>1994</v>
      </c>
      <c r="C218">
        <v>1641</v>
      </c>
      <c r="D218">
        <v>217</v>
      </c>
      <c r="E218">
        <v>8050</v>
      </c>
      <c r="F218" t="s">
        <v>25</v>
      </c>
      <c r="G218">
        <v>40</v>
      </c>
      <c r="H218" t="s">
        <v>26</v>
      </c>
      <c r="I218">
        <v>25</v>
      </c>
      <c r="J218" s="10">
        <f t="shared" si="3"/>
        <v>1</v>
      </c>
    </row>
    <row r="219" spans="1:10" x14ac:dyDescent="0.2">
      <c r="A219" s="6">
        <v>42947</v>
      </c>
      <c r="B219">
        <v>1994</v>
      </c>
      <c r="C219">
        <v>1641</v>
      </c>
      <c r="D219">
        <v>218</v>
      </c>
      <c r="E219">
        <v>7500</v>
      </c>
      <c r="F219" t="s">
        <v>25</v>
      </c>
      <c r="G219">
        <v>42</v>
      </c>
      <c r="H219" t="s">
        <v>26</v>
      </c>
      <c r="I219">
        <v>25</v>
      </c>
      <c r="J219" s="10">
        <f t="shared" si="3"/>
        <v>1</v>
      </c>
    </row>
    <row r="220" spans="1:10" x14ac:dyDescent="0.2">
      <c r="A220" s="6">
        <v>42914</v>
      </c>
      <c r="B220">
        <v>1994</v>
      </c>
      <c r="C220">
        <v>1641</v>
      </c>
      <c r="D220">
        <v>219</v>
      </c>
      <c r="E220">
        <v>7000</v>
      </c>
      <c r="F220" t="s">
        <v>25</v>
      </c>
      <c r="G220">
        <v>30</v>
      </c>
      <c r="H220" t="s">
        <v>26</v>
      </c>
      <c r="I220">
        <v>25</v>
      </c>
      <c r="J220" s="10">
        <f t="shared" si="3"/>
        <v>1</v>
      </c>
    </row>
    <row r="221" spans="1:10" x14ac:dyDescent="0.2">
      <c r="A221" s="6">
        <v>42754</v>
      </c>
      <c r="B221">
        <v>1994</v>
      </c>
      <c r="C221">
        <v>1641</v>
      </c>
      <c r="D221">
        <v>220</v>
      </c>
      <c r="E221">
        <v>6700</v>
      </c>
      <c r="F221" t="s">
        <v>25</v>
      </c>
      <c r="G221">
        <v>6</v>
      </c>
      <c r="H221" t="s">
        <v>68</v>
      </c>
      <c r="I221">
        <v>25</v>
      </c>
      <c r="J221" s="10">
        <f t="shared" si="3"/>
        <v>6</v>
      </c>
    </row>
    <row r="222" spans="1:10" x14ac:dyDescent="0.2">
      <c r="A222" s="6">
        <v>42632</v>
      </c>
      <c r="B222">
        <v>1994</v>
      </c>
      <c r="C222">
        <v>1641</v>
      </c>
      <c r="D222">
        <v>221</v>
      </c>
      <c r="E222">
        <v>6800</v>
      </c>
      <c r="F222" t="s">
        <v>25</v>
      </c>
      <c r="G222">
        <v>70</v>
      </c>
      <c r="H222" t="s">
        <v>26</v>
      </c>
      <c r="I222">
        <v>25</v>
      </c>
      <c r="J222" s="10">
        <f t="shared" si="3"/>
        <v>2</v>
      </c>
    </row>
    <row r="223" spans="1:10" x14ac:dyDescent="0.2">
      <c r="A223" s="6">
        <v>42559</v>
      </c>
      <c r="B223">
        <v>1994</v>
      </c>
      <c r="C223">
        <v>1641</v>
      </c>
      <c r="D223">
        <v>222</v>
      </c>
      <c r="E223">
        <v>7000</v>
      </c>
      <c r="F223" t="s">
        <v>25</v>
      </c>
      <c r="G223">
        <v>4</v>
      </c>
      <c r="H223" t="s">
        <v>68</v>
      </c>
      <c r="I223">
        <v>25</v>
      </c>
      <c r="J223" s="10">
        <f t="shared" si="3"/>
        <v>4</v>
      </c>
    </row>
    <row r="224" spans="1:10" x14ac:dyDescent="0.2">
      <c r="A224" s="6">
        <v>42470</v>
      </c>
      <c r="B224">
        <v>1994</v>
      </c>
      <c r="C224">
        <v>1641</v>
      </c>
      <c r="D224">
        <v>223</v>
      </c>
      <c r="E224">
        <v>7100</v>
      </c>
      <c r="F224" t="s">
        <v>25</v>
      </c>
      <c r="G224">
        <v>6</v>
      </c>
      <c r="H224" t="s">
        <v>68</v>
      </c>
      <c r="I224">
        <v>25</v>
      </c>
      <c r="J224" s="10">
        <f t="shared" si="3"/>
        <v>6</v>
      </c>
    </row>
    <row r="225" spans="1:10" x14ac:dyDescent="0.2">
      <c r="A225" s="6">
        <v>43488</v>
      </c>
      <c r="B225">
        <v>1997</v>
      </c>
      <c r="C225">
        <v>1645</v>
      </c>
      <c r="D225">
        <v>224</v>
      </c>
      <c r="E225">
        <v>9000</v>
      </c>
      <c r="F225" t="s">
        <v>25</v>
      </c>
      <c r="G225">
        <v>12</v>
      </c>
      <c r="H225" t="s">
        <v>68</v>
      </c>
      <c r="I225">
        <v>22</v>
      </c>
      <c r="J225" s="10">
        <f t="shared" si="3"/>
        <v>12</v>
      </c>
    </row>
    <row r="226" spans="1:10" x14ac:dyDescent="0.2">
      <c r="A226" s="6">
        <v>43487</v>
      </c>
      <c r="B226">
        <v>1997</v>
      </c>
      <c r="C226">
        <v>1645</v>
      </c>
      <c r="D226">
        <v>225</v>
      </c>
      <c r="E226">
        <v>9000</v>
      </c>
      <c r="F226" t="s">
        <v>25</v>
      </c>
      <c r="G226">
        <v>12</v>
      </c>
      <c r="H226" t="s">
        <v>68</v>
      </c>
      <c r="I226">
        <v>22</v>
      </c>
      <c r="J226" s="10">
        <f t="shared" si="3"/>
        <v>12</v>
      </c>
    </row>
    <row r="227" spans="1:10" x14ac:dyDescent="0.2">
      <c r="A227" s="6">
        <v>43332</v>
      </c>
      <c r="B227">
        <v>1997</v>
      </c>
      <c r="C227">
        <v>1645</v>
      </c>
      <c r="D227">
        <v>226</v>
      </c>
      <c r="E227">
        <v>11500</v>
      </c>
      <c r="F227" t="s">
        <v>25</v>
      </c>
      <c r="G227">
        <v>12</v>
      </c>
      <c r="H227" t="s">
        <v>68</v>
      </c>
      <c r="I227">
        <v>22</v>
      </c>
      <c r="J227" s="10">
        <f t="shared" si="3"/>
        <v>12</v>
      </c>
    </row>
    <row r="228" spans="1:10" x14ac:dyDescent="0.2">
      <c r="A228" s="6">
        <v>43028</v>
      </c>
      <c r="B228">
        <v>1998</v>
      </c>
      <c r="C228">
        <v>1645</v>
      </c>
      <c r="D228">
        <v>227</v>
      </c>
      <c r="E228">
        <v>8400</v>
      </c>
      <c r="F228" t="s">
        <v>25</v>
      </c>
      <c r="G228">
        <v>8</v>
      </c>
      <c r="H228" t="s">
        <v>68</v>
      </c>
      <c r="I228">
        <v>21</v>
      </c>
      <c r="J228" s="10">
        <f t="shared" si="3"/>
        <v>8</v>
      </c>
    </row>
    <row r="229" spans="1:10" x14ac:dyDescent="0.2">
      <c r="A229" s="6">
        <v>42931</v>
      </c>
      <c r="B229">
        <v>1998</v>
      </c>
      <c r="C229">
        <v>1645</v>
      </c>
      <c r="D229">
        <v>228</v>
      </c>
      <c r="E229">
        <v>6750</v>
      </c>
      <c r="F229" t="s">
        <v>25</v>
      </c>
      <c r="G229">
        <v>6</v>
      </c>
      <c r="H229" t="s">
        <v>68</v>
      </c>
      <c r="I229">
        <v>21</v>
      </c>
      <c r="J229" s="10">
        <f t="shared" si="3"/>
        <v>6</v>
      </c>
    </row>
    <row r="230" spans="1:10" x14ac:dyDescent="0.2">
      <c r="A230" s="6">
        <v>42843</v>
      </c>
      <c r="B230">
        <v>1998</v>
      </c>
      <c r="C230">
        <v>1645</v>
      </c>
      <c r="D230">
        <v>229</v>
      </c>
      <c r="E230">
        <v>7300</v>
      </c>
      <c r="F230" t="s">
        <v>25</v>
      </c>
      <c r="G230">
        <v>7</v>
      </c>
      <c r="H230" t="s">
        <v>68</v>
      </c>
      <c r="I230">
        <v>21</v>
      </c>
      <c r="J230" s="10">
        <f t="shared" si="3"/>
        <v>7</v>
      </c>
    </row>
    <row r="231" spans="1:10" x14ac:dyDescent="0.2">
      <c r="A231" s="6">
        <v>42796</v>
      </c>
      <c r="B231">
        <v>1997</v>
      </c>
      <c r="C231">
        <v>1645</v>
      </c>
      <c r="D231">
        <v>230</v>
      </c>
      <c r="E231">
        <v>7000</v>
      </c>
      <c r="F231" t="s">
        <v>25</v>
      </c>
      <c r="G231">
        <v>7</v>
      </c>
      <c r="H231" t="s">
        <v>68</v>
      </c>
      <c r="I231">
        <v>22</v>
      </c>
      <c r="J231" s="10">
        <f t="shared" si="3"/>
        <v>7</v>
      </c>
    </row>
    <row r="232" spans="1:10" x14ac:dyDescent="0.2">
      <c r="A232" s="6">
        <v>42796</v>
      </c>
      <c r="B232">
        <v>1998</v>
      </c>
      <c r="C232">
        <v>1645</v>
      </c>
      <c r="D232">
        <v>231</v>
      </c>
      <c r="E232">
        <v>7000</v>
      </c>
      <c r="F232" t="s">
        <v>25</v>
      </c>
      <c r="G232">
        <v>5</v>
      </c>
      <c r="H232" t="s">
        <v>68</v>
      </c>
      <c r="I232">
        <v>21</v>
      </c>
      <c r="J232" s="10">
        <f t="shared" si="3"/>
        <v>5</v>
      </c>
    </row>
    <row r="233" spans="1:10" x14ac:dyDescent="0.2">
      <c r="A233" s="6">
        <v>42657</v>
      </c>
      <c r="B233">
        <v>1998</v>
      </c>
      <c r="C233">
        <v>1645</v>
      </c>
      <c r="D233">
        <v>232</v>
      </c>
      <c r="E233">
        <v>7000</v>
      </c>
      <c r="F233" t="s">
        <v>25</v>
      </c>
      <c r="G233">
        <v>6</v>
      </c>
      <c r="H233" t="s">
        <v>68</v>
      </c>
      <c r="I233">
        <v>21</v>
      </c>
      <c r="J233" s="10">
        <f t="shared" si="3"/>
        <v>6</v>
      </c>
    </row>
    <row r="234" spans="1:10" x14ac:dyDescent="0.2">
      <c r="A234" s="6">
        <v>42614</v>
      </c>
      <c r="B234">
        <v>1998</v>
      </c>
      <c r="C234">
        <v>1645</v>
      </c>
      <c r="D234">
        <v>233</v>
      </c>
      <c r="E234">
        <v>6750</v>
      </c>
      <c r="F234" t="s">
        <v>25</v>
      </c>
      <c r="G234">
        <v>5</v>
      </c>
      <c r="H234" t="s">
        <v>68</v>
      </c>
      <c r="I234">
        <v>21</v>
      </c>
      <c r="J234" s="10">
        <f t="shared" si="3"/>
        <v>5</v>
      </c>
    </row>
    <row r="235" spans="1:10" x14ac:dyDescent="0.2">
      <c r="A235" s="6">
        <v>42613</v>
      </c>
      <c r="B235">
        <v>1998</v>
      </c>
      <c r="C235">
        <v>1645</v>
      </c>
      <c r="D235">
        <v>234</v>
      </c>
      <c r="E235">
        <v>7000</v>
      </c>
      <c r="F235" t="s">
        <v>25</v>
      </c>
      <c r="G235">
        <v>9</v>
      </c>
      <c r="H235" t="s">
        <v>68</v>
      </c>
      <c r="I235">
        <v>21</v>
      </c>
      <c r="J235" s="10">
        <f t="shared" si="3"/>
        <v>9</v>
      </c>
    </row>
    <row r="236" spans="1:10" x14ac:dyDescent="0.2">
      <c r="A236" s="6">
        <v>42600</v>
      </c>
      <c r="B236">
        <v>1998</v>
      </c>
      <c r="C236">
        <v>1645</v>
      </c>
      <c r="D236">
        <v>235</v>
      </c>
      <c r="E236">
        <v>6950</v>
      </c>
      <c r="F236" t="s">
        <v>25</v>
      </c>
      <c r="G236">
        <v>4</v>
      </c>
      <c r="H236" t="s">
        <v>68</v>
      </c>
      <c r="I236">
        <v>21</v>
      </c>
      <c r="J236" s="10">
        <f t="shared" si="3"/>
        <v>4</v>
      </c>
    </row>
    <row r="237" spans="1:10" x14ac:dyDescent="0.2">
      <c r="A237" s="6">
        <v>42578</v>
      </c>
      <c r="B237">
        <v>1998</v>
      </c>
      <c r="C237">
        <v>1645</v>
      </c>
      <c r="D237">
        <v>236</v>
      </c>
      <c r="E237">
        <v>7100</v>
      </c>
      <c r="F237" t="s">
        <v>25</v>
      </c>
      <c r="G237">
        <v>7</v>
      </c>
      <c r="H237" t="s">
        <v>68</v>
      </c>
      <c r="I237">
        <v>21</v>
      </c>
      <c r="J237" s="10">
        <f t="shared" si="3"/>
        <v>7</v>
      </c>
    </row>
    <row r="238" spans="1:10" x14ac:dyDescent="0.2">
      <c r="A238" s="6">
        <v>42478</v>
      </c>
      <c r="B238">
        <v>1998</v>
      </c>
      <c r="C238">
        <v>1645</v>
      </c>
      <c r="D238">
        <v>237</v>
      </c>
      <c r="E238">
        <v>7150</v>
      </c>
      <c r="F238" t="s">
        <v>25</v>
      </c>
      <c r="G238">
        <v>10</v>
      </c>
      <c r="H238" t="s">
        <v>68</v>
      </c>
      <c r="I238">
        <v>21</v>
      </c>
      <c r="J238" s="10">
        <f t="shared" si="3"/>
        <v>10</v>
      </c>
    </row>
    <row r="239" spans="1:10" x14ac:dyDescent="0.2">
      <c r="A239" s="6">
        <v>42465</v>
      </c>
      <c r="B239">
        <v>1997</v>
      </c>
      <c r="C239">
        <v>1645</v>
      </c>
      <c r="D239">
        <v>238</v>
      </c>
      <c r="E239">
        <v>7250</v>
      </c>
      <c r="F239" t="s">
        <v>25</v>
      </c>
      <c r="G239">
        <v>7</v>
      </c>
      <c r="H239" t="s">
        <v>68</v>
      </c>
      <c r="I239">
        <v>22</v>
      </c>
      <c r="J239" s="10">
        <f t="shared" si="3"/>
        <v>7</v>
      </c>
    </row>
    <row r="240" spans="1:10" x14ac:dyDescent="0.2">
      <c r="A240" s="6">
        <v>42450</v>
      </c>
      <c r="B240">
        <v>1998</v>
      </c>
      <c r="C240">
        <v>1645</v>
      </c>
      <c r="D240">
        <v>239</v>
      </c>
      <c r="E240">
        <v>7000</v>
      </c>
      <c r="F240" t="s">
        <v>25</v>
      </c>
      <c r="G240">
        <v>90</v>
      </c>
      <c r="H240" t="s">
        <v>26</v>
      </c>
      <c r="I240">
        <v>21</v>
      </c>
      <c r="J240" s="10">
        <f t="shared" si="3"/>
        <v>3</v>
      </c>
    </row>
    <row r="241" spans="1:10" x14ac:dyDescent="0.2">
      <c r="A241" s="6">
        <v>42446</v>
      </c>
      <c r="B241">
        <v>1998</v>
      </c>
      <c r="C241">
        <v>1645</v>
      </c>
      <c r="D241">
        <v>240</v>
      </c>
      <c r="E241">
        <v>7150</v>
      </c>
      <c r="F241" t="s">
        <v>25</v>
      </c>
      <c r="G241">
        <v>6</v>
      </c>
      <c r="H241" t="s">
        <v>68</v>
      </c>
      <c r="I241">
        <v>21</v>
      </c>
      <c r="J241" s="10">
        <f t="shared" si="3"/>
        <v>6</v>
      </c>
    </row>
    <row r="242" spans="1:10" x14ac:dyDescent="0.2">
      <c r="A242" s="6">
        <v>42424</v>
      </c>
      <c r="B242">
        <v>1998</v>
      </c>
      <c r="C242">
        <v>1645</v>
      </c>
      <c r="D242">
        <v>241</v>
      </c>
      <c r="E242">
        <v>7200</v>
      </c>
      <c r="F242" t="s">
        <v>25</v>
      </c>
      <c r="G242">
        <v>4</v>
      </c>
      <c r="H242" t="s">
        <v>68</v>
      </c>
      <c r="I242">
        <v>21</v>
      </c>
      <c r="J242" s="10">
        <f t="shared" si="3"/>
        <v>4</v>
      </c>
    </row>
    <row r="243" spans="1:10" x14ac:dyDescent="0.2">
      <c r="A243" s="6">
        <v>42417</v>
      </c>
      <c r="B243">
        <v>1998</v>
      </c>
      <c r="C243">
        <v>1645</v>
      </c>
      <c r="D243">
        <v>242</v>
      </c>
      <c r="E243">
        <v>7000</v>
      </c>
      <c r="F243" t="s">
        <v>25</v>
      </c>
      <c r="G243">
        <v>9</v>
      </c>
      <c r="H243" t="s">
        <v>68</v>
      </c>
      <c r="I243">
        <v>21</v>
      </c>
      <c r="J243" s="10">
        <f t="shared" si="3"/>
        <v>9</v>
      </c>
    </row>
    <row r="244" spans="1:10" x14ac:dyDescent="0.2">
      <c r="A244" s="6">
        <v>42403</v>
      </c>
      <c r="B244">
        <v>1998</v>
      </c>
      <c r="C244">
        <v>1645</v>
      </c>
      <c r="D244">
        <v>243</v>
      </c>
      <c r="E244">
        <v>7300</v>
      </c>
      <c r="F244" t="s">
        <v>25</v>
      </c>
      <c r="G244">
        <v>6</v>
      </c>
      <c r="H244" t="s">
        <v>68</v>
      </c>
      <c r="I244">
        <v>21</v>
      </c>
      <c r="J244" s="10">
        <f t="shared" si="3"/>
        <v>6</v>
      </c>
    </row>
    <row r="245" spans="1:10" x14ac:dyDescent="0.2">
      <c r="A245" s="6">
        <v>43368</v>
      </c>
      <c r="B245">
        <v>1998</v>
      </c>
      <c r="C245">
        <v>1654</v>
      </c>
      <c r="D245">
        <v>244</v>
      </c>
      <c r="E245">
        <v>9400</v>
      </c>
      <c r="F245" t="s">
        <v>25</v>
      </c>
      <c r="G245">
        <v>11</v>
      </c>
      <c r="H245" t="s">
        <v>68</v>
      </c>
      <c r="I245">
        <v>21</v>
      </c>
      <c r="J245" s="10">
        <f t="shared" si="3"/>
        <v>11</v>
      </c>
    </row>
    <row r="246" spans="1:10" x14ac:dyDescent="0.2">
      <c r="A246" s="6">
        <v>43164</v>
      </c>
      <c r="B246">
        <v>1998</v>
      </c>
      <c r="C246">
        <v>1654</v>
      </c>
      <c r="D246">
        <v>245</v>
      </c>
      <c r="E246">
        <v>9000</v>
      </c>
      <c r="F246" t="s">
        <v>25</v>
      </c>
      <c r="G246">
        <v>6</v>
      </c>
      <c r="H246" t="s">
        <v>68</v>
      </c>
      <c r="I246">
        <v>21</v>
      </c>
      <c r="J246" s="10">
        <f t="shared" si="3"/>
        <v>6</v>
      </c>
    </row>
    <row r="247" spans="1:10" x14ac:dyDescent="0.2">
      <c r="A247" s="6">
        <v>42835</v>
      </c>
      <c r="B247">
        <v>1998</v>
      </c>
      <c r="C247">
        <v>1654</v>
      </c>
      <c r="D247">
        <v>246</v>
      </c>
      <c r="E247">
        <v>7500</v>
      </c>
      <c r="F247" t="s">
        <v>25</v>
      </c>
      <c r="G247">
        <v>12</v>
      </c>
      <c r="H247" t="s">
        <v>68</v>
      </c>
      <c r="I247">
        <v>21</v>
      </c>
      <c r="J247" s="10">
        <f t="shared" si="3"/>
        <v>12</v>
      </c>
    </row>
    <row r="248" spans="1:10" x14ac:dyDescent="0.2">
      <c r="A248" s="6">
        <v>42650</v>
      </c>
      <c r="B248">
        <v>1998</v>
      </c>
      <c r="C248">
        <v>1654</v>
      </c>
      <c r="D248">
        <v>247</v>
      </c>
      <c r="E248">
        <v>6200</v>
      </c>
      <c r="F248" t="s">
        <v>25</v>
      </c>
      <c r="G248">
        <v>8</v>
      </c>
      <c r="H248" t="s">
        <v>68</v>
      </c>
      <c r="I248">
        <v>21</v>
      </c>
      <c r="J248" s="10">
        <f t="shared" si="3"/>
        <v>8</v>
      </c>
    </row>
    <row r="249" spans="1:10" x14ac:dyDescent="0.2">
      <c r="A249" s="6">
        <v>43483</v>
      </c>
      <c r="B249">
        <v>1995</v>
      </c>
      <c r="C249">
        <v>1684</v>
      </c>
      <c r="D249">
        <v>248</v>
      </c>
      <c r="E249">
        <v>7250</v>
      </c>
      <c r="F249" t="s">
        <v>25</v>
      </c>
      <c r="G249">
        <v>5</v>
      </c>
      <c r="H249" t="s">
        <v>68</v>
      </c>
      <c r="I249">
        <v>24</v>
      </c>
      <c r="J249" s="10">
        <f t="shared" si="3"/>
        <v>5</v>
      </c>
    </row>
    <row r="250" spans="1:10" x14ac:dyDescent="0.2">
      <c r="A250" s="6">
        <v>43348</v>
      </c>
      <c r="B250">
        <v>1995</v>
      </c>
      <c r="C250">
        <v>1684</v>
      </c>
      <c r="D250">
        <v>249</v>
      </c>
      <c r="E250">
        <v>9150</v>
      </c>
      <c r="F250" t="s">
        <v>25</v>
      </c>
      <c r="G250">
        <v>2</v>
      </c>
      <c r="H250" t="s">
        <v>68</v>
      </c>
      <c r="I250">
        <v>24</v>
      </c>
      <c r="J250" s="10">
        <f t="shared" si="3"/>
        <v>2</v>
      </c>
    </row>
    <row r="251" spans="1:10" x14ac:dyDescent="0.2">
      <c r="A251" s="6">
        <v>43178</v>
      </c>
      <c r="B251">
        <v>1995</v>
      </c>
      <c r="C251">
        <v>1684</v>
      </c>
      <c r="D251">
        <v>250</v>
      </c>
      <c r="E251">
        <v>9500</v>
      </c>
      <c r="F251" t="s">
        <v>25</v>
      </c>
      <c r="G251">
        <v>5</v>
      </c>
      <c r="H251" t="s">
        <v>68</v>
      </c>
      <c r="I251">
        <v>24</v>
      </c>
      <c r="J251" s="10">
        <f t="shared" si="3"/>
        <v>5</v>
      </c>
    </row>
    <row r="252" spans="1:10" x14ac:dyDescent="0.2">
      <c r="A252" s="6">
        <v>42941</v>
      </c>
      <c r="B252">
        <v>1995</v>
      </c>
      <c r="C252">
        <v>1684</v>
      </c>
      <c r="D252">
        <v>251</v>
      </c>
      <c r="E252">
        <v>7000</v>
      </c>
      <c r="F252" t="s">
        <v>25</v>
      </c>
      <c r="G252">
        <v>8</v>
      </c>
      <c r="H252" t="s">
        <v>68</v>
      </c>
      <c r="I252">
        <v>24</v>
      </c>
      <c r="J252" s="10">
        <f t="shared" si="3"/>
        <v>8</v>
      </c>
    </row>
    <row r="253" spans="1:10" x14ac:dyDescent="0.2">
      <c r="A253" s="6">
        <v>42926</v>
      </c>
      <c r="B253">
        <v>1997</v>
      </c>
      <c r="C253">
        <v>1684</v>
      </c>
      <c r="D253">
        <v>252</v>
      </c>
      <c r="E253">
        <v>6600</v>
      </c>
      <c r="F253" t="s">
        <v>25</v>
      </c>
      <c r="G253">
        <v>4</v>
      </c>
      <c r="H253" t="s">
        <v>68</v>
      </c>
      <c r="I253">
        <v>22</v>
      </c>
      <c r="J253" s="10">
        <f t="shared" si="3"/>
        <v>4</v>
      </c>
    </row>
    <row r="254" spans="1:10" x14ac:dyDescent="0.2">
      <c r="A254" s="6">
        <v>42835</v>
      </c>
      <c r="B254">
        <v>1995</v>
      </c>
      <c r="C254">
        <v>1684</v>
      </c>
      <c r="D254">
        <v>253</v>
      </c>
      <c r="E254">
        <v>6600</v>
      </c>
      <c r="F254" t="s">
        <v>25</v>
      </c>
      <c r="G254">
        <v>5</v>
      </c>
      <c r="H254" t="s">
        <v>68</v>
      </c>
      <c r="I254">
        <v>24</v>
      </c>
      <c r="J254" s="10">
        <f t="shared" si="3"/>
        <v>5</v>
      </c>
    </row>
    <row r="255" spans="1:10" x14ac:dyDescent="0.2">
      <c r="A255" s="6">
        <v>42796</v>
      </c>
      <c r="B255">
        <v>1997</v>
      </c>
      <c r="C255">
        <v>1684</v>
      </c>
      <c r="D255">
        <v>254</v>
      </c>
      <c r="E255">
        <v>6000</v>
      </c>
      <c r="F255" t="s">
        <v>25</v>
      </c>
      <c r="G255">
        <v>6</v>
      </c>
      <c r="H255" t="s">
        <v>68</v>
      </c>
      <c r="I255">
        <v>22</v>
      </c>
      <c r="J255" s="10">
        <f t="shared" si="3"/>
        <v>6</v>
      </c>
    </row>
    <row r="256" spans="1:10" x14ac:dyDescent="0.2">
      <c r="A256" s="6">
        <v>42779</v>
      </c>
      <c r="B256">
        <v>1995</v>
      </c>
      <c r="C256">
        <v>1684</v>
      </c>
      <c r="D256">
        <v>255</v>
      </c>
      <c r="E256">
        <v>6300</v>
      </c>
      <c r="F256" t="s">
        <v>25</v>
      </c>
      <c r="G256">
        <v>3</v>
      </c>
      <c r="H256" t="s">
        <v>68</v>
      </c>
      <c r="I256">
        <v>24</v>
      </c>
      <c r="J256" s="10">
        <f t="shared" si="3"/>
        <v>3</v>
      </c>
    </row>
    <row r="257" spans="1:10" x14ac:dyDescent="0.2">
      <c r="A257" s="6">
        <v>42709</v>
      </c>
      <c r="B257">
        <v>1997</v>
      </c>
      <c r="C257">
        <v>1684</v>
      </c>
      <c r="D257">
        <v>256</v>
      </c>
      <c r="E257">
        <v>5800</v>
      </c>
      <c r="F257" t="s">
        <v>25</v>
      </c>
      <c r="G257">
        <v>2</v>
      </c>
      <c r="H257" t="s">
        <v>68</v>
      </c>
      <c r="I257">
        <v>22</v>
      </c>
      <c r="J257" s="10">
        <f t="shared" si="3"/>
        <v>2</v>
      </c>
    </row>
    <row r="258" spans="1:10" x14ac:dyDescent="0.2">
      <c r="A258" s="6">
        <v>42688</v>
      </c>
      <c r="B258">
        <v>1997</v>
      </c>
      <c r="C258">
        <v>1684</v>
      </c>
      <c r="D258">
        <v>257</v>
      </c>
      <c r="E258">
        <v>6250</v>
      </c>
      <c r="F258" t="s">
        <v>25</v>
      </c>
      <c r="G258">
        <v>4</v>
      </c>
      <c r="H258" t="s">
        <v>68</v>
      </c>
      <c r="I258">
        <v>22</v>
      </c>
      <c r="J258" s="10">
        <f t="shared" ref="J258:J321" si="4">IF(H258="days",ROUND(G258/30,0),IF(H258="years",G258*12,G258))</f>
        <v>4</v>
      </c>
    </row>
    <row r="259" spans="1:10" x14ac:dyDescent="0.2">
      <c r="A259" s="6">
        <v>42614</v>
      </c>
      <c r="B259">
        <v>1997</v>
      </c>
      <c r="C259">
        <v>1684</v>
      </c>
      <c r="D259">
        <v>258</v>
      </c>
      <c r="E259">
        <v>5800</v>
      </c>
      <c r="F259" t="s">
        <v>25</v>
      </c>
      <c r="G259">
        <v>3</v>
      </c>
      <c r="H259" t="s">
        <v>68</v>
      </c>
      <c r="I259">
        <v>22</v>
      </c>
      <c r="J259" s="10">
        <f t="shared" si="4"/>
        <v>3</v>
      </c>
    </row>
    <row r="260" spans="1:10" x14ac:dyDescent="0.2">
      <c r="A260" s="6">
        <v>42614</v>
      </c>
      <c r="B260">
        <v>1995</v>
      </c>
      <c r="C260">
        <v>1684</v>
      </c>
      <c r="D260">
        <v>259</v>
      </c>
      <c r="E260">
        <v>6200</v>
      </c>
      <c r="F260" t="s">
        <v>25</v>
      </c>
      <c r="G260">
        <v>7</v>
      </c>
      <c r="H260" t="s">
        <v>68</v>
      </c>
      <c r="I260">
        <v>24</v>
      </c>
      <c r="J260" s="10">
        <f t="shared" si="4"/>
        <v>7</v>
      </c>
    </row>
    <row r="261" spans="1:10" x14ac:dyDescent="0.2">
      <c r="A261" s="6">
        <v>42577</v>
      </c>
      <c r="B261">
        <v>1997</v>
      </c>
      <c r="C261">
        <v>1684</v>
      </c>
      <c r="D261">
        <v>260</v>
      </c>
      <c r="E261">
        <v>7000</v>
      </c>
      <c r="F261" t="s">
        <v>25</v>
      </c>
      <c r="G261">
        <v>70</v>
      </c>
      <c r="H261" t="s">
        <v>26</v>
      </c>
      <c r="I261">
        <v>22</v>
      </c>
      <c r="J261" s="10">
        <f t="shared" si="4"/>
        <v>2</v>
      </c>
    </row>
    <row r="262" spans="1:10" x14ac:dyDescent="0.2">
      <c r="A262" s="6">
        <v>42549</v>
      </c>
      <c r="B262">
        <v>1997</v>
      </c>
      <c r="C262">
        <v>1684</v>
      </c>
      <c r="D262">
        <v>261</v>
      </c>
      <c r="E262">
        <v>6000</v>
      </c>
      <c r="F262" t="s">
        <v>25</v>
      </c>
      <c r="G262">
        <v>60</v>
      </c>
      <c r="H262" t="s">
        <v>26</v>
      </c>
      <c r="I262">
        <v>22</v>
      </c>
      <c r="J262" s="10">
        <f t="shared" si="4"/>
        <v>2</v>
      </c>
    </row>
    <row r="263" spans="1:10" x14ac:dyDescent="0.2">
      <c r="A263" s="6">
        <v>42527</v>
      </c>
      <c r="B263">
        <v>1997</v>
      </c>
      <c r="C263">
        <v>1684</v>
      </c>
      <c r="D263">
        <v>262</v>
      </c>
      <c r="E263">
        <v>6000</v>
      </c>
      <c r="F263" t="s">
        <v>25</v>
      </c>
      <c r="G263">
        <v>2</v>
      </c>
      <c r="H263" t="s">
        <v>68</v>
      </c>
      <c r="I263">
        <v>22</v>
      </c>
      <c r="J263" s="10">
        <f t="shared" si="4"/>
        <v>2</v>
      </c>
    </row>
    <row r="264" spans="1:10" x14ac:dyDescent="0.2">
      <c r="A264" s="6">
        <v>42505</v>
      </c>
      <c r="B264">
        <v>1995</v>
      </c>
      <c r="C264">
        <v>1684</v>
      </c>
      <c r="D264">
        <v>263</v>
      </c>
      <c r="E264">
        <v>6400</v>
      </c>
      <c r="F264" t="s">
        <v>25</v>
      </c>
      <c r="G264">
        <v>6</v>
      </c>
      <c r="H264" t="s">
        <v>68</v>
      </c>
      <c r="I264">
        <v>24</v>
      </c>
      <c r="J264" s="10">
        <f t="shared" si="4"/>
        <v>6</v>
      </c>
    </row>
    <row r="265" spans="1:10" x14ac:dyDescent="0.2">
      <c r="A265" s="6">
        <v>42430</v>
      </c>
      <c r="B265">
        <v>1995</v>
      </c>
      <c r="C265">
        <v>1684</v>
      </c>
      <c r="D265">
        <v>264</v>
      </c>
      <c r="E265">
        <v>6500</v>
      </c>
      <c r="F265" t="s">
        <v>25</v>
      </c>
      <c r="G265">
        <v>3</v>
      </c>
      <c r="H265" t="s">
        <v>68</v>
      </c>
      <c r="I265">
        <v>24</v>
      </c>
      <c r="J265" s="10">
        <f t="shared" si="4"/>
        <v>3</v>
      </c>
    </row>
    <row r="266" spans="1:10" x14ac:dyDescent="0.2">
      <c r="A266" s="6">
        <v>42401</v>
      </c>
      <c r="B266">
        <v>1999</v>
      </c>
      <c r="C266">
        <v>1702</v>
      </c>
      <c r="D266">
        <v>265</v>
      </c>
      <c r="E266">
        <v>6000</v>
      </c>
      <c r="F266" t="s">
        <v>25</v>
      </c>
      <c r="G266">
        <v>2</v>
      </c>
      <c r="H266" t="s">
        <v>68</v>
      </c>
      <c r="I266">
        <v>20</v>
      </c>
      <c r="J266" s="10">
        <f t="shared" si="4"/>
        <v>2</v>
      </c>
    </row>
    <row r="267" spans="1:10" x14ac:dyDescent="0.2">
      <c r="A267" s="6">
        <v>42401</v>
      </c>
      <c r="B267">
        <v>1999</v>
      </c>
      <c r="C267">
        <v>1702</v>
      </c>
      <c r="D267">
        <v>266</v>
      </c>
      <c r="E267">
        <v>6600</v>
      </c>
      <c r="F267" t="s">
        <v>25</v>
      </c>
      <c r="G267">
        <v>13</v>
      </c>
      <c r="H267" t="s">
        <v>68</v>
      </c>
      <c r="I267">
        <v>20</v>
      </c>
      <c r="J267" s="10">
        <f t="shared" si="4"/>
        <v>13</v>
      </c>
    </row>
    <row r="268" spans="1:10" x14ac:dyDescent="0.2">
      <c r="A268" s="6">
        <v>43446</v>
      </c>
      <c r="B268">
        <v>1999</v>
      </c>
      <c r="C268">
        <v>1726</v>
      </c>
      <c r="D268">
        <v>267</v>
      </c>
      <c r="E268">
        <v>7200</v>
      </c>
      <c r="F268" t="s">
        <v>25</v>
      </c>
      <c r="G268">
        <v>7</v>
      </c>
      <c r="H268" t="s">
        <v>68</v>
      </c>
      <c r="I268">
        <v>20</v>
      </c>
      <c r="J268" s="10">
        <f t="shared" si="4"/>
        <v>7</v>
      </c>
    </row>
    <row r="269" spans="1:10" x14ac:dyDescent="0.2">
      <c r="A269" s="6">
        <v>43346</v>
      </c>
      <c r="B269">
        <v>1999</v>
      </c>
      <c r="C269">
        <v>1726</v>
      </c>
      <c r="D269">
        <v>268</v>
      </c>
      <c r="E269">
        <v>9500</v>
      </c>
      <c r="F269" t="s">
        <v>25</v>
      </c>
      <c r="G269">
        <v>3</v>
      </c>
      <c r="H269" t="s">
        <v>68</v>
      </c>
      <c r="I269">
        <v>20</v>
      </c>
      <c r="J269" s="10">
        <f t="shared" si="4"/>
        <v>3</v>
      </c>
    </row>
    <row r="270" spans="1:10" x14ac:dyDescent="0.2">
      <c r="A270" s="6">
        <v>43235</v>
      </c>
      <c r="B270">
        <v>1999</v>
      </c>
      <c r="C270">
        <v>1726</v>
      </c>
      <c r="D270">
        <v>269</v>
      </c>
      <c r="E270">
        <v>10850</v>
      </c>
      <c r="F270" t="s">
        <v>25</v>
      </c>
      <c r="G270">
        <v>5</v>
      </c>
      <c r="H270" t="s">
        <v>68</v>
      </c>
      <c r="I270">
        <v>20</v>
      </c>
      <c r="J270" s="10">
        <f t="shared" si="4"/>
        <v>5</v>
      </c>
    </row>
    <row r="271" spans="1:10" x14ac:dyDescent="0.2">
      <c r="A271" s="6">
        <v>43101</v>
      </c>
      <c r="B271">
        <v>1999</v>
      </c>
      <c r="C271">
        <v>1726</v>
      </c>
      <c r="D271">
        <v>270</v>
      </c>
      <c r="E271">
        <v>8700</v>
      </c>
      <c r="F271" t="s">
        <v>25</v>
      </c>
      <c r="G271">
        <v>5</v>
      </c>
      <c r="H271" t="s">
        <v>68</v>
      </c>
      <c r="I271">
        <v>20</v>
      </c>
      <c r="J271" s="10">
        <f t="shared" si="4"/>
        <v>5</v>
      </c>
    </row>
    <row r="272" spans="1:10" x14ac:dyDescent="0.2">
      <c r="A272" s="6">
        <v>42919</v>
      </c>
      <c r="B272">
        <v>1999</v>
      </c>
      <c r="C272">
        <v>1726</v>
      </c>
      <c r="D272">
        <v>271</v>
      </c>
      <c r="E272">
        <v>6500</v>
      </c>
      <c r="F272" t="s">
        <v>25</v>
      </c>
      <c r="G272">
        <v>10</v>
      </c>
      <c r="H272" t="s">
        <v>68</v>
      </c>
      <c r="I272">
        <v>20</v>
      </c>
      <c r="J272" s="10">
        <f t="shared" si="4"/>
        <v>10</v>
      </c>
    </row>
    <row r="273" spans="1:10" x14ac:dyDescent="0.2">
      <c r="A273" s="6">
        <v>42793</v>
      </c>
      <c r="B273">
        <v>1999</v>
      </c>
      <c r="C273">
        <v>1726</v>
      </c>
      <c r="D273">
        <v>272</v>
      </c>
      <c r="E273">
        <v>6000</v>
      </c>
      <c r="F273" t="s">
        <v>25</v>
      </c>
      <c r="G273">
        <v>4</v>
      </c>
      <c r="H273" t="s">
        <v>68</v>
      </c>
      <c r="I273">
        <v>20</v>
      </c>
      <c r="J273" s="10">
        <f t="shared" si="4"/>
        <v>4</v>
      </c>
    </row>
    <row r="274" spans="1:10" x14ac:dyDescent="0.2">
      <c r="A274" s="6">
        <v>42688</v>
      </c>
      <c r="B274">
        <v>1999</v>
      </c>
      <c r="C274">
        <v>1726</v>
      </c>
      <c r="D274">
        <v>273</v>
      </c>
      <c r="E274">
        <v>6000</v>
      </c>
      <c r="F274" t="s">
        <v>25</v>
      </c>
      <c r="G274">
        <v>3</v>
      </c>
      <c r="H274" t="s">
        <v>68</v>
      </c>
      <c r="I274">
        <v>20</v>
      </c>
      <c r="J274" s="10">
        <f t="shared" si="4"/>
        <v>3</v>
      </c>
    </row>
    <row r="275" spans="1:10" x14ac:dyDescent="0.2">
      <c r="A275" s="6">
        <v>42549</v>
      </c>
      <c r="B275">
        <v>1999</v>
      </c>
      <c r="C275">
        <v>1726</v>
      </c>
      <c r="D275">
        <v>274</v>
      </c>
      <c r="E275">
        <v>6000</v>
      </c>
      <c r="F275" t="s">
        <v>25</v>
      </c>
      <c r="G275">
        <v>4</v>
      </c>
      <c r="H275" t="s">
        <v>68</v>
      </c>
      <c r="I275">
        <v>20</v>
      </c>
      <c r="J275" s="10">
        <f t="shared" si="4"/>
        <v>4</v>
      </c>
    </row>
    <row r="276" spans="1:10" x14ac:dyDescent="0.2">
      <c r="A276" s="6">
        <v>42501</v>
      </c>
      <c r="B276">
        <v>1999</v>
      </c>
      <c r="C276">
        <v>1726</v>
      </c>
      <c r="D276">
        <v>275</v>
      </c>
      <c r="E276">
        <v>5700</v>
      </c>
      <c r="F276" t="s">
        <v>25</v>
      </c>
      <c r="G276">
        <v>2</v>
      </c>
      <c r="H276" t="s">
        <v>68</v>
      </c>
      <c r="I276">
        <v>20</v>
      </c>
      <c r="J276" s="10">
        <f t="shared" si="4"/>
        <v>2</v>
      </c>
    </row>
    <row r="277" spans="1:10" x14ac:dyDescent="0.2">
      <c r="A277" s="6">
        <v>42464</v>
      </c>
      <c r="B277">
        <v>1999</v>
      </c>
      <c r="C277">
        <v>1726</v>
      </c>
      <c r="D277">
        <v>276</v>
      </c>
      <c r="E277">
        <v>5650</v>
      </c>
      <c r="F277" t="s">
        <v>25</v>
      </c>
      <c r="G277">
        <v>30</v>
      </c>
      <c r="H277" t="s">
        <v>26</v>
      </c>
      <c r="I277">
        <v>20</v>
      </c>
      <c r="J277" s="10">
        <f t="shared" si="4"/>
        <v>1</v>
      </c>
    </row>
    <row r="278" spans="1:10" x14ac:dyDescent="0.2">
      <c r="A278" s="6">
        <v>42452</v>
      </c>
      <c r="B278">
        <v>1995</v>
      </c>
      <c r="C278">
        <v>1726</v>
      </c>
      <c r="D278">
        <v>277</v>
      </c>
      <c r="E278">
        <v>6100</v>
      </c>
      <c r="F278" t="s">
        <v>25</v>
      </c>
      <c r="G278">
        <v>12</v>
      </c>
      <c r="H278" t="s">
        <v>68</v>
      </c>
      <c r="I278">
        <v>24</v>
      </c>
      <c r="J278" s="10">
        <f t="shared" si="4"/>
        <v>12</v>
      </c>
    </row>
    <row r="279" spans="1:10" x14ac:dyDescent="0.2">
      <c r="A279" s="6">
        <v>42402</v>
      </c>
      <c r="B279">
        <v>1999</v>
      </c>
      <c r="C279">
        <v>1726</v>
      </c>
      <c r="D279">
        <v>278</v>
      </c>
      <c r="E279">
        <v>6200</v>
      </c>
      <c r="F279" t="s">
        <v>25</v>
      </c>
      <c r="G279">
        <v>5</v>
      </c>
      <c r="H279" t="s">
        <v>68</v>
      </c>
      <c r="I279">
        <v>20</v>
      </c>
      <c r="J279" s="10">
        <f t="shared" si="4"/>
        <v>5</v>
      </c>
    </row>
    <row r="280" spans="1:10" x14ac:dyDescent="0.2">
      <c r="A280" s="6">
        <v>43509</v>
      </c>
      <c r="B280">
        <v>1998</v>
      </c>
      <c r="C280">
        <v>1728</v>
      </c>
      <c r="D280">
        <v>279</v>
      </c>
      <c r="E280">
        <v>7000</v>
      </c>
      <c r="F280" t="s">
        <v>25</v>
      </c>
      <c r="G280">
        <v>6</v>
      </c>
      <c r="H280" t="s">
        <v>68</v>
      </c>
      <c r="I280">
        <v>21</v>
      </c>
      <c r="J280" s="10">
        <f t="shared" si="4"/>
        <v>6</v>
      </c>
    </row>
    <row r="281" spans="1:10" x14ac:dyDescent="0.2">
      <c r="A281" s="6">
        <v>43418</v>
      </c>
      <c r="B281">
        <v>1998</v>
      </c>
      <c r="C281">
        <v>1728</v>
      </c>
      <c r="D281">
        <v>280</v>
      </c>
      <c r="E281">
        <v>8500</v>
      </c>
      <c r="F281" t="s">
        <v>25</v>
      </c>
      <c r="G281">
        <v>6</v>
      </c>
      <c r="H281" t="s">
        <v>68</v>
      </c>
      <c r="I281">
        <v>21</v>
      </c>
      <c r="J281" s="10">
        <f t="shared" si="4"/>
        <v>6</v>
      </c>
    </row>
    <row r="282" spans="1:10" x14ac:dyDescent="0.2">
      <c r="A282" s="6">
        <v>43378</v>
      </c>
      <c r="B282">
        <v>1998</v>
      </c>
      <c r="C282">
        <v>1728</v>
      </c>
      <c r="D282">
        <v>281</v>
      </c>
      <c r="E282">
        <v>9000</v>
      </c>
      <c r="F282" t="s">
        <v>25</v>
      </c>
      <c r="G282">
        <v>6</v>
      </c>
      <c r="H282" t="s">
        <v>68</v>
      </c>
      <c r="I282">
        <v>21</v>
      </c>
      <c r="J282" s="10">
        <f t="shared" si="4"/>
        <v>6</v>
      </c>
    </row>
    <row r="283" spans="1:10" x14ac:dyDescent="0.2">
      <c r="A283" s="6">
        <v>43283</v>
      </c>
      <c r="B283">
        <v>1999</v>
      </c>
      <c r="C283">
        <v>1728</v>
      </c>
      <c r="D283">
        <v>282</v>
      </c>
      <c r="E283">
        <v>10500</v>
      </c>
      <c r="F283" t="s">
        <v>25</v>
      </c>
      <c r="G283">
        <v>9</v>
      </c>
      <c r="H283" t="s">
        <v>68</v>
      </c>
      <c r="I283">
        <v>20</v>
      </c>
      <c r="J283" s="10">
        <f t="shared" si="4"/>
        <v>9</v>
      </c>
    </row>
    <row r="284" spans="1:10" x14ac:dyDescent="0.2">
      <c r="A284" s="6">
        <v>43105</v>
      </c>
      <c r="B284">
        <v>1998</v>
      </c>
      <c r="C284">
        <v>1728</v>
      </c>
      <c r="D284">
        <v>283</v>
      </c>
      <c r="E284">
        <v>8350</v>
      </c>
      <c r="F284" t="s">
        <v>25</v>
      </c>
      <c r="G284">
        <v>11</v>
      </c>
      <c r="H284" t="s">
        <v>68</v>
      </c>
      <c r="I284">
        <v>21</v>
      </c>
      <c r="J284" s="10">
        <f t="shared" si="4"/>
        <v>11</v>
      </c>
    </row>
    <row r="285" spans="1:10" x14ac:dyDescent="0.2">
      <c r="A285" s="6">
        <v>43080</v>
      </c>
      <c r="B285">
        <v>1998</v>
      </c>
      <c r="C285">
        <v>1728</v>
      </c>
      <c r="D285">
        <v>284</v>
      </c>
      <c r="E285">
        <v>8000</v>
      </c>
      <c r="F285" t="s">
        <v>25</v>
      </c>
      <c r="G285">
        <v>5</v>
      </c>
      <c r="H285" t="s">
        <v>68</v>
      </c>
      <c r="I285">
        <v>21</v>
      </c>
      <c r="J285" s="10">
        <f t="shared" si="4"/>
        <v>5</v>
      </c>
    </row>
    <row r="286" spans="1:10" x14ac:dyDescent="0.2">
      <c r="A286" s="6">
        <v>43049</v>
      </c>
      <c r="B286">
        <v>1998</v>
      </c>
      <c r="C286">
        <v>1728</v>
      </c>
      <c r="D286">
        <v>285</v>
      </c>
      <c r="E286">
        <v>8500</v>
      </c>
      <c r="F286" t="s">
        <v>25</v>
      </c>
      <c r="G286">
        <v>6</v>
      </c>
      <c r="H286" t="s">
        <v>68</v>
      </c>
      <c r="I286">
        <v>21</v>
      </c>
      <c r="J286" s="10">
        <f t="shared" si="4"/>
        <v>6</v>
      </c>
    </row>
    <row r="287" spans="1:10" x14ac:dyDescent="0.2">
      <c r="A287" s="6">
        <v>43045</v>
      </c>
      <c r="B287">
        <v>1999</v>
      </c>
      <c r="C287">
        <v>1728</v>
      </c>
      <c r="D287">
        <v>286</v>
      </c>
      <c r="E287">
        <v>8000</v>
      </c>
      <c r="F287" t="s">
        <v>25</v>
      </c>
      <c r="G287">
        <v>6</v>
      </c>
      <c r="H287" t="s">
        <v>68</v>
      </c>
      <c r="I287">
        <v>20</v>
      </c>
      <c r="J287" s="10">
        <f t="shared" si="4"/>
        <v>6</v>
      </c>
    </row>
    <row r="288" spans="1:10" x14ac:dyDescent="0.2">
      <c r="A288" s="6">
        <v>42895</v>
      </c>
      <c r="B288">
        <v>1999</v>
      </c>
      <c r="C288">
        <v>1728</v>
      </c>
      <c r="D288">
        <v>287</v>
      </c>
      <c r="E288">
        <v>6400</v>
      </c>
      <c r="F288" t="s">
        <v>25</v>
      </c>
      <c r="G288">
        <v>5</v>
      </c>
      <c r="H288" t="s">
        <v>68</v>
      </c>
      <c r="I288">
        <v>20</v>
      </c>
      <c r="J288" s="10">
        <f t="shared" si="4"/>
        <v>5</v>
      </c>
    </row>
    <row r="289" spans="1:10" x14ac:dyDescent="0.2">
      <c r="A289" s="6">
        <v>42884</v>
      </c>
      <c r="B289">
        <v>1997</v>
      </c>
      <c r="C289">
        <v>1728</v>
      </c>
      <c r="D289">
        <v>288</v>
      </c>
      <c r="E289">
        <v>6450</v>
      </c>
      <c r="F289" t="s">
        <v>25</v>
      </c>
      <c r="G289">
        <v>5</v>
      </c>
      <c r="H289" t="s">
        <v>68</v>
      </c>
      <c r="I289">
        <v>22</v>
      </c>
      <c r="J289" s="10">
        <f t="shared" si="4"/>
        <v>5</v>
      </c>
    </row>
    <row r="290" spans="1:10" x14ac:dyDescent="0.2">
      <c r="A290" s="6">
        <v>42877</v>
      </c>
      <c r="B290">
        <v>1998</v>
      </c>
      <c r="C290">
        <v>1728</v>
      </c>
      <c r="D290">
        <v>289</v>
      </c>
      <c r="E290">
        <v>6400</v>
      </c>
      <c r="F290" t="s">
        <v>25</v>
      </c>
      <c r="G290">
        <v>6</v>
      </c>
      <c r="H290" t="s">
        <v>68</v>
      </c>
      <c r="I290">
        <v>21</v>
      </c>
      <c r="J290" s="10">
        <f t="shared" si="4"/>
        <v>6</v>
      </c>
    </row>
    <row r="291" spans="1:10" x14ac:dyDescent="0.2">
      <c r="A291" s="6">
        <v>42867</v>
      </c>
      <c r="B291">
        <v>1998</v>
      </c>
      <c r="C291">
        <v>1728</v>
      </c>
      <c r="D291">
        <v>290</v>
      </c>
      <c r="E291">
        <v>6500</v>
      </c>
      <c r="F291" t="s">
        <v>25</v>
      </c>
      <c r="G291">
        <v>160</v>
      </c>
      <c r="H291" t="s">
        <v>26</v>
      </c>
      <c r="I291">
        <v>21</v>
      </c>
      <c r="J291" s="10">
        <f t="shared" si="4"/>
        <v>5</v>
      </c>
    </row>
    <row r="292" spans="1:10" x14ac:dyDescent="0.2">
      <c r="A292" s="6">
        <v>42807</v>
      </c>
      <c r="B292">
        <v>1997</v>
      </c>
      <c r="C292">
        <v>1728</v>
      </c>
      <c r="D292">
        <v>291</v>
      </c>
      <c r="E292">
        <v>6000</v>
      </c>
      <c r="F292" t="s">
        <v>25</v>
      </c>
      <c r="G292">
        <v>3</v>
      </c>
      <c r="H292" t="s">
        <v>68</v>
      </c>
      <c r="I292">
        <v>22</v>
      </c>
      <c r="J292" s="10">
        <f t="shared" si="4"/>
        <v>3</v>
      </c>
    </row>
    <row r="293" spans="1:10" x14ac:dyDescent="0.2">
      <c r="A293" s="6">
        <v>42723</v>
      </c>
      <c r="B293">
        <v>1998</v>
      </c>
      <c r="C293">
        <v>1728</v>
      </c>
      <c r="D293">
        <v>292</v>
      </c>
      <c r="E293">
        <v>5600</v>
      </c>
      <c r="F293" t="s">
        <v>25</v>
      </c>
      <c r="G293">
        <v>5</v>
      </c>
      <c r="H293" t="s">
        <v>68</v>
      </c>
      <c r="I293">
        <v>21</v>
      </c>
      <c r="J293" s="10">
        <f t="shared" si="4"/>
        <v>5</v>
      </c>
    </row>
    <row r="294" spans="1:10" x14ac:dyDescent="0.2">
      <c r="A294" s="6">
        <v>42712</v>
      </c>
      <c r="B294">
        <v>1996</v>
      </c>
      <c r="C294">
        <v>1728</v>
      </c>
      <c r="D294">
        <v>293</v>
      </c>
      <c r="E294">
        <v>5750</v>
      </c>
      <c r="F294" t="s">
        <v>25</v>
      </c>
      <c r="G294">
        <v>40</v>
      </c>
      <c r="H294" t="s">
        <v>26</v>
      </c>
      <c r="I294">
        <v>23</v>
      </c>
      <c r="J294" s="10">
        <f t="shared" si="4"/>
        <v>1</v>
      </c>
    </row>
    <row r="295" spans="1:10" x14ac:dyDescent="0.2">
      <c r="A295" s="6">
        <v>42675</v>
      </c>
      <c r="B295">
        <v>1998</v>
      </c>
      <c r="C295">
        <v>1728</v>
      </c>
      <c r="D295">
        <v>294</v>
      </c>
      <c r="E295">
        <v>6000</v>
      </c>
      <c r="F295" t="s">
        <v>25</v>
      </c>
      <c r="G295">
        <v>45</v>
      </c>
      <c r="H295" t="s">
        <v>26</v>
      </c>
      <c r="I295">
        <v>21</v>
      </c>
      <c r="J295" s="10">
        <f t="shared" si="4"/>
        <v>2</v>
      </c>
    </row>
    <row r="296" spans="1:10" x14ac:dyDescent="0.2">
      <c r="A296" s="6">
        <v>42656</v>
      </c>
      <c r="B296">
        <v>1996</v>
      </c>
      <c r="C296">
        <v>1728</v>
      </c>
      <c r="D296">
        <v>295</v>
      </c>
      <c r="E296">
        <v>6000</v>
      </c>
      <c r="F296" t="s">
        <v>25</v>
      </c>
      <c r="G296">
        <v>6</v>
      </c>
      <c r="H296" t="s">
        <v>68</v>
      </c>
      <c r="I296">
        <v>23</v>
      </c>
      <c r="J296" s="10">
        <f t="shared" si="4"/>
        <v>6</v>
      </c>
    </row>
    <row r="297" spans="1:10" x14ac:dyDescent="0.2">
      <c r="A297" s="6">
        <v>42643</v>
      </c>
      <c r="B297">
        <v>1999</v>
      </c>
      <c r="C297">
        <v>1728</v>
      </c>
      <c r="D297">
        <v>296</v>
      </c>
      <c r="E297">
        <v>6000</v>
      </c>
      <c r="F297" t="s">
        <v>25</v>
      </c>
      <c r="G297">
        <v>8</v>
      </c>
      <c r="H297" t="s">
        <v>68</v>
      </c>
      <c r="I297">
        <v>20</v>
      </c>
      <c r="J297" s="10">
        <f t="shared" si="4"/>
        <v>8</v>
      </c>
    </row>
    <row r="298" spans="1:10" x14ac:dyDescent="0.2">
      <c r="A298" s="6">
        <v>42643</v>
      </c>
      <c r="B298">
        <v>1997</v>
      </c>
      <c r="C298">
        <v>1728</v>
      </c>
      <c r="D298">
        <v>297</v>
      </c>
      <c r="E298">
        <v>5900</v>
      </c>
      <c r="F298" t="s">
        <v>25</v>
      </c>
      <c r="G298">
        <v>10</v>
      </c>
      <c r="H298" t="s">
        <v>68</v>
      </c>
      <c r="I298">
        <v>22</v>
      </c>
      <c r="J298" s="10">
        <f t="shared" si="4"/>
        <v>10</v>
      </c>
    </row>
    <row r="299" spans="1:10" x14ac:dyDescent="0.2">
      <c r="A299" s="6">
        <v>42640</v>
      </c>
      <c r="B299">
        <v>1998</v>
      </c>
      <c r="C299">
        <v>1728</v>
      </c>
      <c r="D299">
        <v>298</v>
      </c>
      <c r="E299">
        <v>5500</v>
      </c>
      <c r="F299" t="s">
        <v>25</v>
      </c>
      <c r="G299">
        <v>3</v>
      </c>
      <c r="H299" t="s">
        <v>68</v>
      </c>
      <c r="I299">
        <v>21</v>
      </c>
      <c r="J299" s="10">
        <f t="shared" si="4"/>
        <v>3</v>
      </c>
    </row>
    <row r="300" spans="1:10" x14ac:dyDescent="0.2">
      <c r="A300" s="6">
        <v>42559</v>
      </c>
      <c r="B300">
        <v>1997</v>
      </c>
      <c r="C300">
        <v>1728</v>
      </c>
      <c r="D300">
        <v>299</v>
      </c>
      <c r="E300">
        <v>6000</v>
      </c>
      <c r="F300" t="s">
        <v>25</v>
      </c>
      <c r="G300">
        <v>8</v>
      </c>
      <c r="H300" t="s">
        <v>68</v>
      </c>
      <c r="I300">
        <v>22</v>
      </c>
      <c r="J300" s="10">
        <f t="shared" si="4"/>
        <v>8</v>
      </c>
    </row>
    <row r="301" spans="1:10" x14ac:dyDescent="0.2">
      <c r="A301" s="6">
        <v>42559</v>
      </c>
      <c r="B301">
        <v>1996</v>
      </c>
      <c r="C301">
        <v>1728</v>
      </c>
      <c r="D301">
        <v>300</v>
      </c>
      <c r="E301">
        <v>6000</v>
      </c>
      <c r="F301" t="s">
        <v>25</v>
      </c>
      <c r="G301">
        <v>4</v>
      </c>
      <c r="H301" t="s">
        <v>68</v>
      </c>
      <c r="I301">
        <v>23</v>
      </c>
      <c r="J301" s="10">
        <f t="shared" si="4"/>
        <v>4</v>
      </c>
    </row>
    <row r="302" spans="1:10" x14ac:dyDescent="0.2">
      <c r="A302" s="6">
        <v>42505</v>
      </c>
      <c r="B302">
        <v>1998</v>
      </c>
      <c r="C302">
        <v>1728</v>
      </c>
      <c r="D302">
        <v>301</v>
      </c>
      <c r="E302">
        <v>5800</v>
      </c>
      <c r="F302" t="s">
        <v>25</v>
      </c>
      <c r="G302">
        <v>160</v>
      </c>
      <c r="H302" t="s">
        <v>26</v>
      </c>
      <c r="I302">
        <v>21</v>
      </c>
      <c r="J302" s="10">
        <f t="shared" si="4"/>
        <v>5</v>
      </c>
    </row>
    <row r="303" spans="1:10" x14ac:dyDescent="0.2">
      <c r="A303" s="6">
        <v>42501</v>
      </c>
      <c r="B303">
        <v>1996</v>
      </c>
      <c r="C303">
        <v>1728</v>
      </c>
      <c r="D303">
        <v>302</v>
      </c>
      <c r="E303">
        <v>5700</v>
      </c>
      <c r="F303" t="s">
        <v>25</v>
      </c>
      <c r="G303">
        <v>4</v>
      </c>
      <c r="H303" t="s">
        <v>68</v>
      </c>
      <c r="I303">
        <v>23</v>
      </c>
      <c r="J303" s="10">
        <f t="shared" si="4"/>
        <v>4</v>
      </c>
    </row>
    <row r="304" spans="1:10" x14ac:dyDescent="0.2">
      <c r="A304" s="6">
        <v>42493</v>
      </c>
      <c r="B304">
        <v>1998</v>
      </c>
      <c r="C304">
        <v>1728</v>
      </c>
      <c r="D304">
        <v>303</v>
      </c>
      <c r="E304">
        <v>5500</v>
      </c>
      <c r="F304" t="s">
        <v>25</v>
      </c>
      <c r="G304">
        <v>5</v>
      </c>
      <c r="H304" t="s">
        <v>68</v>
      </c>
      <c r="I304">
        <v>21</v>
      </c>
      <c r="J304" s="10">
        <f t="shared" si="4"/>
        <v>5</v>
      </c>
    </row>
    <row r="305" spans="1:10" x14ac:dyDescent="0.2">
      <c r="A305" s="6">
        <v>42480</v>
      </c>
      <c r="B305">
        <v>1997</v>
      </c>
      <c r="C305">
        <v>1728</v>
      </c>
      <c r="D305">
        <v>304</v>
      </c>
      <c r="E305">
        <v>5800</v>
      </c>
      <c r="F305" t="s">
        <v>25</v>
      </c>
      <c r="G305">
        <v>70</v>
      </c>
      <c r="H305" t="s">
        <v>26</v>
      </c>
      <c r="I305">
        <v>22</v>
      </c>
      <c r="J305" s="10">
        <f t="shared" si="4"/>
        <v>2</v>
      </c>
    </row>
    <row r="306" spans="1:10" x14ac:dyDescent="0.2">
      <c r="A306" s="6">
        <v>42478</v>
      </c>
      <c r="B306">
        <v>1996</v>
      </c>
      <c r="C306">
        <v>1728</v>
      </c>
      <c r="D306">
        <v>305</v>
      </c>
      <c r="E306">
        <v>6000</v>
      </c>
      <c r="F306" t="s">
        <v>25</v>
      </c>
      <c r="G306">
        <v>60</v>
      </c>
      <c r="H306" t="s">
        <v>26</v>
      </c>
      <c r="I306">
        <v>23</v>
      </c>
      <c r="J306" s="10">
        <f t="shared" si="4"/>
        <v>2</v>
      </c>
    </row>
    <row r="307" spans="1:10" x14ac:dyDescent="0.2">
      <c r="A307" s="6">
        <v>42438</v>
      </c>
      <c r="B307">
        <v>1996</v>
      </c>
      <c r="C307">
        <v>1728</v>
      </c>
      <c r="D307">
        <v>306</v>
      </c>
      <c r="E307">
        <v>5800</v>
      </c>
      <c r="F307" t="s">
        <v>25</v>
      </c>
      <c r="G307">
        <v>9</v>
      </c>
      <c r="H307" t="s">
        <v>68</v>
      </c>
      <c r="I307">
        <v>23</v>
      </c>
      <c r="J307" s="10">
        <f t="shared" si="4"/>
        <v>9</v>
      </c>
    </row>
    <row r="308" spans="1:10" x14ac:dyDescent="0.2">
      <c r="A308" s="6">
        <v>42416</v>
      </c>
      <c r="B308">
        <v>1998</v>
      </c>
      <c r="C308">
        <v>1728</v>
      </c>
      <c r="D308">
        <v>307</v>
      </c>
      <c r="E308">
        <v>6500</v>
      </c>
      <c r="F308" t="s">
        <v>25</v>
      </c>
      <c r="G308">
        <v>7</v>
      </c>
      <c r="H308" t="s">
        <v>68</v>
      </c>
      <c r="I308">
        <v>21</v>
      </c>
      <c r="J308" s="10">
        <f t="shared" si="4"/>
        <v>7</v>
      </c>
    </row>
    <row r="309" spans="1:10" x14ac:dyDescent="0.2">
      <c r="A309" s="6">
        <v>42409</v>
      </c>
      <c r="B309">
        <v>1997</v>
      </c>
      <c r="C309">
        <v>1728</v>
      </c>
      <c r="D309">
        <v>308</v>
      </c>
      <c r="E309">
        <v>6900</v>
      </c>
      <c r="F309" t="s">
        <v>25</v>
      </c>
      <c r="G309">
        <v>80</v>
      </c>
      <c r="H309" t="s">
        <v>26</v>
      </c>
      <c r="I309">
        <v>22</v>
      </c>
      <c r="J309" s="10">
        <f t="shared" si="4"/>
        <v>3</v>
      </c>
    </row>
    <row r="310" spans="1:10" x14ac:dyDescent="0.2">
      <c r="A310" s="6">
        <v>42408</v>
      </c>
      <c r="B310">
        <v>1996</v>
      </c>
      <c r="C310">
        <v>1728</v>
      </c>
      <c r="D310">
        <v>309</v>
      </c>
      <c r="E310">
        <v>6250</v>
      </c>
      <c r="F310" t="s">
        <v>25</v>
      </c>
      <c r="G310">
        <v>30</v>
      </c>
      <c r="H310" t="s">
        <v>26</v>
      </c>
      <c r="I310">
        <v>23</v>
      </c>
      <c r="J310" s="10">
        <f t="shared" si="4"/>
        <v>1</v>
      </c>
    </row>
    <row r="311" spans="1:10" x14ac:dyDescent="0.2">
      <c r="A311" s="6">
        <v>43566</v>
      </c>
      <c r="B311">
        <v>1999</v>
      </c>
      <c r="C311">
        <v>1730</v>
      </c>
      <c r="D311">
        <v>310</v>
      </c>
      <c r="E311">
        <v>7250</v>
      </c>
      <c r="F311" t="s">
        <v>25</v>
      </c>
      <c r="G311">
        <v>2</v>
      </c>
      <c r="H311" t="s">
        <v>68</v>
      </c>
      <c r="I311">
        <v>20</v>
      </c>
      <c r="J311" s="10">
        <f t="shared" si="4"/>
        <v>2</v>
      </c>
    </row>
    <row r="312" spans="1:10" x14ac:dyDescent="0.2">
      <c r="A312" s="6">
        <v>43523</v>
      </c>
      <c r="B312">
        <v>1998</v>
      </c>
      <c r="C312">
        <v>1730</v>
      </c>
      <c r="D312">
        <v>311</v>
      </c>
      <c r="E312">
        <v>7000</v>
      </c>
      <c r="F312" t="s">
        <v>25</v>
      </c>
      <c r="G312">
        <v>7</v>
      </c>
      <c r="H312" t="s">
        <v>68</v>
      </c>
      <c r="I312">
        <v>21</v>
      </c>
      <c r="J312" s="10">
        <f t="shared" si="4"/>
        <v>7</v>
      </c>
    </row>
    <row r="313" spans="1:10" x14ac:dyDescent="0.2">
      <c r="A313" s="6">
        <v>43444</v>
      </c>
      <c r="B313">
        <v>1999</v>
      </c>
      <c r="C313">
        <v>1730</v>
      </c>
      <c r="D313">
        <v>312</v>
      </c>
      <c r="E313">
        <v>6300</v>
      </c>
      <c r="F313" t="s">
        <v>25</v>
      </c>
      <c r="G313">
        <v>4</v>
      </c>
      <c r="H313" t="s">
        <v>68</v>
      </c>
      <c r="I313">
        <v>20</v>
      </c>
      <c r="J313" s="10">
        <f t="shared" si="4"/>
        <v>4</v>
      </c>
    </row>
    <row r="314" spans="1:10" x14ac:dyDescent="0.2">
      <c r="A314" s="6">
        <v>43202</v>
      </c>
      <c r="B314">
        <v>1996</v>
      </c>
      <c r="C314">
        <v>1730</v>
      </c>
      <c r="D314">
        <v>313</v>
      </c>
      <c r="E314">
        <v>10350</v>
      </c>
      <c r="F314" t="s">
        <v>25</v>
      </c>
      <c r="G314">
        <v>6</v>
      </c>
      <c r="H314" t="s">
        <v>68</v>
      </c>
      <c r="I314">
        <v>23</v>
      </c>
      <c r="J314" s="10">
        <f t="shared" si="4"/>
        <v>6</v>
      </c>
    </row>
    <row r="315" spans="1:10" x14ac:dyDescent="0.2">
      <c r="A315" s="6">
        <v>43201</v>
      </c>
      <c r="B315">
        <v>1998</v>
      </c>
      <c r="C315">
        <v>1730</v>
      </c>
      <c r="D315">
        <v>314</v>
      </c>
      <c r="E315">
        <v>10350</v>
      </c>
      <c r="F315" t="s">
        <v>25</v>
      </c>
      <c r="G315">
        <v>12</v>
      </c>
      <c r="H315" t="s">
        <v>68</v>
      </c>
      <c r="I315">
        <v>21</v>
      </c>
      <c r="J315" s="10">
        <f t="shared" si="4"/>
        <v>12</v>
      </c>
    </row>
    <row r="316" spans="1:10" x14ac:dyDescent="0.2">
      <c r="A316" s="6">
        <v>43028</v>
      </c>
      <c r="B316">
        <v>1999</v>
      </c>
      <c r="C316">
        <v>1730</v>
      </c>
      <c r="D316">
        <v>315</v>
      </c>
      <c r="E316">
        <v>8000</v>
      </c>
      <c r="F316" t="s">
        <v>25</v>
      </c>
      <c r="G316">
        <v>7</v>
      </c>
      <c r="H316" t="s">
        <v>68</v>
      </c>
      <c r="I316">
        <v>20</v>
      </c>
      <c r="J316" s="10">
        <f t="shared" si="4"/>
        <v>7</v>
      </c>
    </row>
    <row r="317" spans="1:10" x14ac:dyDescent="0.2">
      <c r="A317" s="6">
        <v>43019</v>
      </c>
      <c r="B317">
        <v>1996</v>
      </c>
      <c r="C317">
        <v>1730</v>
      </c>
      <c r="D317">
        <v>316</v>
      </c>
      <c r="E317">
        <v>7900</v>
      </c>
      <c r="F317" t="s">
        <v>25</v>
      </c>
      <c r="G317">
        <v>6</v>
      </c>
      <c r="H317" t="s">
        <v>68</v>
      </c>
      <c r="I317">
        <v>23</v>
      </c>
      <c r="J317" s="10">
        <f t="shared" si="4"/>
        <v>6</v>
      </c>
    </row>
    <row r="318" spans="1:10" x14ac:dyDescent="0.2">
      <c r="A318" s="6">
        <v>42912</v>
      </c>
      <c r="B318">
        <v>1998</v>
      </c>
      <c r="C318">
        <v>1730</v>
      </c>
      <c r="D318">
        <v>317</v>
      </c>
      <c r="E318">
        <v>7100</v>
      </c>
      <c r="F318" t="s">
        <v>25</v>
      </c>
      <c r="G318">
        <v>8</v>
      </c>
      <c r="H318" t="s">
        <v>68</v>
      </c>
      <c r="I318">
        <v>21</v>
      </c>
      <c r="J318" s="10">
        <f t="shared" si="4"/>
        <v>8</v>
      </c>
    </row>
    <row r="319" spans="1:10" x14ac:dyDescent="0.2">
      <c r="A319" s="6">
        <v>42900</v>
      </c>
      <c r="B319">
        <v>1999</v>
      </c>
      <c r="C319">
        <v>1730</v>
      </c>
      <c r="D319">
        <v>318</v>
      </c>
      <c r="E319">
        <v>6750</v>
      </c>
      <c r="F319" t="s">
        <v>25</v>
      </c>
      <c r="G319">
        <v>35</v>
      </c>
      <c r="H319" t="s">
        <v>26</v>
      </c>
      <c r="I319">
        <v>20</v>
      </c>
      <c r="J319" s="10">
        <f t="shared" si="4"/>
        <v>1</v>
      </c>
    </row>
    <row r="320" spans="1:10" x14ac:dyDescent="0.2">
      <c r="A320" s="6">
        <v>42874</v>
      </c>
      <c r="B320">
        <v>1996</v>
      </c>
      <c r="C320">
        <v>1730</v>
      </c>
      <c r="D320">
        <v>319</v>
      </c>
      <c r="E320">
        <v>6300</v>
      </c>
      <c r="F320" t="s">
        <v>25</v>
      </c>
      <c r="G320">
        <v>5</v>
      </c>
      <c r="H320" t="s">
        <v>68</v>
      </c>
      <c r="I320">
        <v>23</v>
      </c>
      <c r="J320" s="10">
        <f t="shared" si="4"/>
        <v>5</v>
      </c>
    </row>
    <row r="321" spans="1:10" x14ac:dyDescent="0.2">
      <c r="A321" s="6">
        <v>42846</v>
      </c>
      <c r="B321">
        <v>1999</v>
      </c>
      <c r="C321">
        <v>1730</v>
      </c>
      <c r="D321">
        <v>320</v>
      </c>
      <c r="E321">
        <v>7000</v>
      </c>
      <c r="F321" t="s">
        <v>25</v>
      </c>
      <c r="G321">
        <v>45</v>
      </c>
      <c r="H321" t="s">
        <v>26</v>
      </c>
      <c r="I321">
        <v>20</v>
      </c>
      <c r="J321" s="10">
        <f t="shared" si="4"/>
        <v>2</v>
      </c>
    </row>
    <row r="322" spans="1:10" x14ac:dyDescent="0.2">
      <c r="A322" s="6">
        <v>42774</v>
      </c>
      <c r="B322">
        <v>1999</v>
      </c>
      <c r="C322">
        <v>1730</v>
      </c>
      <c r="D322">
        <v>321</v>
      </c>
      <c r="E322">
        <v>6000</v>
      </c>
      <c r="F322" t="s">
        <v>25</v>
      </c>
      <c r="G322">
        <v>4</v>
      </c>
      <c r="H322" t="s">
        <v>68</v>
      </c>
      <c r="I322">
        <v>20</v>
      </c>
      <c r="J322" s="10">
        <f t="shared" ref="J322:J385" si="5">IF(H322="days",ROUND(G322/30,0),IF(H322="years",G322*12,G322))</f>
        <v>4</v>
      </c>
    </row>
    <row r="323" spans="1:10" x14ac:dyDescent="0.2">
      <c r="A323" s="6">
        <v>42773</v>
      </c>
      <c r="B323">
        <v>1996</v>
      </c>
      <c r="C323">
        <v>1730</v>
      </c>
      <c r="D323">
        <v>322</v>
      </c>
      <c r="E323">
        <v>6000</v>
      </c>
      <c r="F323" t="s">
        <v>25</v>
      </c>
      <c r="G323">
        <v>5</v>
      </c>
      <c r="H323" t="s">
        <v>68</v>
      </c>
      <c r="I323">
        <v>23</v>
      </c>
      <c r="J323" s="10">
        <f t="shared" si="5"/>
        <v>5</v>
      </c>
    </row>
    <row r="324" spans="1:10" x14ac:dyDescent="0.2">
      <c r="A324" s="6">
        <v>42772</v>
      </c>
      <c r="B324">
        <v>1996</v>
      </c>
      <c r="C324">
        <v>1730</v>
      </c>
      <c r="D324">
        <v>323</v>
      </c>
      <c r="E324">
        <v>5500</v>
      </c>
      <c r="F324" t="s">
        <v>25</v>
      </c>
      <c r="G324">
        <v>12</v>
      </c>
      <c r="H324" t="s">
        <v>68</v>
      </c>
      <c r="I324">
        <v>23</v>
      </c>
      <c r="J324" s="10">
        <f t="shared" si="5"/>
        <v>12</v>
      </c>
    </row>
    <row r="325" spans="1:10" x14ac:dyDescent="0.2">
      <c r="A325" s="6">
        <v>42705</v>
      </c>
      <c r="B325">
        <v>1996</v>
      </c>
      <c r="C325">
        <v>1730</v>
      </c>
      <c r="D325">
        <v>324</v>
      </c>
      <c r="E325">
        <v>6000</v>
      </c>
      <c r="F325" t="s">
        <v>25</v>
      </c>
      <c r="G325">
        <v>40</v>
      </c>
      <c r="H325" t="s">
        <v>26</v>
      </c>
      <c r="I325">
        <v>23</v>
      </c>
      <c r="J325" s="10">
        <f t="shared" si="5"/>
        <v>1</v>
      </c>
    </row>
    <row r="326" spans="1:10" x14ac:dyDescent="0.2">
      <c r="A326" s="6">
        <v>42704</v>
      </c>
      <c r="B326">
        <v>1999</v>
      </c>
      <c r="C326">
        <v>1730</v>
      </c>
      <c r="D326">
        <v>325</v>
      </c>
      <c r="E326">
        <v>6000</v>
      </c>
      <c r="F326" t="s">
        <v>25</v>
      </c>
      <c r="G326">
        <v>12</v>
      </c>
      <c r="H326" t="s">
        <v>68</v>
      </c>
      <c r="I326">
        <v>20</v>
      </c>
      <c r="J326" s="10">
        <f t="shared" si="5"/>
        <v>12</v>
      </c>
    </row>
    <row r="327" spans="1:10" x14ac:dyDescent="0.2">
      <c r="A327" s="6">
        <v>42656</v>
      </c>
      <c r="B327">
        <v>1996</v>
      </c>
      <c r="C327">
        <v>1730</v>
      </c>
      <c r="D327">
        <v>326</v>
      </c>
      <c r="E327">
        <v>6000</v>
      </c>
      <c r="F327" t="s">
        <v>25</v>
      </c>
      <c r="G327">
        <v>6</v>
      </c>
      <c r="H327" t="s">
        <v>68</v>
      </c>
      <c r="I327">
        <v>23</v>
      </c>
      <c r="J327" s="10">
        <f t="shared" si="5"/>
        <v>6</v>
      </c>
    </row>
    <row r="328" spans="1:10" x14ac:dyDescent="0.2">
      <c r="A328" s="6">
        <v>42618</v>
      </c>
      <c r="B328">
        <v>1998</v>
      </c>
      <c r="C328">
        <v>1730</v>
      </c>
      <c r="D328">
        <v>327</v>
      </c>
      <c r="E328">
        <v>6500</v>
      </c>
      <c r="F328" t="s">
        <v>25</v>
      </c>
      <c r="G328">
        <v>5</v>
      </c>
      <c r="H328" t="s">
        <v>68</v>
      </c>
      <c r="I328">
        <v>21</v>
      </c>
      <c r="J328" s="10">
        <f t="shared" si="5"/>
        <v>5</v>
      </c>
    </row>
    <row r="329" spans="1:10" x14ac:dyDescent="0.2">
      <c r="A329" s="6">
        <v>42612</v>
      </c>
      <c r="B329">
        <v>1996</v>
      </c>
      <c r="C329">
        <v>1730</v>
      </c>
      <c r="D329">
        <v>328</v>
      </c>
      <c r="E329">
        <v>6000</v>
      </c>
      <c r="F329" t="s">
        <v>25</v>
      </c>
      <c r="G329">
        <v>9</v>
      </c>
      <c r="H329" t="s">
        <v>68</v>
      </c>
      <c r="I329">
        <v>23</v>
      </c>
      <c r="J329" s="10">
        <f t="shared" si="5"/>
        <v>9</v>
      </c>
    </row>
    <row r="330" spans="1:10" x14ac:dyDescent="0.2">
      <c r="A330" s="6">
        <v>42578</v>
      </c>
      <c r="B330">
        <v>1997</v>
      </c>
      <c r="C330">
        <v>1730</v>
      </c>
      <c r="D330">
        <v>329</v>
      </c>
      <c r="E330">
        <v>7000</v>
      </c>
      <c r="F330" t="s">
        <v>25</v>
      </c>
      <c r="G330">
        <v>9</v>
      </c>
      <c r="H330" t="s">
        <v>68</v>
      </c>
      <c r="I330">
        <v>22</v>
      </c>
      <c r="J330" s="10">
        <f t="shared" si="5"/>
        <v>9</v>
      </c>
    </row>
    <row r="331" spans="1:10" x14ac:dyDescent="0.2">
      <c r="A331" s="6">
        <v>42552</v>
      </c>
      <c r="B331">
        <v>1999</v>
      </c>
      <c r="C331">
        <v>1730</v>
      </c>
      <c r="D331">
        <v>330</v>
      </c>
      <c r="E331">
        <v>6000</v>
      </c>
      <c r="F331" t="s">
        <v>25</v>
      </c>
      <c r="G331">
        <v>9</v>
      </c>
      <c r="H331" t="s">
        <v>68</v>
      </c>
      <c r="I331">
        <v>20</v>
      </c>
      <c r="J331" s="10">
        <f t="shared" si="5"/>
        <v>9</v>
      </c>
    </row>
    <row r="332" spans="1:10" x14ac:dyDescent="0.2">
      <c r="A332" s="6">
        <v>42515</v>
      </c>
      <c r="B332">
        <v>1998</v>
      </c>
      <c r="C332">
        <v>1730</v>
      </c>
      <c r="D332">
        <v>331</v>
      </c>
      <c r="E332">
        <v>7800</v>
      </c>
      <c r="F332" t="s">
        <v>25</v>
      </c>
      <c r="G332">
        <v>6</v>
      </c>
      <c r="H332" t="s">
        <v>68</v>
      </c>
      <c r="I332">
        <v>21</v>
      </c>
      <c r="J332" s="10">
        <f t="shared" si="5"/>
        <v>6</v>
      </c>
    </row>
    <row r="333" spans="1:10" x14ac:dyDescent="0.2">
      <c r="A333" s="6">
        <v>42478</v>
      </c>
      <c r="B333">
        <v>1999</v>
      </c>
      <c r="C333">
        <v>1730</v>
      </c>
      <c r="D333">
        <v>332</v>
      </c>
      <c r="E333">
        <v>5750</v>
      </c>
      <c r="F333" t="s">
        <v>25</v>
      </c>
      <c r="G333">
        <v>7</v>
      </c>
      <c r="H333" t="s">
        <v>68</v>
      </c>
      <c r="I333">
        <v>20</v>
      </c>
      <c r="J333" s="10">
        <f t="shared" si="5"/>
        <v>7</v>
      </c>
    </row>
    <row r="334" spans="1:10" x14ac:dyDescent="0.2">
      <c r="A334" s="6">
        <v>42419</v>
      </c>
      <c r="B334">
        <v>1999</v>
      </c>
      <c r="C334">
        <v>1730</v>
      </c>
      <c r="D334">
        <v>333</v>
      </c>
      <c r="E334">
        <v>6500</v>
      </c>
      <c r="F334" t="s">
        <v>25</v>
      </c>
      <c r="G334">
        <v>8</v>
      </c>
      <c r="H334" t="s">
        <v>68</v>
      </c>
      <c r="I334">
        <v>20</v>
      </c>
      <c r="J334" s="10">
        <f t="shared" si="5"/>
        <v>8</v>
      </c>
    </row>
    <row r="335" spans="1:10" x14ac:dyDescent="0.2">
      <c r="A335" s="6">
        <v>42396</v>
      </c>
      <c r="B335">
        <v>1997</v>
      </c>
      <c r="C335">
        <v>1730</v>
      </c>
      <c r="D335">
        <v>334</v>
      </c>
      <c r="E335">
        <v>6500</v>
      </c>
      <c r="F335" t="s">
        <v>25</v>
      </c>
      <c r="G335">
        <v>6</v>
      </c>
      <c r="H335" t="s">
        <v>68</v>
      </c>
      <c r="I335">
        <v>22</v>
      </c>
      <c r="J335" s="10">
        <f t="shared" si="5"/>
        <v>6</v>
      </c>
    </row>
    <row r="336" spans="1:10" x14ac:dyDescent="0.2">
      <c r="A336" s="6">
        <v>43508</v>
      </c>
      <c r="B336">
        <v>1999</v>
      </c>
      <c r="C336">
        <v>1732</v>
      </c>
      <c r="D336">
        <v>335</v>
      </c>
      <c r="E336">
        <v>6700</v>
      </c>
      <c r="F336" t="s">
        <v>25</v>
      </c>
      <c r="G336">
        <v>12</v>
      </c>
      <c r="H336" t="s">
        <v>68</v>
      </c>
      <c r="I336">
        <v>20</v>
      </c>
      <c r="J336" s="10">
        <f t="shared" si="5"/>
        <v>12</v>
      </c>
    </row>
    <row r="337" spans="1:10" x14ac:dyDescent="0.2">
      <c r="A337" s="6">
        <v>43216</v>
      </c>
      <c r="B337">
        <v>1999</v>
      </c>
      <c r="C337">
        <v>1732</v>
      </c>
      <c r="D337">
        <v>336</v>
      </c>
      <c r="E337">
        <v>10500</v>
      </c>
      <c r="F337" t="s">
        <v>25</v>
      </c>
      <c r="G337">
        <v>6</v>
      </c>
      <c r="H337" t="s">
        <v>68</v>
      </c>
      <c r="I337">
        <v>20</v>
      </c>
      <c r="J337" s="10">
        <f t="shared" si="5"/>
        <v>6</v>
      </c>
    </row>
    <row r="338" spans="1:10" x14ac:dyDescent="0.2">
      <c r="A338" s="6">
        <v>42948</v>
      </c>
      <c r="B338">
        <v>1999</v>
      </c>
      <c r="C338">
        <v>1732</v>
      </c>
      <c r="D338">
        <v>337</v>
      </c>
      <c r="E338">
        <v>7000</v>
      </c>
      <c r="F338" t="s">
        <v>25</v>
      </c>
      <c r="G338">
        <v>8</v>
      </c>
      <c r="H338" t="s">
        <v>68</v>
      </c>
      <c r="I338">
        <v>20</v>
      </c>
      <c r="J338" s="10">
        <f t="shared" si="5"/>
        <v>8</v>
      </c>
    </row>
    <row r="339" spans="1:10" x14ac:dyDescent="0.2">
      <c r="A339" s="6">
        <v>42800</v>
      </c>
      <c r="B339">
        <v>1999</v>
      </c>
      <c r="C339">
        <v>1732</v>
      </c>
      <c r="D339">
        <v>338</v>
      </c>
      <c r="E339">
        <v>6500</v>
      </c>
      <c r="F339" t="s">
        <v>25</v>
      </c>
      <c r="G339">
        <v>6</v>
      </c>
      <c r="H339" t="s">
        <v>68</v>
      </c>
      <c r="I339">
        <v>20</v>
      </c>
      <c r="J339" s="10">
        <f t="shared" si="5"/>
        <v>6</v>
      </c>
    </row>
    <row r="340" spans="1:10" x14ac:dyDescent="0.2">
      <c r="A340" s="6">
        <v>42388</v>
      </c>
      <c r="B340">
        <v>1992</v>
      </c>
      <c r="C340">
        <v>1742</v>
      </c>
      <c r="D340">
        <v>339</v>
      </c>
      <c r="E340">
        <v>6500</v>
      </c>
      <c r="F340" t="s">
        <v>25</v>
      </c>
      <c r="G340">
        <v>6</v>
      </c>
      <c r="H340" t="s">
        <v>68</v>
      </c>
      <c r="I340">
        <v>27</v>
      </c>
      <c r="J340" s="10">
        <f t="shared" si="5"/>
        <v>6</v>
      </c>
    </row>
    <row r="341" spans="1:10" x14ac:dyDescent="0.2">
      <c r="A341" s="6">
        <v>43266</v>
      </c>
      <c r="B341">
        <v>1998</v>
      </c>
      <c r="C341">
        <v>1748</v>
      </c>
      <c r="D341">
        <v>340</v>
      </c>
      <c r="E341">
        <v>10150</v>
      </c>
      <c r="F341" t="s">
        <v>25</v>
      </c>
      <c r="G341">
        <v>6</v>
      </c>
      <c r="H341" t="s">
        <v>68</v>
      </c>
      <c r="I341">
        <v>21</v>
      </c>
      <c r="J341" s="10">
        <f t="shared" si="5"/>
        <v>6</v>
      </c>
    </row>
    <row r="342" spans="1:10" x14ac:dyDescent="0.2">
      <c r="A342" s="6">
        <v>43185</v>
      </c>
      <c r="B342">
        <v>1998</v>
      </c>
      <c r="C342">
        <v>1748</v>
      </c>
      <c r="D342">
        <v>341</v>
      </c>
      <c r="E342">
        <v>9450</v>
      </c>
      <c r="F342" t="s">
        <v>25</v>
      </c>
      <c r="G342">
        <v>2</v>
      </c>
      <c r="H342" t="s">
        <v>68</v>
      </c>
      <c r="I342">
        <v>21</v>
      </c>
      <c r="J342" s="10">
        <f t="shared" si="5"/>
        <v>2</v>
      </c>
    </row>
    <row r="343" spans="1:10" x14ac:dyDescent="0.2">
      <c r="A343" s="6">
        <v>43070</v>
      </c>
      <c r="B343">
        <v>1998</v>
      </c>
      <c r="C343">
        <v>1748</v>
      </c>
      <c r="D343">
        <v>342</v>
      </c>
      <c r="E343">
        <v>7500</v>
      </c>
      <c r="F343" t="s">
        <v>25</v>
      </c>
      <c r="G343">
        <v>12</v>
      </c>
      <c r="H343" t="s">
        <v>68</v>
      </c>
      <c r="I343">
        <v>21</v>
      </c>
      <c r="J343" s="10">
        <f t="shared" si="5"/>
        <v>12</v>
      </c>
    </row>
    <row r="344" spans="1:10" x14ac:dyDescent="0.2">
      <c r="A344" s="6">
        <v>42508</v>
      </c>
      <c r="B344">
        <v>1998</v>
      </c>
      <c r="C344">
        <v>1748</v>
      </c>
      <c r="D344">
        <v>343</v>
      </c>
      <c r="E344">
        <v>6000</v>
      </c>
      <c r="F344" t="s">
        <v>25</v>
      </c>
      <c r="G344">
        <v>90</v>
      </c>
      <c r="H344" t="s">
        <v>26</v>
      </c>
      <c r="I344">
        <v>21</v>
      </c>
      <c r="J344" s="10">
        <f t="shared" si="5"/>
        <v>3</v>
      </c>
    </row>
    <row r="345" spans="1:10" x14ac:dyDescent="0.2">
      <c r="A345" s="6">
        <v>43290</v>
      </c>
      <c r="B345">
        <v>1997</v>
      </c>
      <c r="C345">
        <v>1900</v>
      </c>
      <c r="D345">
        <v>344</v>
      </c>
      <c r="E345">
        <v>8800</v>
      </c>
      <c r="F345" t="s">
        <v>25</v>
      </c>
      <c r="G345">
        <v>3</v>
      </c>
      <c r="H345" t="s">
        <v>68</v>
      </c>
      <c r="I345">
        <v>22</v>
      </c>
      <c r="J345" s="10">
        <f t="shared" si="5"/>
        <v>3</v>
      </c>
    </row>
    <row r="346" spans="1:10" x14ac:dyDescent="0.2">
      <c r="A346" s="6">
        <v>43508</v>
      </c>
      <c r="B346">
        <v>1998</v>
      </c>
      <c r="C346">
        <v>2008</v>
      </c>
      <c r="D346">
        <v>345</v>
      </c>
      <c r="E346">
        <v>7500</v>
      </c>
      <c r="F346" t="s">
        <v>25</v>
      </c>
      <c r="G346">
        <v>7</v>
      </c>
      <c r="H346" t="s">
        <v>68</v>
      </c>
      <c r="I346">
        <v>21</v>
      </c>
      <c r="J346" s="10">
        <f t="shared" si="5"/>
        <v>7</v>
      </c>
    </row>
    <row r="347" spans="1:10" x14ac:dyDescent="0.2">
      <c r="A347" s="6">
        <v>42920</v>
      </c>
      <c r="B347">
        <v>1998</v>
      </c>
      <c r="C347">
        <v>2008</v>
      </c>
      <c r="D347">
        <v>346</v>
      </c>
      <c r="E347">
        <v>7750</v>
      </c>
      <c r="F347" t="s">
        <v>25</v>
      </c>
      <c r="G347">
        <v>10</v>
      </c>
      <c r="H347" t="s">
        <v>68</v>
      </c>
      <c r="I347">
        <v>21</v>
      </c>
      <c r="J347" s="10">
        <f t="shared" si="5"/>
        <v>10</v>
      </c>
    </row>
    <row r="348" spans="1:10" x14ac:dyDescent="0.2">
      <c r="A348" s="6">
        <v>42895</v>
      </c>
      <c r="B348">
        <v>1998</v>
      </c>
      <c r="C348">
        <v>2008</v>
      </c>
      <c r="D348">
        <v>347</v>
      </c>
      <c r="E348">
        <v>8000</v>
      </c>
      <c r="F348" t="s">
        <v>25</v>
      </c>
      <c r="G348">
        <v>30</v>
      </c>
      <c r="H348" t="s">
        <v>26</v>
      </c>
      <c r="I348">
        <v>21</v>
      </c>
      <c r="J348" s="10">
        <f t="shared" si="5"/>
        <v>1</v>
      </c>
    </row>
    <row r="349" spans="1:10" x14ac:dyDescent="0.2">
      <c r="A349" s="6">
        <v>42739</v>
      </c>
      <c r="B349">
        <v>1998</v>
      </c>
      <c r="C349">
        <v>2008</v>
      </c>
      <c r="D349">
        <v>348</v>
      </c>
      <c r="E349">
        <v>6000</v>
      </c>
      <c r="F349" t="s">
        <v>25</v>
      </c>
      <c r="G349">
        <v>6</v>
      </c>
      <c r="H349" t="s">
        <v>68</v>
      </c>
      <c r="I349">
        <v>21</v>
      </c>
      <c r="J349" s="10">
        <f t="shared" si="5"/>
        <v>6</v>
      </c>
    </row>
    <row r="350" spans="1:10" x14ac:dyDescent="0.2">
      <c r="A350" s="6">
        <v>42491</v>
      </c>
      <c r="B350">
        <v>1998</v>
      </c>
      <c r="C350">
        <v>2008</v>
      </c>
      <c r="D350">
        <v>349</v>
      </c>
      <c r="E350">
        <v>7500</v>
      </c>
      <c r="F350" t="s">
        <v>25</v>
      </c>
      <c r="G350">
        <v>13</v>
      </c>
      <c r="H350" t="s">
        <v>68</v>
      </c>
      <c r="I350">
        <v>21</v>
      </c>
      <c r="J350" s="10">
        <f t="shared" si="5"/>
        <v>13</v>
      </c>
    </row>
    <row r="351" spans="1:10" x14ac:dyDescent="0.2">
      <c r="A351" s="6">
        <v>42388</v>
      </c>
      <c r="B351">
        <v>1998</v>
      </c>
      <c r="C351">
        <v>2008</v>
      </c>
      <c r="D351">
        <v>350</v>
      </c>
      <c r="E351">
        <v>7000</v>
      </c>
      <c r="F351" t="s">
        <v>25</v>
      </c>
      <c r="G351">
        <v>12</v>
      </c>
      <c r="H351" t="s">
        <v>68</v>
      </c>
      <c r="I351">
        <v>21</v>
      </c>
      <c r="J351" s="10">
        <f t="shared" si="5"/>
        <v>12</v>
      </c>
    </row>
    <row r="352" spans="1:10" x14ac:dyDescent="0.2">
      <c r="A352" s="6">
        <v>42487</v>
      </c>
      <c r="B352">
        <v>1991</v>
      </c>
      <c r="C352">
        <v>2023</v>
      </c>
      <c r="D352">
        <v>351</v>
      </c>
      <c r="E352">
        <v>6800</v>
      </c>
      <c r="F352" t="s">
        <v>25</v>
      </c>
      <c r="G352">
        <v>13</v>
      </c>
      <c r="H352" t="s">
        <v>68</v>
      </c>
      <c r="I352">
        <v>28</v>
      </c>
      <c r="J352" s="10">
        <f t="shared" si="5"/>
        <v>13</v>
      </c>
    </row>
    <row r="353" spans="1:10" x14ac:dyDescent="0.2">
      <c r="A353" s="6">
        <v>42487</v>
      </c>
      <c r="B353">
        <v>1991</v>
      </c>
      <c r="C353">
        <v>2023</v>
      </c>
      <c r="D353">
        <v>352</v>
      </c>
      <c r="E353">
        <v>6800</v>
      </c>
      <c r="F353" t="s">
        <v>25</v>
      </c>
      <c r="G353">
        <v>13</v>
      </c>
      <c r="H353" t="s">
        <v>68</v>
      </c>
      <c r="I353">
        <v>28</v>
      </c>
      <c r="J353" s="10">
        <f t="shared" si="5"/>
        <v>13</v>
      </c>
    </row>
    <row r="354" spans="1:10" x14ac:dyDescent="0.2">
      <c r="A354" s="6">
        <v>42487</v>
      </c>
      <c r="B354">
        <v>1992</v>
      </c>
      <c r="C354">
        <v>2024</v>
      </c>
      <c r="D354">
        <v>353</v>
      </c>
      <c r="E354">
        <v>6800</v>
      </c>
      <c r="F354" t="s">
        <v>25</v>
      </c>
      <c r="G354">
        <v>13</v>
      </c>
      <c r="H354" t="s">
        <v>68</v>
      </c>
      <c r="I354">
        <v>27</v>
      </c>
      <c r="J354" s="10">
        <f t="shared" si="5"/>
        <v>13</v>
      </c>
    </row>
    <row r="355" spans="1:10" x14ac:dyDescent="0.2">
      <c r="A355" s="6">
        <v>42389</v>
      </c>
      <c r="B355">
        <v>1997</v>
      </c>
      <c r="C355">
        <v>2054</v>
      </c>
      <c r="D355">
        <v>354</v>
      </c>
      <c r="E355">
        <v>6000</v>
      </c>
      <c r="F355" t="s">
        <v>25</v>
      </c>
      <c r="G355">
        <v>2</v>
      </c>
      <c r="H355" t="s">
        <v>68</v>
      </c>
      <c r="I355">
        <v>22</v>
      </c>
      <c r="J355" s="10">
        <f t="shared" si="5"/>
        <v>2</v>
      </c>
    </row>
    <row r="356" spans="1:10" x14ac:dyDescent="0.2">
      <c r="A356" s="6">
        <v>42411</v>
      </c>
      <c r="B356">
        <v>1997</v>
      </c>
      <c r="C356">
        <v>2072</v>
      </c>
      <c r="D356">
        <v>355</v>
      </c>
      <c r="E356">
        <v>6500</v>
      </c>
      <c r="F356" t="s">
        <v>25</v>
      </c>
      <c r="G356">
        <v>12</v>
      </c>
      <c r="H356" t="s">
        <v>68</v>
      </c>
      <c r="I356">
        <v>22</v>
      </c>
      <c r="J356" s="10">
        <f t="shared" si="5"/>
        <v>12</v>
      </c>
    </row>
    <row r="357" spans="1:10" x14ac:dyDescent="0.2">
      <c r="A357" s="6">
        <v>43291</v>
      </c>
      <c r="B357">
        <v>1996</v>
      </c>
      <c r="C357">
        <v>2078</v>
      </c>
      <c r="D357">
        <v>356</v>
      </c>
      <c r="E357">
        <v>9750</v>
      </c>
      <c r="F357" t="s">
        <v>25</v>
      </c>
      <c r="G357">
        <v>6</v>
      </c>
      <c r="H357" t="s">
        <v>68</v>
      </c>
      <c r="I357">
        <v>23</v>
      </c>
      <c r="J357" s="10">
        <f t="shared" si="5"/>
        <v>6</v>
      </c>
    </row>
    <row r="358" spans="1:10" x14ac:dyDescent="0.2">
      <c r="A358" s="6">
        <v>43166</v>
      </c>
      <c r="B358">
        <v>1996</v>
      </c>
      <c r="C358">
        <v>2078</v>
      </c>
      <c r="D358">
        <v>357</v>
      </c>
      <c r="E358">
        <v>8900</v>
      </c>
      <c r="F358" t="s">
        <v>25</v>
      </c>
      <c r="G358">
        <v>4</v>
      </c>
      <c r="H358" t="s">
        <v>68</v>
      </c>
      <c r="I358">
        <v>23</v>
      </c>
      <c r="J358" s="10">
        <f t="shared" si="5"/>
        <v>4</v>
      </c>
    </row>
    <row r="359" spans="1:10" x14ac:dyDescent="0.2">
      <c r="A359" s="6">
        <v>43053</v>
      </c>
      <c r="B359">
        <v>1996</v>
      </c>
      <c r="C359">
        <v>2078</v>
      </c>
      <c r="D359">
        <v>358</v>
      </c>
      <c r="E359">
        <v>8000</v>
      </c>
      <c r="F359" t="s">
        <v>25</v>
      </c>
      <c r="G359">
        <v>7</v>
      </c>
      <c r="H359" t="s">
        <v>68</v>
      </c>
      <c r="I359">
        <v>23</v>
      </c>
      <c r="J359" s="10">
        <f t="shared" si="5"/>
        <v>7</v>
      </c>
    </row>
    <row r="360" spans="1:10" x14ac:dyDescent="0.2">
      <c r="A360" s="6">
        <v>42941</v>
      </c>
      <c r="B360">
        <v>1995</v>
      </c>
      <c r="C360">
        <v>2078</v>
      </c>
      <c r="D360">
        <v>359</v>
      </c>
      <c r="E360">
        <v>7300</v>
      </c>
      <c r="F360" t="s">
        <v>25</v>
      </c>
      <c r="G360">
        <v>4</v>
      </c>
      <c r="H360" t="s">
        <v>68</v>
      </c>
      <c r="I360">
        <v>24</v>
      </c>
      <c r="J360" s="10">
        <f t="shared" si="5"/>
        <v>4</v>
      </c>
    </row>
    <row r="361" spans="1:10" x14ac:dyDescent="0.2">
      <c r="A361" s="6">
        <v>42786</v>
      </c>
      <c r="B361">
        <v>1996</v>
      </c>
      <c r="C361">
        <v>2078</v>
      </c>
      <c r="D361">
        <v>360</v>
      </c>
      <c r="E361">
        <v>5500</v>
      </c>
      <c r="F361" t="s">
        <v>25</v>
      </c>
      <c r="G361">
        <v>9</v>
      </c>
      <c r="H361" t="s">
        <v>68</v>
      </c>
      <c r="I361">
        <v>23</v>
      </c>
      <c r="J361" s="10">
        <f t="shared" si="5"/>
        <v>9</v>
      </c>
    </row>
    <row r="362" spans="1:10" x14ac:dyDescent="0.2">
      <c r="A362" s="6">
        <v>42649</v>
      </c>
      <c r="B362">
        <v>1995</v>
      </c>
      <c r="C362">
        <v>2078</v>
      </c>
      <c r="D362">
        <v>361</v>
      </c>
      <c r="E362">
        <v>5950</v>
      </c>
      <c r="F362" t="s">
        <v>25</v>
      </c>
      <c r="G362">
        <v>12</v>
      </c>
      <c r="H362" t="s">
        <v>68</v>
      </c>
      <c r="I362">
        <v>24</v>
      </c>
      <c r="J362" s="10">
        <f t="shared" si="5"/>
        <v>12</v>
      </c>
    </row>
    <row r="363" spans="1:10" x14ac:dyDescent="0.2">
      <c r="A363" s="6">
        <v>42564</v>
      </c>
      <c r="B363">
        <v>1995</v>
      </c>
      <c r="C363">
        <v>2078</v>
      </c>
      <c r="D363">
        <v>362</v>
      </c>
      <c r="E363">
        <v>6175</v>
      </c>
      <c r="F363" t="s">
        <v>25</v>
      </c>
      <c r="G363">
        <v>4</v>
      </c>
      <c r="H363" t="s">
        <v>68</v>
      </c>
      <c r="I363">
        <v>24</v>
      </c>
      <c r="J363" s="10">
        <f t="shared" si="5"/>
        <v>4</v>
      </c>
    </row>
    <row r="364" spans="1:10" x14ac:dyDescent="0.2">
      <c r="A364" s="6">
        <v>42480</v>
      </c>
      <c r="B364">
        <v>1996</v>
      </c>
      <c r="C364">
        <v>2078</v>
      </c>
      <c r="D364">
        <v>363</v>
      </c>
      <c r="E364">
        <v>6000</v>
      </c>
      <c r="F364" t="s">
        <v>25</v>
      </c>
      <c r="G364">
        <v>6</v>
      </c>
      <c r="H364" t="s">
        <v>68</v>
      </c>
      <c r="I364">
        <v>23</v>
      </c>
      <c r="J364" s="10">
        <f t="shared" si="5"/>
        <v>6</v>
      </c>
    </row>
    <row r="365" spans="1:10" x14ac:dyDescent="0.2">
      <c r="A365" s="6">
        <v>42430</v>
      </c>
      <c r="B365">
        <v>1996</v>
      </c>
      <c r="C365">
        <v>2078</v>
      </c>
      <c r="D365">
        <v>364</v>
      </c>
      <c r="E365">
        <v>5850</v>
      </c>
      <c r="F365" t="s">
        <v>25</v>
      </c>
      <c r="G365">
        <v>8</v>
      </c>
      <c r="H365" t="s">
        <v>68</v>
      </c>
      <c r="I365">
        <v>23</v>
      </c>
      <c r="J365" s="10">
        <f t="shared" si="5"/>
        <v>8</v>
      </c>
    </row>
    <row r="366" spans="1:10" x14ac:dyDescent="0.2">
      <c r="A366" s="6">
        <v>42401</v>
      </c>
      <c r="B366">
        <v>1991</v>
      </c>
      <c r="C366">
        <v>2098</v>
      </c>
      <c r="D366">
        <v>365</v>
      </c>
      <c r="E366">
        <v>6300</v>
      </c>
      <c r="F366" t="s">
        <v>25</v>
      </c>
      <c r="G366">
        <v>12</v>
      </c>
      <c r="H366" t="s">
        <v>68</v>
      </c>
      <c r="I366">
        <v>28</v>
      </c>
      <c r="J366" s="10">
        <f t="shared" si="5"/>
        <v>12</v>
      </c>
    </row>
    <row r="367" spans="1:10" x14ac:dyDescent="0.2">
      <c r="A367" s="6">
        <v>42439</v>
      </c>
      <c r="B367">
        <v>1997</v>
      </c>
      <c r="C367">
        <v>2113</v>
      </c>
      <c r="D367">
        <v>366</v>
      </c>
      <c r="E367">
        <v>7100</v>
      </c>
      <c r="F367" t="s">
        <v>25</v>
      </c>
      <c r="G367">
        <v>11</v>
      </c>
      <c r="H367" t="s">
        <v>68</v>
      </c>
      <c r="I367">
        <v>22</v>
      </c>
      <c r="J367" s="10">
        <f t="shared" si="5"/>
        <v>11</v>
      </c>
    </row>
    <row r="368" spans="1:10" x14ac:dyDescent="0.2">
      <c r="A368" s="6">
        <v>43542</v>
      </c>
      <c r="B368">
        <v>1999</v>
      </c>
      <c r="C368">
        <v>2169</v>
      </c>
      <c r="D368">
        <v>367</v>
      </c>
      <c r="E368">
        <v>7000</v>
      </c>
      <c r="F368" t="s">
        <v>25</v>
      </c>
      <c r="G368">
        <v>12</v>
      </c>
      <c r="H368" t="s">
        <v>68</v>
      </c>
      <c r="I368">
        <v>20</v>
      </c>
      <c r="J368" s="10">
        <f t="shared" si="5"/>
        <v>12</v>
      </c>
    </row>
    <row r="369" spans="1:10" x14ac:dyDescent="0.2">
      <c r="A369" s="6">
        <v>43266</v>
      </c>
      <c r="B369">
        <v>1999</v>
      </c>
      <c r="C369">
        <v>2169</v>
      </c>
      <c r="D369">
        <v>368</v>
      </c>
      <c r="E369">
        <v>12500</v>
      </c>
      <c r="F369" t="s">
        <v>25</v>
      </c>
      <c r="G369">
        <v>6</v>
      </c>
      <c r="H369" t="s">
        <v>68</v>
      </c>
      <c r="I369">
        <v>20</v>
      </c>
      <c r="J369" s="10">
        <f t="shared" si="5"/>
        <v>6</v>
      </c>
    </row>
    <row r="370" spans="1:10" x14ac:dyDescent="0.2">
      <c r="A370" s="6">
        <v>43255</v>
      </c>
      <c r="B370">
        <v>1999</v>
      </c>
      <c r="C370">
        <v>2169</v>
      </c>
      <c r="D370">
        <v>369</v>
      </c>
      <c r="E370">
        <v>12500</v>
      </c>
      <c r="F370" t="s">
        <v>25</v>
      </c>
      <c r="G370">
        <v>6</v>
      </c>
      <c r="H370" t="s">
        <v>68</v>
      </c>
      <c r="I370">
        <v>20</v>
      </c>
      <c r="J370" s="10">
        <f t="shared" si="5"/>
        <v>6</v>
      </c>
    </row>
    <row r="371" spans="1:10" x14ac:dyDescent="0.2">
      <c r="A371" s="6">
        <v>43102</v>
      </c>
      <c r="B371">
        <v>1999</v>
      </c>
      <c r="C371">
        <v>2169</v>
      </c>
      <c r="D371">
        <v>370</v>
      </c>
      <c r="E371">
        <v>10250</v>
      </c>
      <c r="F371" t="s">
        <v>25</v>
      </c>
      <c r="G371">
        <v>6</v>
      </c>
      <c r="H371" t="s">
        <v>68</v>
      </c>
      <c r="I371">
        <v>20</v>
      </c>
      <c r="J371" s="10">
        <f t="shared" si="5"/>
        <v>6</v>
      </c>
    </row>
    <row r="372" spans="1:10" x14ac:dyDescent="0.2">
      <c r="A372" s="6">
        <v>43083</v>
      </c>
      <c r="B372">
        <v>1999</v>
      </c>
      <c r="C372">
        <v>2169</v>
      </c>
      <c r="D372">
        <v>371</v>
      </c>
      <c r="E372">
        <v>10250</v>
      </c>
      <c r="F372" t="s">
        <v>25</v>
      </c>
      <c r="G372">
        <v>5</v>
      </c>
      <c r="H372" t="s">
        <v>68</v>
      </c>
      <c r="I372">
        <v>20</v>
      </c>
      <c r="J372" s="10">
        <f t="shared" si="5"/>
        <v>5</v>
      </c>
    </row>
    <row r="373" spans="1:10" x14ac:dyDescent="0.2">
      <c r="A373" s="6">
        <v>42914</v>
      </c>
      <c r="B373">
        <v>1999</v>
      </c>
      <c r="C373">
        <v>2169</v>
      </c>
      <c r="D373">
        <v>372</v>
      </c>
      <c r="E373">
        <v>8500</v>
      </c>
      <c r="F373" t="s">
        <v>25</v>
      </c>
      <c r="G373">
        <v>5</v>
      </c>
      <c r="H373" t="s">
        <v>68</v>
      </c>
      <c r="I373">
        <v>20</v>
      </c>
      <c r="J373" s="10">
        <f t="shared" si="5"/>
        <v>5</v>
      </c>
    </row>
    <row r="374" spans="1:10" x14ac:dyDescent="0.2">
      <c r="A374" s="6">
        <v>42795</v>
      </c>
      <c r="B374">
        <v>1999</v>
      </c>
      <c r="C374">
        <v>2169</v>
      </c>
      <c r="D374">
        <v>373</v>
      </c>
      <c r="E374">
        <v>6400</v>
      </c>
      <c r="F374" t="s">
        <v>25</v>
      </c>
      <c r="G374">
        <v>4</v>
      </c>
      <c r="H374" t="s">
        <v>68</v>
      </c>
      <c r="I374">
        <v>20</v>
      </c>
      <c r="J374" s="10">
        <f t="shared" si="5"/>
        <v>4</v>
      </c>
    </row>
    <row r="375" spans="1:10" x14ac:dyDescent="0.2">
      <c r="A375" s="6">
        <v>42758</v>
      </c>
      <c r="B375">
        <v>1998</v>
      </c>
      <c r="C375">
        <v>2169</v>
      </c>
      <c r="D375">
        <v>374</v>
      </c>
      <c r="E375">
        <v>6500</v>
      </c>
      <c r="F375" t="s">
        <v>25</v>
      </c>
      <c r="G375">
        <v>5</v>
      </c>
      <c r="H375" t="s">
        <v>68</v>
      </c>
      <c r="I375">
        <v>21</v>
      </c>
      <c r="J375" s="10">
        <f t="shared" si="5"/>
        <v>5</v>
      </c>
    </row>
    <row r="376" spans="1:10" x14ac:dyDescent="0.2">
      <c r="A376" s="6">
        <v>42629</v>
      </c>
      <c r="B376">
        <v>1999</v>
      </c>
      <c r="C376">
        <v>2169</v>
      </c>
      <c r="D376">
        <v>375</v>
      </c>
      <c r="E376">
        <v>5850</v>
      </c>
      <c r="F376" t="s">
        <v>25</v>
      </c>
      <c r="G376">
        <v>5</v>
      </c>
      <c r="H376" t="s">
        <v>68</v>
      </c>
      <c r="I376">
        <v>20</v>
      </c>
      <c r="J376" s="10">
        <f t="shared" si="5"/>
        <v>5</v>
      </c>
    </row>
    <row r="377" spans="1:10" x14ac:dyDescent="0.2">
      <c r="A377" s="6">
        <v>42614</v>
      </c>
      <c r="B377">
        <v>1999</v>
      </c>
      <c r="C377">
        <v>2169</v>
      </c>
      <c r="D377">
        <v>376</v>
      </c>
      <c r="E377">
        <v>5850</v>
      </c>
      <c r="F377" t="s">
        <v>25</v>
      </c>
      <c r="G377">
        <v>6</v>
      </c>
      <c r="H377" t="s">
        <v>68</v>
      </c>
      <c r="I377">
        <v>20</v>
      </c>
      <c r="J377" s="10">
        <f t="shared" si="5"/>
        <v>6</v>
      </c>
    </row>
    <row r="378" spans="1:10" x14ac:dyDescent="0.2">
      <c r="A378" s="6">
        <v>42479</v>
      </c>
      <c r="B378">
        <v>1999</v>
      </c>
      <c r="C378">
        <v>2169</v>
      </c>
      <c r="D378">
        <v>377</v>
      </c>
      <c r="E378">
        <v>6000</v>
      </c>
      <c r="F378" t="s">
        <v>25</v>
      </c>
      <c r="G378">
        <v>5</v>
      </c>
      <c r="H378" t="s">
        <v>68</v>
      </c>
      <c r="I378">
        <v>20</v>
      </c>
      <c r="J378" s="10">
        <f t="shared" si="5"/>
        <v>5</v>
      </c>
    </row>
    <row r="379" spans="1:10" x14ac:dyDescent="0.2">
      <c r="A379" s="6">
        <v>42401</v>
      </c>
      <c r="B379">
        <v>1998</v>
      </c>
      <c r="C379">
        <v>2169</v>
      </c>
      <c r="D379">
        <v>378</v>
      </c>
      <c r="E379">
        <v>6000</v>
      </c>
      <c r="F379" t="s">
        <v>25</v>
      </c>
      <c r="G379">
        <v>12</v>
      </c>
      <c r="H379" t="s">
        <v>68</v>
      </c>
      <c r="I379">
        <v>21</v>
      </c>
      <c r="J379" s="10">
        <f t="shared" si="5"/>
        <v>12</v>
      </c>
    </row>
    <row r="380" spans="1:10" x14ac:dyDescent="0.2">
      <c r="A380" s="6">
        <v>42401</v>
      </c>
      <c r="B380">
        <v>1998</v>
      </c>
      <c r="C380">
        <v>2169</v>
      </c>
      <c r="D380">
        <v>379</v>
      </c>
      <c r="E380">
        <v>6300</v>
      </c>
      <c r="F380" t="s">
        <v>25</v>
      </c>
      <c r="G380">
        <v>12</v>
      </c>
      <c r="H380" t="s">
        <v>68</v>
      </c>
      <c r="I380">
        <v>21</v>
      </c>
      <c r="J380" s="10">
        <f t="shared" si="5"/>
        <v>12</v>
      </c>
    </row>
    <row r="381" spans="1:10" x14ac:dyDescent="0.2">
      <c r="A381" s="6">
        <v>42394</v>
      </c>
      <c r="B381">
        <v>1999</v>
      </c>
      <c r="C381">
        <v>2169</v>
      </c>
      <c r="D381">
        <v>380</v>
      </c>
      <c r="E381">
        <v>5925</v>
      </c>
      <c r="F381" t="s">
        <v>25</v>
      </c>
      <c r="G381">
        <v>6</v>
      </c>
      <c r="H381" t="s">
        <v>68</v>
      </c>
      <c r="I381">
        <v>20</v>
      </c>
      <c r="J381" s="10">
        <f t="shared" si="5"/>
        <v>6</v>
      </c>
    </row>
    <row r="382" spans="1:10" x14ac:dyDescent="0.2">
      <c r="A382" s="6">
        <v>42465</v>
      </c>
      <c r="B382">
        <v>1998</v>
      </c>
      <c r="C382">
        <v>2171</v>
      </c>
      <c r="D382">
        <v>381</v>
      </c>
      <c r="E382">
        <v>6500</v>
      </c>
      <c r="F382" t="s">
        <v>25</v>
      </c>
      <c r="G382">
        <v>13</v>
      </c>
      <c r="H382" t="s">
        <v>68</v>
      </c>
      <c r="I382">
        <v>21</v>
      </c>
      <c r="J382" s="10">
        <f t="shared" si="5"/>
        <v>13</v>
      </c>
    </row>
    <row r="383" spans="1:10" x14ac:dyDescent="0.2">
      <c r="A383" s="6">
        <v>43637</v>
      </c>
      <c r="B383">
        <v>1998</v>
      </c>
      <c r="C383">
        <v>2200</v>
      </c>
      <c r="D383">
        <v>382</v>
      </c>
      <c r="E383">
        <v>8475</v>
      </c>
      <c r="F383" t="s">
        <v>25</v>
      </c>
      <c r="G383">
        <v>4</v>
      </c>
      <c r="H383" t="s">
        <v>68</v>
      </c>
      <c r="I383">
        <v>21</v>
      </c>
      <c r="J383" s="10">
        <f t="shared" si="5"/>
        <v>4</v>
      </c>
    </row>
    <row r="384" spans="1:10" x14ac:dyDescent="0.2">
      <c r="A384" s="6">
        <v>43570</v>
      </c>
      <c r="B384">
        <v>1997</v>
      </c>
      <c r="C384">
        <v>2200</v>
      </c>
      <c r="D384">
        <v>383</v>
      </c>
      <c r="E384">
        <v>7500</v>
      </c>
      <c r="F384" t="s">
        <v>25</v>
      </c>
      <c r="G384">
        <v>7</v>
      </c>
      <c r="H384" t="s">
        <v>68</v>
      </c>
      <c r="I384">
        <v>22</v>
      </c>
      <c r="J384" s="10">
        <f t="shared" si="5"/>
        <v>7</v>
      </c>
    </row>
    <row r="385" spans="1:10" x14ac:dyDescent="0.2">
      <c r="A385" s="6">
        <v>43525</v>
      </c>
      <c r="B385">
        <v>1997</v>
      </c>
      <c r="C385">
        <v>2200</v>
      </c>
      <c r="D385">
        <v>384</v>
      </c>
      <c r="E385">
        <v>7750</v>
      </c>
      <c r="F385" t="s">
        <v>25</v>
      </c>
      <c r="G385">
        <v>7</v>
      </c>
      <c r="H385" t="s">
        <v>68</v>
      </c>
      <c r="I385">
        <v>22</v>
      </c>
      <c r="J385" s="10">
        <f t="shared" si="5"/>
        <v>7</v>
      </c>
    </row>
    <row r="386" spans="1:10" x14ac:dyDescent="0.2">
      <c r="A386" s="6">
        <v>43523</v>
      </c>
      <c r="B386">
        <v>1997</v>
      </c>
      <c r="C386">
        <v>2200</v>
      </c>
      <c r="D386">
        <v>385</v>
      </c>
      <c r="E386">
        <v>7650</v>
      </c>
      <c r="F386" t="s">
        <v>25</v>
      </c>
      <c r="G386">
        <v>7</v>
      </c>
      <c r="H386" t="s">
        <v>68</v>
      </c>
      <c r="I386">
        <v>22</v>
      </c>
      <c r="J386" s="10">
        <f t="shared" ref="J386:J449" si="6">IF(H386="days",ROUND(G386/30,0),IF(H386="years",G386*12,G386))</f>
        <v>7</v>
      </c>
    </row>
    <row r="387" spans="1:10" x14ac:dyDescent="0.2">
      <c r="A387" s="6">
        <v>43507</v>
      </c>
      <c r="B387">
        <v>1997</v>
      </c>
      <c r="C387">
        <v>2200</v>
      </c>
      <c r="D387">
        <v>386</v>
      </c>
      <c r="E387">
        <v>7800</v>
      </c>
      <c r="F387" t="s">
        <v>25</v>
      </c>
      <c r="G387">
        <v>7</v>
      </c>
      <c r="H387" t="s">
        <v>68</v>
      </c>
      <c r="I387">
        <v>22</v>
      </c>
      <c r="J387" s="10">
        <f t="shared" si="6"/>
        <v>7</v>
      </c>
    </row>
    <row r="388" spans="1:10" x14ac:dyDescent="0.2">
      <c r="A388" s="6">
        <v>43507</v>
      </c>
      <c r="B388">
        <v>1998</v>
      </c>
      <c r="C388">
        <v>2200</v>
      </c>
      <c r="D388">
        <v>387</v>
      </c>
      <c r="E388">
        <v>7500</v>
      </c>
      <c r="F388" t="s">
        <v>25</v>
      </c>
      <c r="G388">
        <v>9</v>
      </c>
      <c r="H388" t="s">
        <v>68</v>
      </c>
      <c r="I388">
        <v>21</v>
      </c>
      <c r="J388" s="10">
        <f t="shared" si="6"/>
        <v>9</v>
      </c>
    </row>
    <row r="389" spans="1:10" x14ac:dyDescent="0.2">
      <c r="A389" s="6">
        <v>43468</v>
      </c>
      <c r="B389">
        <v>1998</v>
      </c>
      <c r="C389">
        <v>2200</v>
      </c>
      <c r="D389">
        <v>388</v>
      </c>
      <c r="E389">
        <v>7500</v>
      </c>
      <c r="F389" t="s">
        <v>25</v>
      </c>
      <c r="G389">
        <v>50</v>
      </c>
      <c r="H389" t="s">
        <v>26</v>
      </c>
      <c r="I389">
        <v>21</v>
      </c>
      <c r="J389" s="10">
        <f t="shared" si="6"/>
        <v>2</v>
      </c>
    </row>
    <row r="390" spans="1:10" x14ac:dyDescent="0.2">
      <c r="A390" s="6">
        <v>43417</v>
      </c>
      <c r="B390">
        <v>1998</v>
      </c>
      <c r="C390">
        <v>2200</v>
      </c>
      <c r="D390">
        <v>389</v>
      </c>
      <c r="E390">
        <v>8250</v>
      </c>
      <c r="F390" t="s">
        <v>25</v>
      </c>
      <c r="G390">
        <v>5</v>
      </c>
      <c r="H390" t="s">
        <v>68</v>
      </c>
      <c r="I390">
        <v>21</v>
      </c>
      <c r="J390" s="10">
        <f t="shared" si="6"/>
        <v>5</v>
      </c>
    </row>
    <row r="391" spans="1:10" x14ac:dyDescent="0.2">
      <c r="A391" s="6">
        <v>43391</v>
      </c>
      <c r="B391">
        <v>1997</v>
      </c>
      <c r="C391">
        <v>2200</v>
      </c>
      <c r="D391">
        <v>390</v>
      </c>
      <c r="E391">
        <v>8000</v>
      </c>
      <c r="F391" t="s">
        <v>25</v>
      </c>
      <c r="G391">
        <v>12</v>
      </c>
      <c r="H391" t="s">
        <v>68</v>
      </c>
      <c r="I391">
        <v>22</v>
      </c>
      <c r="J391" s="10">
        <f t="shared" si="6"/>
        <v>12</v>
      </c>
    </row>
    <row r="392" spans="1:10" x14ac:dyDescent="0.2">
      <c r="A392" s="6">
        <v>43370</v>
      </c>
      <c r="B392">
        <v>1997</v>
      </c>
      <c r="C392">
        <v>2200</v>
      </c>
      <c r="D392">
        <v>391</v>
      </c>
      <c r="E392">
        <v>8500</v>
      </c>
      <c r="F392" t="s">
        <v>25</v>
      </c>
      <c r="G392">
        <v>10</v>
      </c>
      <c r="H392" t="s">
        <v>68</v>
      </c>
      <c r="I392">
        <v>22</v>
      </c>
      <c r="J392" s="10">
        <f t="shared" si="6"/>
        <v>10</v>
      </c>
    </row>
    <row r="393" spans="1:10" x14ac:dyDescent="0.2">
      <c r="A393" s="6">
        <v>43370</v>
      </c>
      <c r="B393">
        <v>1998</v>
      </c>
      <c r="C393">
        <v>2200</v>
      </c>
      <c r="D393">
        <v>392</v>
      </c>
      <c r="E393">
        <v>8500</v>
      </c>
      <c r="F393" t="s">
        <v>25</v>
      </c>
      <c r="G393">
        <v>12</v>
      </c>
      <c r="H393" t="s">
        <v>68</v>
      </c>
      <c r="I393">
        <v>21</v>
      </c>
      <c r="J393" s="10">
        <f t="shared" si="6"/>
        <v>12</v>
      </c>
    </row>
    <row r="394" spans="1:10" x14ac:dyDescent="0.2">
      <c r="A394" s="6">
        <v>43315</v>
      </c>
      <c r="B394">
        <v>1997</v>
      </c>
      <c r="C394">
        <v>2200</v>
      </c>
      <c r="D394">
        <v>393</v>
      </c>
      <c r="E394">
        <v>9150</v>
      </c>
      <c r="F394" t="s">
        <v>25</v>
      </c>
      <c r="G394">
        <v>6</v>
      </c>
      <c r="H394" t="s">
        <v>68</v>
      </c>
      <c r="I394">
        <v>22</v>
      </c>
      <c r="J394" s="10">
        <f t="shared" si="6"/>
        <v>6</v>
      </c>
    </row>
    <row r="395" spans="1:10" x14ac:dyDescent="0.2">
      <c r="A395" s="6">
        <v>43272</v>
      </c>
      <c r="B395">
        <v>1997</v>
      </c>
      <c r="C395">
        <v>2200</v>
      </c>
      <c r="D395">
        <v>394</v>
      </c>
      <c r="E395">
        <v>10500</v>
      </c>
      <c r="F395" t="s">
        <v>25</v>
      </c>
      <c r="G395">
        <v>9</v>
      </c>
      <c r="H395" t="s">
        <v>68</v>
      </c>
      <c r="I395">
        <v>22</v>
      </c>
      <c r="J395" s="10">
        <f t="shared" si="6"/>
        <v>9</v>
      </c>
    </row>
    <row r="396" spans="1:10" x14ac:dyDescent="0.2">
      <c r="A396" s="6">
        <v>43241</v>
      </c>
      <c r="B396">
        <v>1998</v>
      </c>
      <c r="C396">
        <v>2200</v>
      </c>
      <c r="D396">
        <v>395</v>
      </c>
      <c r="E396">
        <v>11000</v>
      </c>
      <c r="F396" t="s">
        <v>25</v>
      </c>
      <c r="G396">
        <v>6</v>
      </c>
      <c r="H396" t="s">
        <v>68</v>
      </c>
      <c r="I396">
        <v>21</v>
      </c>
      <c r="J396" s="10">
        <f t="shared" si="6"/>
        <v>6</v>
      </c>
    </row>
    <row r="397" spans="1:10" x14ac:dyDescent="0.2">
      <c r="A397" s="6">
        <v>43174</v>
      </c>
      <c r="B397">
        <v>1998</v>
      </c>
      <c r="C397">
        <v>2200</v>
      </c>
      <c r="D397">
        <v>396</v>
      </c>
      <c r="E397">
        <v>9900</v>
      </c>
      <c r="F397" t="s">
        <v>25</v>
      </c>
      <c r="G397">
        <v>7</v>
      </c>
      <c r="H397" t="s">
        <v>68</v>
      </c>
      <c r="I397">
        <v>21</v>
      </c>
      <c r="J397" s="10">
        <f t="shared" si="6"/>
        <v>7</v>
      </c>
    </row>
    <row r="398" spans="1:10" x14ac:dyDescent="0.2">
      <c r="A398" s="6">
        <v>43174</v>
      </c>
      <c r="B398">
        <v>1997</v>
      </c>
      <c r="C398">
        <v>2200</v>
      </c>
      <c r="D398">
        <v>397</v>
      </c>
      <c r="E398">
        <v>8850</v>
      </c>
      <c r="F398" t="s">
        <v>25</v>
      </c>
      <c r="G398">
        <v>7</v>
      </c>
      <c r="H398" t="s">
        <v>68</v>
      </c>
      <c r="I398">
        <v>22</v>
      </c>
      <c r="J398" s="10">
        <f t="shared" si="6"/>
        <v>7</v>
      </c>
    </row>
    <row r="399" spans="1:10" x14ac:dyDescent="0.2">
      <c r="A399" s="6">
        <v>43153</v>
      </c>
      <c r="B399">
        <v>1997</v>
      </c>
      <c r="C399">
        <v>2200</v>
      </c>
      <c r="D399">
        <v>398</v>
      </c>
      <c r="E399">
        <v>8700</v>
      </c>
      <c r="F399" t="s">
        <v>25</v>
      </c>
      <c r="G399">
        <v>9</v>
      </c>
      <c r="H399" t="s">
        <v>68</v>
      </c>
      <c r="I399">
        <v>22</v>
      </c>
      <c r="J399" s="10">
        <f t="shared" si="6"/>
        <v>9</v>
      </c>
    </row>
    <row r="400" spans="1:10" x14ac:dyDescent="0.2">
      <c r="A400" s="6">
        <v>43126</v>
      </c>
      <c r="B400">
        <v>1998</v>
      </c>
      <c r="C400">
        <v>2200</v>
      </c>
      <c r="D400">
        <v>399</v>
      </c>
      <c r="E400">
        <v>8600</v>
      </c>
      <c r="F400" t="s">
        <v>25</v>
      </c>
      <c r="G400">
        <v>10</v>
      </c>
      <c r="H400" t="s">
        <v>68</v>
      </c>
      <c r="I400">
        <v>21</v>
      </c>
      <c r="J400" s="10">
        <f t="shared" si="6"/>
        <v>10</v>
      </c>
    </row>
    <row r="401" spans="1:10" x14ac:dyDescent="0.2">
      <c r="A401" s="6">
        <v>43112</v>
      </c>
      <c r="B401">
        <v>1998</v>
      </c>
      <c r="C401">
        <v>2200</v>
      </c>
      <c r="D401">
        <v>400</v>
      </c>
      <c r="E401">
        <v>8400</v>
      </c>
      <c r="F401" t="s">
        <v>25</v>
      </c>
      <c r="G401">
        <v>1</v>
      </c>
      <c r="H401" t="s">
        <v>68</v>
      </c>
      <c r="I401">
        <v>21</v>
      </c>
      <c r="J401" s="10">
        <f t="shared" si="6"/>
        <v>1</v>
      </c>
    </row>
    <row r="402" spans="1:10" x14ac:dyDescent="0.2">
      <c r="A402" s="6">
        <v>43109</v>
      </c>
      <c r="B402">
        <v>1998</v>
      </c>
      <c r="C402">
        <v>2200</v>
      </c>
      <c r="D402">
        <v>401</v>
      </c>
      <c r="E402">
        <v>8400</v>
      </c>
      <c r="F402" t="s">
        <v>25</v>
      </c>
      <c r="G402">
        <v>35</v>
      </c>
      <c r="H402" t="s">
        <v>26</v>
      </c>
      <c r="I402">
        <v>21</v>
      </c>
      <c r="J402" s="10">
        <f t="shared" si="6"/>
        <v>1</v>
      </c>
    </row>
    <row r="403" spans="1:10" x14ac:dyDescent="0.2">
      <c r="A403" s="6">
        <v>43073</v>
      </c>
      <c r="B403">
        <v>1998</v>
      </c>
      <c r="C403">
        <v>2200</v>
      </c>
      <c r="D403">
        <v>402</v>
      </c>
      <c r="E403">
        <v>7600</v>
      </c>
      <c r="F403" t="s">
        <v>25</v>
      </c>
      <c r="G403">
        <v>4</v>
      </c>
      <c r="H403" t="s">
        <v>68</v>
      </c>
      <c r="I403">
        <v>21</v>
      </c>
      <c r="J403" s="10">
        <f t="shared" si="6"/>
        <v>4</v>
      </c>
    </row>
    <row r="404" spans="1:10" x14ac:dyDescent="0.2">
      <c r="A404" s="6">
        <v>43038</v>
      </c>
      <c r="B404">
        <v>1997</v>
      </c>
      <c r="C404">
        <v>2200</v>
      </c>
      <c r="D404">
        <v>403</v>
      </c>
      <c r="E404">
        <v>7500</v>
      </c>
      <c r="F404" t="s">
        <v>25</v>
      </c>
      <c r="G404">
        <v>12</v>
      </c>
      <c r="H404" t="s">
        <v>68</v>
      </c>
      <c r="I404">
        <v>22</v>
      </c>
      <c r="J404" s="10">
        <f t="shared" si="6"/>
        <v>12</v>
      </c>
    </row>
    <row r="405" spans="1:10" x14ac:dyDescent="0.2">
      <c r="A405" s="6">
        <v>42982</v>
      </c>
      <c r="B405">
        <v>1997</v>
      </c>
      <c r="C405">
        <v>2200</v>
      </c>
      <c r="D405">
        <v>404</v>
      </c>
      <c r="E405">
        <v>7000</v>
      </c>
      <c r="F405" t="s">
        <v>25</v>
      </c>
      <c r="G405">
        <v>10</v>
      </c>
      <c r="H405" t="s">
        <v>68</v>
      </c>
      <c r="I405">
        <v>22</v>
      </c>
      <c r="J405" s="10">
        <f t="shared" si="6"/>
        <v>10</v>
      </c>
    </row>
    <row r="406" spans="1:10" x14ac:dyDescent="0.2">
      <c r="A406" s="6">
        <v>42968</v>
      </c>
      <c r="B406">
        <v>1997</v>
      </c>
      <c r="C406">
        <v>2200</v>
      </c>
      <c r="D406">
        <v>405</v>
      </c>
      <c r="E406">
        <v>7000</v>
      </c>
      <c r="F406" t="s">
        <v>25</v>
      </c>
      <c r="G406">
        <v>6</v>
      </c>
      <c r="H406" t="s">
        <v>68</v>
      </c>
      <c r="I406">
        <v>22</v>
      </c>
      <c r="J406" s="10">
        <f t="shared" si="6"/>
        <v>6</v>
      </c>
    </row>
    <row r="407" spans="1:10" x14ac:dyDescent="0.2">
      <c r="A407" s="6">
        <v>42948</v>
      </c>
      <c r="B407">
        <v>1997</v>
      </c>
      <c r="C407">
        <v>2200</v>
      </c>
      <c r="D407">
        <v>406</v>
      </c>
      <c r="E407">
        <v>7200</v>
      </c>
      <c r="F407" t="s">
        <v>25</v>
      </c>
      <c r="G407">
        <v>60</v>
      </c>
      <c r="H407" t="s">
        <v>26</v>
      </c>
      <c r="I407">
        <v>22</v>
      </c>
      <c r="J407" s="10">
        <f t="shared" si="6"/>
        <v>2</v>
      </c>
    </row>
    <row r="408" spans="1:10" x14ac:dyDescent="0.2">
      <c r="A408" s="6">
        <v>42891</v>
      </c>
      <c r="B408">
        <v>1997</v>
      </c>
      <c r="C408">
        <v>2200</v>
      </c>
      <c r="D408">
        <v>407</v>
      </c>
      <c r="E408">
        <v>8250</v>
      </c>
      <c r="F408" t="s">
        <v>25</v>
      </c>
      <c r="G408">
        <v>10</v>
      </c>
      <c r="H408" t="s">
        <v>68</v>
      </c>
      <c r="I408">
        <v>22</v>
      </c>
      <c r="J408" s="10">
        <f t="shared" si="6"/>
        <v>10</v>
      </c>
    </row>
    <row r="409" spans="1:10" x14ac:dyDescent="0.2">
      <c r="A409" s="6">
        <v>43558</v>
      </c>
      <c r="B409">
        <v>1998</v>
      </c>
      <c r="C409">
        <v>2226</v>
      </c>
      <c r="D409">
        <v>408</v>
      </c>
      <c r="E409">
        <v>8000</v>
      </c>
      <c r="F409" t="s">
        <v>25</v>
      </c>
      <c r="G409">
        <v>9</v>
      </c>
      <c r="H409" t="s">
        <v>68</v>
      </c>
      <c r="I409">
        <v>21</v>
      </c>
      <c r="J409" s="10">
        <f t="shared" si="6"/>
        <v>9</v>
      </c>
    </row>
    <row r="410" spans="1:10" x14ac:dyDescent="0.2">
      <c r="A410" s="6">
        <v>43410</v>
      </c>
      <c r="B410">
        <v>1998</v>
      </c>
      <c r="C410">
        <v>2226</v>
      </c>
      <c r="D410">
        <v>409</v>
      </c>
      <c r="E410">
        <v>8500</v>
      </c>
      <c r="F410" t="s">
        <v>25</v>
      </c>
      <c r="G410">
        <v>8</v>
      </c>
      <c r="H410" t="s">
        <v>68</v>
      </c>
      <c r="I410">
        <v>21</v>
      </c>
      <c r="J410" s="10">
        <f t="shared" si="6"/>
        <v>8</v>
      </c>
    </row>
    <row r="411" spans="1:10" x14ac:dyDescent="0.2">
      <c r="A411" s="6">
        <v>42804</v>
      </c>
      <c r="B411">
        <v>1998</v>
      </c>
      <c r="C411">
        <v>2226</v>
      </c>
      <c r="D411">
        <v>410</v>
      </c>
      <c r="E411">
        <v>6300</v>
      </c>
      <c r="F411" t="s">
        <v>25</v>
      </c>
      <c r="G411">
        <v>7</v>
      </c>
      <c r="H411" t="s">
        <v>68</v>
      </c>
      <c r="I411">
        <v>21</v>
      </c>
      <c r="J411" s="10">
        <f t="shared" si="6"/>
        <v>7</v>
      </c>
    </row>
    <row r="412" spans="1:10" x14ac:dyDescent="0.2">
      <c r="A412" s="6">
        <v>42790</v>
      </c>
      <c r="B412">
        <v>1997</v>
      </c>
      <c r="C412">
        <v>2226</v>
      </c>
      <c r="D412">
        <v>411</v>
      </c>
      <c r="E412">
        <v>6000</v>
      </c>
      <c r="F412" t="s">
        <v>25</v>
      </c>
      <c r="G412">
        <v>12</v>
      </c>
      <c r="H412" t="s">
        <v>68</v>
      </c>
      <c r="I412">
        <v>22</v>
      </c>
      <c r="J412" s="10">
        <f t="shared" si="6"/>
        <v>12</v>
      </c>
    </row>
    <row r="413" spans="1:10" x14ac:dyDescent="0.2">
      <c r="A413" s="6">
        <v>42578</v>
      </c>
      <c r="B413">
        <v>1998</v>
      </c>
      <c r="C413">
        <v>2226</v>
      </c>
      <c r="D413">
        <v>412</v>
      </c>
      <c r="E413">
        <v>6150</v>
      </c>
      <c r="F413" t="s">
        <v>25</v>
      </c>
      <c r="G413">
        <v>8</v>
      </c>
      <c r="H413" t="s">
        <v>68</v>
      </c>
      <c r="I413">
        <v>21</v>
      </c>
      <c r="J413" s="10">
        <f t="shared" si="6"/>
        <v>8</v>
      </c>
    </row>
    <row r="414" spans="1:10" x14ac:dyDescent="0.2">
      <c r="A414" s="6">
        <v>42552</v>
      </c>
      <c r="B414">
        <v>1998</v>
      </c>
      <c r="C414">
        <v>2226</v>
      </c>
      <c r="D414">
        <v>413</v>
      </c>
      <c r="E414">
        <v>6150</v>
      </c>
      <c r="F414" t="s">
        <v>25</v>
      </c>
      <c r="G414">
        <v>8</v>
      </c>
      <c r="H414" t="s">
        <v>68</v>
      </c>
      <c r="I414">
        <v>21</v>
      </c>
      <c r="J414" s="10">
        <f t="shared" si="6"/>
        <v>8</v>
      </c>
    </row>
    <row r="415" spans="1:10" x14ac:dyDescent="0.2">
      <c r="A415" s="6">
        <v>42430</v>
      </c>
      <c r="B415">
        <v>1998</v>
      </c>
      <c r="C415">
        <v>2226</v>
      </c>
      <c r="D415">
        <v>414</v>
      </c>
      <c r="E415">
        <v>6300</v>
      </c>
      <c r="F415" t="s">
        <v>25</v>
      </c>
      <c r="G415">
        <v>13</v>
      </c>
      <c r="H415" t="s">
        <v>68</v>
      </c>
      <c r="I415">
        <v>21</v>
      </c>
      <c r="J415" s="10">
        <f t="shared" si="6"/>
        <v>13</v>
      </c>
    </row>
    <row r="416" spans="1:10" x14ac:dyDescent="0.2">
      <c r="A416" s="6">
        <v>42430</v>
      </c>
      <c r="B416">
        <v>1998</v>
      </c>
      <c r="C416">
        <v>2226</v>
      </c>
      <c r="D416">
        <v>415</v>
      </c>
      <c r="E416">
        <v>6300</v>
      </c>
      <c r="F416" t="s">
        <v>25</v>
      </c>
      <c r="G416">
        <v>13</v>
      </c>
      <c r="H416" t="s">
        <v>68</v>
      </c>
      <c r="I416">
        <v>21</v>
      </c>
      <c r="J416" s="10">
        <f t="shared" si="6"/>
        <v>13</v>
      </c>
    </row>
    <row r="417" spans="1:10" x14ac:dyDescent="0.2">
      <c r="A417" s="6">
        <v>43297</v>
      </c>
      <c r="B417">
        <v>1999</v>
      </c>
      <c r="C417">
        <v>2262</v>
      </c>
      <c r="D417">
        <v>416</v>
      </c>
      <c r="E417">
        <v>10000</v>
      </c>
      <c r="F417" t="s">
        <v>25</v>
      </c>
      <c r="G417">
        <v>7</v>
      </c>
      <c r="H417" t="s">
        <v>68</v>
      </c>
      <c r="I417">
        <v>20</v>
      </c>
      <c r="J417" s="10">
        <f t="shared" si="6"/>
        <v>7</v>
      </c>
    </row>
    <row r="418" spans="1:10" x14ac:dyDescent="0.2">
      <c r="A418" s="6">
        <v>42948</v>
      </c>
      <c r="B418">
        <v>1999</v>
      </c>
      <c r="C418">
        <v>2262</v>
      </c>
      <c r="D418">
        <v>417</v>
      </c>
      <c r="E418">
        <v>7800</v>
      </c>
      <c r="F418" t="s">
        <v>25</v>
      </c>
      <c r="G418">
        <v>12</v>
      </c>
      <c r="H418" t="s">
        <v>68</v>
      </c>
      <c r="I418">
        <v>20</v>
      </c>
      <c r="J418" s="10">
        <f t="shared" si="6"/>
        <v>12</v>
      </c>
    </row>
    <row r="419" spans="1:10" x14ac:dyDescent="0.2">
      <c r="A419" s="6">
        <v>42830</v>
      </c>
      <c r="B419">
        <v>1999</v>
      </c>
      <c r="C419">
        <v>2262</v>
      </c>
      <c r="D419">
        <v>418</v>
      </c>
      <c r="E419">
        <v>8000</v>
      </c>
      <c r="F419" t="s">
        <v>25</v>
      </c>
      <c r="G419">
        <v>35</v>
      </c>
      <c r="H419" t="s">
        <v>26</v>
      </c>
      <c r="I419">
        <v>20</v>
      </c>
      <c r="J419" s="10">
        <f t="shared" si="6"/>
        <v>1</v>
      </c>
    </row>
    <row r="420" spans="1:10" x14ac:dyDescent="0.2">
      <c r="A420" s="6">
        <v>42643</v>
      </c>
      <c r="B420">
        <v>1999</v>
      </c>
      <c r="C420">
        <v>2262</v>
      </c>
      <c r="D420">
        <v>419</v>
      </c>
      <c r="E420">
        <v>6000</v>
      </c>
      <c r="F420" t="s">
        <v>25</v>
      </c>
      <c r="G420">
        <v>100</v>
      </c>
      <c r="H420" t="s">
        <v>26</v>
      </c>
      <c r="I420">
        <v>20</v>
      </c>
      <c r="J420" s="10">
        <f t="shared" si="6"/>
        <v>3</v>
      </c>
    </row>
    <row r="421" spans="1:10" x14ac:dyDescent="0.2">
      <c r="A421" s="6">
        <v>42433</v>
      </c>
      <c r="B421">
        <v>1999</v>
      </c>
      <c r="C421">
        <v>2262</v>
      </c>
      <c r="D421">
        <v>420</v>
      </c>
      <c r="E421">
        <v>6000</v>
      </c>
      <c r="F421" t="s">
        <v>25</v>
      </c>
      <c r="G421">
        <v>9</v>
      </c>
      <c r="H421" t="s">
        <v>68</v>
      </c>
      <c r="I421">
        <v>20</v>
      </c>
      <c r="J421" s="10">
        <f t="shared" si="6"/>
        <v>9</v>
      </c>
    </row>
    <row r="422" spans="1:10" x14ac:dyDescent="0.2">
      <c r="A422" s="6">
        <v>43594</v>
      </c>
      <c r="B422">
        <v>1998</v>
      </c>
      <c r="C422">
        <v>2442</v>
      </c>
      <c r="D422">
        <v>421</v>
      </c>
      <c r="E422">
        <v>8500</v>
      </c>
      <c r="F422" t="s">
        <v>25</v>
      </c>
      <c r="G422">
        <v>6</v>
      </c>
      <c r="H422" t="s">
        <v>68</v>
      </c>
      <c r="I422">
        <v>21</v>
      </c>
      <c r="J422" s="10">
        <f t="shared" si="6"/>
        <v>6</v>
      </c>
    </row>
    <row r="423" spans="1:10" x14ac:dyDescent="0.2">
      <c r="A423" s="6">
        <v>43255</v>
      </c>
      <c r="B423">
        <v>1998</v>
      </c>
      <c r="C423">
        <v>2442</v>
      </c>
      <c r="D423">
        <v>422</v>
      </c>
      <c r="E423">
        <v>12500</v>
      </c>
      <c r="F423" t="s">
        <v>25</v>
      </c>
      <c r="G423">
        <v>12</v>
      </c>
      <c r="H423" t="s">
        <v>68</v>
      </c>
      <c r="I423">
        <v>21</v>
      </c>
      <c r="J423" s="10">
        <f t="shared" si="6"/>
        <v>12</v>
      </c>
    </row>
    <row r="424" spans="1:10" x14ac:dyDescent="0.2">
      <c r="A424" s="6">
        <v>43178</v>
      </c>
      <c r="B424">
        <v>1998</v>
      </c>
      <c r="C424">
        <v>2442</v>
      </c>
      <c r="D424">
        <v>423</v>
      </c>
      <c r="E424">
        <v>11750</v>
      </c>
      <c r="F424" t="s">
        <v>25</v>
      </c>
      <c r="G424">
        <v>4</v>
      </c>
      <c r="H424" t="s">
        <v>68</v>
      </c>
      <c r="I424">
        <v>21</v>
      </c>
      <c r="J424" s="10">
        <f t="shared" si="6"/>
        <v>4</v>
      </c>
    </row>
    <row r="425" spans="1:10" x14ac:dyDescent="0.2">
      <c r="A425" s="6">
        <v>42972</v>
      </c>
      <c r="B425">
        <v>1997</v>
      </c>
      <c r="C425">
        <v>2442</v>
      </c>
      <c r="D425">
        <v>424</v>
      </c>
      <c r="E425">
        <v>8300</v>
      </c>
      <c r="F425" t="s">
        <v>25</v>
      </c>
      <c r="G425">
        <v>8</v>
      </c>
      <c r="H425" t="s">
        <v>68</v>
      </c>
      <c r="I425">
        <v>22</v>
      </c>
      <c r="J425" s="10">
        <f t="shared" si="6"/>
        <v>8</v>
      </c>
    </row>
    <row r="426" spans="1:10" x14ac:dyDescent="0.2">
      <c r="A426" s="6">
        <v>42971</v>
      </c>
      <c r="B426">
        <v>1997</v>
      </c>
      <c r="C426">
        <v>2442</v>
      </c>
      <c r="D426">
        <v>425</v>
      </c>
      <c r="E426">
        <v>8350</v>
      </c>
      <c r="F426" t="s">
        <v>25</v>
      </c>
      <c r="G426">
        <v>6</v>
      </c>
      <c r="H426" t="s">
        <v>68</v>
      </c>
      <c r="I426">
        <v>22</v>
      </c>
      <c r="J426" s="10">
        <f t="shared" si="6"/>
        <v>6</v>
      </c>
    </row>
    <row r="427" spans="1:10" x14ac:dyDescent="0.2">
      <c r="A427" s="6">
        <v>42865</v>
      </c>
      <c r="B427">
        <v>1997</v>
      </c>
      <c r="C427">
        <v>2442</v>
      </c>
      <c r="D427">
        <v>426</v>
      </c>
      <c r="E427">
        <v>9400</v>
      </c>
      <c r="F427" t="s">
        <v>25</v>
      </c>
      <c r="G427">
        <v>6</v>
      </c>
      <c r="H427" t="s">
        <v>68</v>
      </c>
      <c r="I427">
        <v>22</v>
      </c>
      <c r="J427" s="10">
        <f t="shared" si="6"/>
        <v>6</v>
      </c>
    </row>
    <row r="428" spans="1:10" x14ac:dyDescent="0.2">
      <c r="A428" s="6">
        <v>42815</v>
      </c>
      <c r="B428">
        <v>1997</v>
      </c>
      <c r="C428">
        <v>2442</v>
      </c>
      <c r="D428">
        <v>427</v>
      </c>
      <c r="E428">
        <v>7000</v>
      </c>
      <c r="F428" t="s">
        <v>25</v>
      </c>
      <c r="G428">
        <v>3</v>
      </c>
      <c r="H428" t="s">
        <v>68</v>
      </c>
      <c r="I428">
        <v>22</v>
      </c>
      <c r="J428" s="10">
        <f t="shared" si="6"/>
        <v>3</v>
      </c>
    </row>
    <row r="429" spans="1:10" x14ac:dyDescent="0.2">
      <c r="A429" s="6">
        <v>42658</v>
      </c>
      <c r="B429">
        <v>1997</v>
      </c>
      <c r="C429">
        <v>2442</v>
      </c>
      <c r="D429">
        <v>428</v>
      </c>
      <c r="E429">
        <v>5500</v>
      </c>
      <c r="F429" t="s">
        <v>25</v>
      </c>
      <c r="G429">
        <v>12</v>
      </c>
      <c r="H429" t="s">
        <v>68</v>
      </c>
      <c r="I429">
        <v>22</v>
      </c>
      <c r="J429" s="10">
        <f t="shared" si="6"/>
        <v>12</v>
      </c>
    </row>
    <row r="430" spans="1:10" x14ac:dyDescent="0.2">
      <c r="A430" s="6">
        <v>42452</v>
      </c>
      <c r="B430">
        <v>1997</v>
      </c>
      <c r="C430">
        <v>2442</v>
      </c>
      <c r="D430">
        <v>429</v>
      </c>
      <c r="E430">
        <v>6000</v>
      </c>
      <c r="F430" t="s">
        <v>25</v>
      </c>
      <c r="G430">
        <v>12</v>
      </c>
      <c r="H430" t="s">
        <v>68</v>
      </c>
      <c r="I430">
        <v>22</v>
      </c>
      <c r="J430" s="10">
        <f t="shared" si="6"/>
        <v>12</v>
      </c>
    </row>
    <row r="431" spans="1:10" x14ac:dyDescent="0.2">
      <c r="A431" s="6">
        <v>42384</v>
      </c>
      <c r="B431">
        <v>1997</v>
      </c>
      <c r="C431">
        <v>2442</v>
      </c>
      <c r="D431">
        <v>430</v>
      </c>
      <c r="E431">
        <v>6000</v>
      </c>
      <c r="F431" t="s">
        <v>25</v>
      </c>
      <c r="G431">
        <v>10</v>
      </c>
      <c r="H431" t="s">
        <v>68</v>
      </c>
      <c r="I431">
        <v>22</v>
      </c>
      <c r="J431" s="10">
        <f t="shared" si="6"/>
        <v>10</v>
      </c>
    </row>
    <row r="432" spans="1:10" x14ac:dyDescent="0.2">
      <c r="A432" s="6">
        <v>43474</v>
      </c>
      <c r="B432">
        <v>1997</v>
      </c>
      <c r="C432">
        <v>2446</v>
      </c>
      <c r="D432">
        <v>431</v>
      </c>
      <c r="E432">
        <v>8750</v>
      </c>
      <c r="F432" t="s">
        <v>25</v>
      </c>
      <c r="G432">
        <v>6</v>
      </c>
      <c r="H432" t="s">
        <v>68</v>
      </c>
      <c r="I432">
        <v>22</v>
      </c>
      <c r="J432" s="10">
        <f t="shared" si="6"/>
        <v>6</v>
      </c>
    </row>
    <row r="433" spans="1:10" x14ac:dyDescent="0.2">
      <c r="A433" s="6">
        <v>42388</v>
      </c>
      <c r="B433">
        <v>1999</v>
      </c>
      <c r="C433">
        <v>2452</v>
      </c>
      <c r="D433">
        <v>432</v>
      </c>
      <c r="E433">
        <v>5975</v>
      </c>
      <c r="F433" t="s">
        <v>25</v>
      </c>
      <c r="G433">
        <v>180</v>
      </c>
      <c r="H433" t="s">
        <v>26</v>
      </c>
      <c r="I433">
        <v>20</v>
      </c>
      <c r="J433" s="10">
        <f t="shared" si="6"/>
        <v>6</v>
      </c>
    </row>
    <row r="434" spans="1:10" x14ac:dyDescent="0.2">
      <c r="A434" s="6">
        <v>43556</v>
      </c>
      <c r="B434">
        <v>1997</v>
      </c>
      <c r="C434">
        <v>2456</v>
      </c>
      <c r="D434">
        <v>433</v>
      </c>
      <c r="E434">
        <v>8500</v>
      </c>
      <c r="F434" t="s">
        <v>25</v>
      </c>
      <c r="G434">
        <v>6</v>
      </c>
      <c r="H434" t="s">
        <v>68</v>
      </c>
      <c r="I434">
        <v>22</v>
      </c>
      <c r="J434" s="10">
        <f t="shared" si="6"/>
        <v>6</v>
      </c>
    </row>
    <row r="435" spans="1:10" x14ac:dyDescent="0.2">
      <c r="A435" s="6">
        <v>43396</v>
      </c>
      <c r="B435">
        <v>1997</v>
      </c>
      <c r="C435">
        <v>2456</v>
      </c>
      <c r="D435">
        <v>434</v>
      </c>
      <c r="E435">
        <v>9850</v>
      </c>
      <c r="F435" t="s">
        <v>25</v>
      </c>
      <c r="G435">
        <v>4</v>
      </c>
      <c r="H435" t="s">
        <v>68</v>
      </c>
      <c r="I435">
        <v>22</v>
      </c>
      <c r="J435" s="10">
        <f t="shared" si="6"/>
        <v>4</v>
      </c>
    </row>
    <row r="436" spans="1:10" x14ac:dyDescent="0.2">
      <c r="A436" s="6">
        <v>43087</v>
      </c>
      <c r="B436">
        <v>1997</v>
      </c>
      <c r="C436">
        <v>2456</v>
      </c>
      <c r="D436">
        <v>435</v>
      </c>
      <c r="E436">
        <v>8750</v>
      </c>
      <c r="F436" t="s">
        <v>25</v>
      </c>
      <c r="G436">
        <v>12</v>
      </c>
      <c r="H436" t="s">
        <v>68</v>
      </c>
      <c r="I436">
        <v>22</v>
      </c>
      <c r="J436" s="10">
        <f t="shared" si="6"/>
        <v>12</v>
      </c>
    </row>
    <row r="437" spans="1:10" x14ac:dyDescent="0.2">
      <c r="A437" s="6">
        <v>42982</v>
      </c>
      <c r="B437">
        <v>1998</v>
      </c>
      <c r="C437">
        <v>2456</v>
      </c>
      <c r="D437">
        <v>436</v>
      </c>
      <c r="E437">
        <v>8400</v>
      </c>
      <c r="F437" t="s">
        <v>25</v>
      </c>
      <c r="G437">
        <v>3</v>
      </c>
      <c r="H437" t="s">
        <v>68</v>
      </c>
      <c r="I437">
        <v>21</v>
      </c>
      <c r="J437" s="10">
        <f t="shared" si="6"/>
        <v>3</v>
      </c>
    </row>
    <row r="438" spans="1:10" x14ac:dyDescent="0.2">
      <c r="A438" s="6">
        <v>42933</v>
      </c>
      <c r="B438">
        <v>1998</v>
      </c>
      <c r="C438">
        <v>2456</v>
      </c>
      <c r="D438">
        <v>437</v>
      </c>
      <c r="E438">
        <v>8000</v>
      </c>
      <c r="F438" t="s">
        <v>25</v>
      </c>
      <c r="G438">
        <v>5</v>
      </c>
      <c r="H438" t="s">
        <v>68</v>
      </c>
      <c r="I438">
        <v>21</v>
      </c>
      <c r="J438" s="10">
        <f t="shared" si="6"/>
        <v>5</v>
      </c>
    </row>
    <row r="439" spans="1:10" x14ac:dyDescent="0.2">
      <c r="A439" s="6">
        <v>42814</v>
      </c>
      <c r="B439">
        <v>1998</v>
      </c>
      <c r="C439">
        <v>2456</v>
      </c>
      <c r="D439">
        <v>438</v>
      </c>
      <c r="E439">
        <v>6900</v>
      </c>
      <c r="F439" t="s">
        <v>25</v>
      </c>
      <c r="G439">
        <v>3</v>
      </c>
      <c r="H439" t="s">
        <v>68</v>
      </c>
      <c r="I439">
        <v>21</v>
      </c>
      <c r="J439" s="10">
        <f t="shared" si="6"/>
        <v>3</v>
      </c>
    </row>
    <row r="440" spans="1:10" x14ac:dyDescent="0.2">
      <c r="A440" s="6">
        <v>42754</v>
      </c>
      <c r="B440">
        <v>1998</v>
      </c>
      <c r="C440">
        <v>2456</v>
      </c>
      <c r="D440">
        <v>439</v>
      </c>
      <c r="E440">
        <v>5750</v>
      </c>
      <c r="F440" t="s">
        <v>25</v>
      </c>
      <c r="G440">
        <v>35</v>
      </c>
      <c r="H440" t="s">
        <v>26</v>
      </c>
      <c r="I440">
        <v>21</v>
      </c>
      <c r="J440" s="10">
        <f t="shared" si="6"/>
        <v>1</v>
      </c>
    </row>
    <row r="441" spans="1:10" x14ac:dyDescent="0.2">
      <c r="A441" s="6">
        <v>42620</v>
      </c>
      <c r="B441">
        <v>1998</v>
      </c>
      <c r="C441">
        <v>2456</v>
      </c>
      <c r="D441">
        <v>440</v>
      </c>
      <c r="E441">
        <v>6000</v>
      </c>
      <c r="F441" t="s">
        <v>25</v>
      </c>
      <c r="G441">
        <v>90</v>
      </c>
      <c r="H441" t="s">
        <v>26</v>
      </c>
      <c r="I441">
        <v>21</v>
      </c>
      <c r="J441" s="10">
        <f t="shared" si="6"/>
        <v>3</v>
      </c>
    </row>
    <row r="442" spans="1:10" x14ac:dyDescent="0.2">
      <c r="A442" s="6">
        <v>42422</v>
      </c>
      <c r="B442">
        <v>1997</v>
      </c>
      <c r="C442">
        <v>2456</v>
      </c>
      <c r="D442">
        <v>441</v>
      </c>
      <c r="E442">
        <v>6000</v>
      </c>
      <c r="F442" t="s">
        <v>25</v>
      </c>
      <c r="G442">
        <v>10</v>
      </c>
      <c r="H442" t="s">
        <v>68</v>
      </c>
      <c r="I442">
        <v>22</v>
      </c>
      <c r="J442" s="10">
        <f t="shared" si="6"/>
        <v>10</v>
      </c>
    </row>
    <row r="443" spans="1:10" x14ac:dyDescent="0.2">
      <c r="A443" s="6">
        <v>42380</v>
      </c>
      <c r="B443">
        <v>1998</v>
      </c>
      <c r="C443">
        <v>2456</v>
      </c>
      <c r="D443">
        <v>442</v>
      </c>
      <c r="E443">
        <v>6000</v>
      </c>
      <c r="F443" t="s">
        <v>25</v>
      </c>
      <c r="G443">
        <v>12</v>
      </c>
      <c r="H443" t="s">
        <v>68</v>
      </c>
      <c r="I443">
        <v>21</v>
      </c>
      <c r="J443" s="10">
        <f t="shared" si="6"/>
        <v>12</v>
      </c>
    </row>
    <row r="444" spans="1:10" x14ac:dyDescent="0.2">
      <c r="A444" s="6">
        <v>42593</v>
      </c>
      <c r="B444">
        <v>1997</v>
      </c>
      <c r="C444">
        <v>2468</v>
      </c>
      <c r="D444">
        <v>443</v>
      </c>
      <c r="E444">
        <v>5950</v>
      </c>
      <c r="F444" t="s">
        <v>25</v>
      </c>
      <c r="G444">
        <v>6</v>
      </c>
      <c r="H444" t="s">
        <v>68</v>
      </c>
      <c r="I444">
        <v>22</v>
      </c>
      <c r="J444" s="10">
        <f t="shared" si="6"/>
        <v>6</v>
      </c>
    </row>
    <row r="445" spans="1:10" x14ac:dyDescent="0.2">
      <c r="A445" s="6">
        <v>42436</v>
      </c>
      <c r="B445">
        <v>1997</v>
      </c>
      <c r="C445">
        <v>2468</v>
      </c>
      <c r="D445">
        <v>444</v>
      </c>
      <c r="E445">
        <v>6000</v>
      </c>
      <c r="F445" t="s">
        <v>25</v>
      </c>
      <c r="G445">
        <v>8</v>
      </c>
      <c r="H445" t="s">
        <v>68</v>
      </c>
      <c r="I445">
        <v>22</v>
      </c>
      <c r="J445" s="10">
        <f t="shared" si="6"/>
        <v>8</v>
      </c>
    </row>
    <row r="446" spans="1:10" x14ac:dyDescent="0.2">
      <c r="A446" s="6">
        <v>42423</v>
      </c>
      <c r="B446">
        <v>1998</v>
      </c>
      <c r="C446">
        <v>2470</v>
      </c>
      <c r="D446">
        <v>445</v>
      </c>
      <c r="E446">
        <v>6000</v>
      </c>
      <c r="F446" t="s">
        <v>25</v>
      </c>
      <c r="G446">
        <v>9</v>
      </c>
      <c r="H446" t="s">
        <v>68</v>
      </c>
      <c r="I446">
        <v>21</v>
      </c>
      <c r="J446" s="10">
        <f t="shared" si="6"/>
        <v>9</v>
      </c>
    </row>
    <row r="447" spans="1:10" x14ac:dyDescent="0.2">
      <c r="A447" s="6">
        <v>42384</v>
      </c>
      <c r="B447">
        <v>1998</v>
      </c>
      <c r="C447">
        <v>2470</v>
      </c>
      <c r="D447">
        <v>446</v>
      </c>
      <c r="E447">
        <v>6900</v>
      </c>
      <c r="F447" t="s">
        <v>25</v>
      </c>
      <c r="G447">
        <v>13</v>
      </c>
      <c r="H447" t="s">
        <v>68</v>
      </c>
      <c r="I447">
        <v>21</v>
      </c>
      <c r="J447" s="10">
        <f t="shared" si="6"/>
        <v>13</v>
      </c>
    </row>
    <row r="448" spans="1:10" x14ac:dyDescent="0.2">
      <c r="A448" s="6">
        <v>42438</v>
      </c>
      <c r="B448">
        <v>1997</v>
      </c>
      <c r="C448">
        <v>2472</v>
      </c>
      <c r="D448">
        <v>447</v>
      </c>
      <c r="E448">
        <v>6000</v>
      </c>
      <c r="F448" t="s">
        <v>25</v>
      </c>
      <c r="G448">
        <v>8</v>
      </c>
      <c r="H448" t="s">
        <v>68</v>
      </c>
      <c r="I448">
        <v>22</v>
      </c>
      <c r="J448" s="10">
        <f t="shared" si="6"/>
        <v>8</v>
      </c>
    </row>
    <row r="449" spans="1:10" x14ac:dyDescent="0.2">
      <c r="A449" s="6">
        <v>43535</v>
      </c>
      <c r="B449">
        <v>1999</v>
      </c>
      <c r="C449">
        <v>2474</v>
      </c>
      <c r="D449">
        <v>448</v>
      </c>
      <c r="E449">
        <v>9200</v>
      </c>
      <c r="F449" t="s">
        <v>25</v>
      </c>
      <c r="G449">
        <v>3</v>
      </c>
      <c r="H449" t="s">
        <v>68</v>
      </c>
      <c r="I449">
        <v>20</v>
      </c>
      <c r="J449" s="10">
        <f t="shared" si="6"/>
        <v>3</v>
      </c>
    </row>
    <row r="450" spans="1:10" x14ac:dyDescent="0.2">
      <c r="A450" s="6">
        <v>43181</v>
      </c>
      <c r="B450">
        <v>1999</v>
      </c>
      <c r="C450">
        <v>2474</v>
      </c>
      <c r="D450">
        <v>449</v>
      </c>
      <c r="E450">
        <v>9750</v>
      </c>
      <c r="F450" t="s">
        <v>25</v>
      </c>
      <c r="G450">
        <v>2</v>
      </c>
      <c r="H450" t="s">
        <v>68</v>
      </c>
      <c r="I450">
        <v>20</v>
      </c>
      <c r="J450" s="10">
        <f t="shared" ref="J450:J467" si="7">IF(H450="days",ROUND(G450/30,0),IF(H450="years",G450*12,G450))</f>
        <v>2</v>
      </c>
    </row>
    <row r="451" spans="1:10" x14ac:dyDescent="0.2">
      <c r="A451" s="6">
        <v>43110</v>
      </c>
      <c r="B451">
        <v>1999</v>
      </c>
      <c r="C451">
        <v>2474</v>
      </c>
      <c r="D451">
        <v>450</v>
      </c>
      <c r="E451">
        <v>9750</v>
      </c>
      <c r="F451" t="s">
        <v>25</v>
      </c>
      <c r="G451">
        <v>6</v>
      </c>
      <c r="H451" t="s">
        <v>68</v>
      </c>
      <c r="I451">
        <v>20</v>
      </c>
      <c r="J451" s="10">
        <f t="shared" si="7"/>
        <v>6</v>
      </c>
    </row>
    <row r="452" spans="1:10" x14ac:dyDescent="0.2">
      <c r="A452" s="6">
        <v>42781</v>
      </c>
      <c r="B452">
        <v>1999</v>
      </c>
      <c r="C452">
        <v>2474</v>
      </c>
      <c r="D452">
        <v>451</v>
      </c>
      <c r="E452">
        <v>6000</v>
      </c>
      <c r="F452" t="s">
        <v>25</v>
      </c>
      <c r="G452">
        <v>8</v>
      </c>
      <c r="H452" t="s">
        <v>68</v>
      </c>
      <c r="I452">
        <v>20</v>
      </c>
      <c r="J452" s="10">
        <f t="shared" si="7"/>
        <v>8</v>
      </c>
    </row>
    <row r="453" spans="1:10" x14ac:dyDescent="0.2">
      <c r="A453" s="6">
        <v>42748</v>
      </c>
      <c r="B453">
        <v>1999</v>
      </c>
      <c r="C453">
        <v>2474</v>
      </c>
      <c r="D453">
        <v>452</v>
      </c>
      <c r="E453">
        <v>5500</v>
      </c>
      <c r="F453" t="s">
        <v>25</v>
      </c>
      <c r="G453">
        <v>12</v>
      </c>
      <c r="H453" t="s">
        <v>68</v>
      </c>
      <c r="I453">
        <v>20</v>
      </c>
      <c r="J453" s="10">
        <f t="shared" si="7"/>
        <v>12</v>
      </c>
    </row>
    <row r="454" spans="1:10" x14ac:dyDescent="0.2">
      <c r="A454" s="6">
        <v>42452</v>
      </c>
      <c r="B454">
        <v>1998</v>
      </c>
      <c r="C454">
        <v>2474</v>
      </c>
      <c r="D454">
        <v>453</v>
      </c>
      <c r="E454">
        <v>6000</v>
      </c>
      <c r="F454" t="s">
        <v>25</v>
      </c>
      <c r="G454">
        <v>12</v>
      </c>
      <c r="H454" t="s">
        <v>68</v>
      </c>
      <c r="I454">
        <v>21</v>
      </c>
      <c r="J454" s="10">
        <f t="shared" si="7"/>
        <v>12</v>
      </c>
    </row>
    <row r="455" spans="1:10" x14ac:dyDescent="0.2">
      <c r="A455" s="6">
        <v>43536</v>
      </c>
      <c r="B455">
        <v>1999</v>
      </c>
      <c r="C455">
        <v>2526</v>
      </c>
      <c r="D455">
        <v>454</v>
      </c>
      <c r="E455">
        <v>9250</v>
      </c>
      <c r="F455" t="s">
        <v>25</v>
      </c>
      <c r="G455">
        <v>4</v>
      </c>
      <c r="H455" t="s">
        <v>68</v>
      </c>
      <c r="I455">
        <v>20</v>
      </c>
      <c r="J455" s="10">
        <f t="shared" si="7"/>
        <v>4</v>
      </c>
    </row>
    <row r="456" spans="1:10" x14ac:dyDescent="0.2">
      <c r="A456" s="6">
        <v>43229</v>
      </c>
      <c r="B456">
        <v>1999</v>
      </c>
      <c r="C456">
        <v>2526</v>
      </c>
      <c r="D456">
        <v>455</v>
      </c>
      <c r="E456">
        <v>11000</v>
      </c>
      <c r="F456" t="s">
        <v>25</v>
      </c>
      <c r="G456">
        <v>12</v>
      </c>
      <c r="H456" t="s">
        <v>68</v>
      </c>
      <c r="I456">
        <v>20</v>
      </c>
      <c r="J456" s="10">
        <f t="shared" si="7"/>
        <v>12</v>
      </c>
    </row>
    <row r="457" spans="1:10" x14ac:dyDescent="0.2">
      <c r="A457" s="6">
        <v>43021</v>
      </c>
      <c r="B457">
        <v>1999</v>
      </c>
      <c r="C457">
        <v>2526</v>
      </c>
      <c r="D457">
        <v>456</v>
      </c>
      <c r="E457">
        <v>8250</v>
      </c>
      <c r="F457" t="s">
        <v>25</v>
      </c>
      <c r="G457">
        <v>6</v>
      </c>
      <c r="H457" t="s">
        <v>68</v>
      </c>
      <c r="I457">
        <v>20</v>
      </c>
      <c r="J457" s="10">
        <f t="shared" si="7"/>
        <v>6</v>
      </c>
    </row>
    <row r="458" spans="1:10" x14ac:dyDescent="0.2">
      <c r="A458" s="6">
        <v>42796</v>
      </c>
      <c r="B458">
        <v>1999</v>
      </c>
      <c r="C458">
        <v>2526</v>
      </c>
      <c r="D458">
        <v>457</v>
      </c>
      <c r="E458">
        <v>6200</v>
      </c>
      <c r="F458" t="s">
        <v>25</v>
      </c>
      <c r="G458">
        <v>12</v>
      </c>
      <c r="H458" t="s">
        <v>68</v>
      </c>
      <c r="I458">
        <v>20</v>
      </c>
      <c r="J458" s="10">
        <f t="shared" si="7"/>
        <v>12</v>
      </c>
    </row>
    <row r="459" spans="1:10" x14ac:dyDescent="0.2">
      <c r="A459" s="6">
        <v>42546</v>
      </c>
      <c r="B459">
        <v>1999</v>
      </c>
      <c r="C459">
        <v>2526</v>
      </c>
      <c r="D459">
        <v>458</v>
      </c>
      <c r="E459">
        <v>8500</v>
      </c>
      <c r="F459" t="s">
        <v>25</v>
      </c>
      <c r="G459">
        <v>6</v>
      </c>
      <c r="H459" t="s">
        <v>68</v>
      </c>
      <c r="I459">
        <v>20</v>
      </c>
      <c r="J459" s="10">
        <f t="shared" si="7"/>
        <v>6</v>
      </c>
    </row>
    <row r="460" spans="1:10" x14ac:dyDescent="0.2">
      <c r="A460" s="6">
        <v>43397</v>
      </c>
      <c r="B460">
        <v>1999</v>
      </c>
      <c r="C460">
        <v>2546</v>
      </c>
      <c r="D460">
        <v>459</v>
      </c>
      <c r="E460">
        <v>10000</v>
      </c>
      <c r="F460" t="s">
        <v>25</v>
      </c>
      <c r="G460">
        <v>6</v>
      </c>
      <c r="H460" t="s">
        <v>68</v>
      </c>
      <c r="I460">
        <v>20</v>
      </c>
      <c r="J460" s="10">
        <f t="shared" si="7"/>
        <v>6</v>
      </c>
    </row>
    <row r="461" spans="1:10" x14ac:dyDescent="0.2">
      <c r="A461" s="6">
        <v>43235</v>
      </c>
      <c r="B461">
        <v>1999</v>
      </c>
      <c r="C461">
        <v>2546</v>
      </c>
      <c r="D461">
        <v>460</v>
      </c>
      <c r="E461">
        <v>12450</v>
      </c>
      <c r="F461" t="s">
        <v>25</v>
      </c>
      <c r="G461">
        <v>5</v>
      </c>
      <c r="H461" t="s">
        <v>68</v>
      </c>
      <c r="I461">
        <v>20</v>
      </c>
      <c r="J461" s="10">
        <f t="shared" si="7"/>
        <v>5</v>
      </c>
    </row>
    <row r="462" spans="1:10" x14ac:dyDescent="0.2">
      <c r="A462" s="6">
        <v>43018</v>
      </c>
      <c r="B462">
        <v>1999</v>
      </c>
      <c r="C462">
        <v>2546</v>
      </c>
      <c r="D462">
        <v>461</v>
      </c>
      <c r="E462">
        <v>8500</v>
      </c>
      <c r="F462" t="s">
        <v>25</v>
      </c>
      <c r="G462">
        <v>8</v>
      </c>
      <c r="H462" t="s">
        <v>68</v>
      </c>
      <c r="I462">
        <v>20</v>
      </c>
      <c r="J462" s="10">
        <f t="shared" si="7"/>
        <v>8</v>
      </c>
    </row>
    <row r="463" spans="1:10" x14ac:dyDescent="0.2">
      <c r="A463" s="6">
        <v>42795</v>
      </c>
      <c r="B463">
        <v>1999</v>
      </c>
      <c r="C463">
        <v>2546</v>
      </c>
      <c r="D463">
        <v>462</v>
      </c>
      <c r="E463">
        <v>6500</v>
      </c>
      <c r="F463" t="s">
        <v>25</v>
      </c>
      <c r="G463">
        <v>7</v>
      </c>
      <c r="H463" t="s">
        <v>68</v>
      </c>
      <c r="I463">
        <v>20</v>
      </c>
      <c r="J463" s="10">
        <f t="shared" si="7"/>
        <v>7</v>
      </c>
    </row>
    <row r="464" spans="1:10" x14ac:dyDescent="0.2">
      <c r="A464" s="6">
        <v>42538</v>
      </c>
      <c r="B464">
        <v>1999</v>
      </c>
      <c r="C464">
        <v>2546</v>
      </c>
      <c r="D464">
        <v>463</v>
      </c>
      <c r="E464">
        <v>6250</v>
      </c>
      <c r="F464" t="s">
        <v>25</v>
      </c>
      <c r="G464">
        <v>4</v>
      </c>
      <c r="H464" t="s">
        <v>68</v>
      </c>
      <c r="I464">
        <v>20</v>
      </c>
      <c r="J464" s="10">
        <f t="shared" si="7"/>
        <v>4</v>
      </c>
    </row>
    <row r="465" spans="1:10" x14ac:dyDescent="0.2">
      <c r="A465" s="6">
        <v>42584</v>
      </c>
      <c r="B465">
        <v>1996</v>
      </c>
      <c r="C465">
        <v>2682</v>
      </c>
      <c r="D465">
        <v>464</v>
      </c>
      <c r="E465">
        <v>6000</v>
      </c>
      <c r="F465" t="s">
        <v>25</v>
      </c>
      <c r="G465">
        <v>2</v>
      </c>
      <c r="H465" t="s">
        <v>68</v>
      </c>
      <c r="I465">
        <v>23</v>
      </c>
      <c r="J465" s="10">
        <f t="shared" si="7"/>
        <v>2</v>
      </c>
    </row>
    <row r="466" spans="1:10" x14ac:dyDescent="0.2">
      <c r="A466" s="6">
        <v>42493</v>
      </c>
      <c r="B466">
        <v>1997</v>
      </c>
      <c r="C466">
        <v>2959</v>
      </c>
      <c r="D466">
        <v>465</v>
      </c>
      <c r="E466">
        <v>6000</v>
      </c>
      <c r="F466" t="s">
        <v>25</v>
      </c>
      <c r="G466">
        <v>40</v>
      </c>
      <c r="H466" t="s">
        <v>26</v>
      </c>
      <c r="I466">
        <v>22</v>
      </c>
      <c r="J466" s="10">
        <f t="shared" si="7"/>
        <v>1</v>
      </c>
    </row>
    <row r="467" spans="1:10" x14ac:dyDescent="0.2">
      <c r="A467" s="6">
        <v>42451</v>
      </c>
      <c r="B467">
        <v>1996</v>
      </c>
      <c r="C467">
        <v>2959</v>
      </c>
      <c r="D467">
        <v>466</v>
      </c>
      <c r="E467">
        <v>5500</v>
      </c>
      <c r="F467" t="s">
        <v>25</v>
      </c>
      <c r="G467">
        <v>12</v>
      </c>
      <c r="H467" t="s">
        <v>68</v>
      </c>
      <c r="I467">
        <v>23</v>
      </c>
      <c r="J467" s="10">
        <f t="shared" si="7"/>
        <v>12</v>
      </c>
    </row>
  </sheetData>
  <autoFilter ref="A1:J467">
    <sortState ref="A2:J467">
      <sortCondition ref="C1:C467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A1DC9A2332F440A0AB2367DB0B27F2" ma:contentTypeVersion="10" ma:contentTypeDescription="Create a new document." ma:contentTypeScope="" ma:versionID="82b6bd47a0cc5386e9d98e0188bc212e">
  <xsd:schema xmlns:xsd="http://www.w3.org/2001/XMLSchema" xmlns:xs="http://www.w3.org/2001/XMLSchema" xmlns:p="http://schemas.microsoft.com/office/2006/metadata/properties" xmlns:ns2="bf678e41-2726-4fbf-82d3-a421569683e5" xmlns:ns3="97d99be9-92b0-4ce9-b0b0-c7f916f9b261" targetNamespace="http://schemas.microsoft.com/office/2006/metadata/properties" ma:root="true" ma:fieldsID="ab4020042aecb4e3a0055169ee5c422a" ns2:_="" ns3:_="">
    <xsd:import namespace="bf678e41-2726-4fbf-82d3-a421569683e5"/>
    <xsd:import namespace="97d99be9-92b0-4ce9-b0b0-c7f916f9b2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78e41-2726-4fbf-82d3-a421569683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99be9-92b0-4ce9-b0b0-c7f916f9b26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73A4C3-BDA4-49F0-AA0B-30DE7E4E29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9D7677-F11D-4E23-979D-4B701CE777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678e41-2726-4fbf-82d3-a421569683e5"/>
    <ds:schemaRef ds:uri="97d99be9-92b0-4ce9-b0b0-c7f916f9b2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Liability</vt:lpstr>
      <vt:lpstr>Graphs</vt:lpstr>
      <vt:lpstr>Asset</vt:lpstr>
      <vt:lpstr>Data</vt:lpstr>
      <vt:lpstr>LR0-8</vt:lpstr>
      <vt:lpstr>LR9-13</vt:lpstr>
      <vt:lpstr>LR14-19</vt:lpstr>
      <vt:lpstr>LR20+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Kelly</dc:creator>
  <cp:lastModifiedBy>Microsoft Office User</cp:lastModifiedBy>
  <cp:lastPrinted>2019-05-29T15:58:58Z</cp:lastPrinted>
  <dcterms:created xsi:type="dcterms:W3CDTF">2018-07-13T16:36:15Z</dcterms:created>
  <dcterms:modified xsi:type="dcterms:W3CDTF">2019-09-10T03:02:27Z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0x010100C1A1DC9A2332F440A0AB2367DB0B27F2</vt:lpwstr>
  </property>
</Properties>
</file>